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4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6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7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bhil\OneDrive - Indian Institute of Technology Indian School of Mines Dhanbad\Desktop\PETROLEUM\ONGC Training\IRS ONGC\"/>
    </mc:Choice>
  </mc:AlternateContent>
  <xr:revisionPtr revIDLastSave="0" documentId="13_ncr:1_{6F279062-019A-4FDC-842D-2DCA0888339C}" xr6:coauthVersionLast="47" xr6:coauthVersionMax="47" xr10:uidLastSave="{00000000-0000-0000-0000-000000000000}"/>
  <bookViews>
    <workbookView xWindow="-108" yWindow="-108" windowWidth="23256" windowHeight="12456" tabRatio="743" xr2:uid="{00000000-000D-0000-FFFF-FFFF00000000}"/>
  </bookViews>
  <sheets>
    <sheet name="Structure-B" sheetId="1" r:id="rId1"/>
    <sheet name="Well_B-1" sheetId="2" r:id="rId2"/>
    <sheet name="Well_B-2" sheetId="3" r:id="rId3"/>
    <sheet name="Well_B-3" sheetId="4" r:id="rId4"/>
    <sheet name="Well_B-4" sheetId="5" r:id="rId5"/>
    <sheet name="Well_B-5" sheetId="6" r:id="rId6"/>
    <sheet name="Well_B-6" sheetId="7" r:id="rId7"/>
    <sheet name="Well_B-7" sheetId="8" r:id="rId8"/>
    <sheet name="Well_B-8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62" i="1" l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 s="1"/>
  <c r="AD79" i="1" s="1"/>
  <c r="AD80" i="1" s="1"/>
  <c r="AD61" i="1"/>
  <c r="AC3" i="1"/>
  <c r="AB597" i="1"/>
  <c r="AB594" i="1"/>
  <c r="AH74" i="1"/>
  <c r="AH71" i="1"/>
  <c r="AI70" i="1"/>
  <c r="AC504" i="1"/>
  <c r="AC505" i="1"/>
  <c r="AC506" i="1"/>
  <c r="AC507" i="1"/>
  <c r="AC508" i="1"/>
  <c r="AC509" i="1"/>
  <c r="AC510" i="1"/>
  <c r="AC511" i="1"/>
  <c r="AC512" i="1"/>
  <c r="AC513" i="1"/>
  <c r="AC514" i="1"/>
  <c r="AC515" i="1"/>
  <c r="AC516" i="1"/>
  <c r="AC517" i="1"/>
  <c r="AC518" i="1"/>
  <c r="AC519" i="1"/>
  <c r="AC520" i="1"/>
  <c r="AC521" i="1"/>
  <c r="AC522" i="1"/>
  <c r="AC523" i="1"/>
  <c r="AC524" i="1"/>
  <c r="AC525" i="1"/>
  <c r="AC526" i="1"/>
  <c r="AC527" i="1"/>
  <c r="AC528" i="1"/>
  <c r="AC529" i="1"/>
  <c r="AC530" i="1"/>
  <c r="AC531" i="1"/>
  <c r="AC532" i="1"/>
  <c r="AC533" i="1"/>
  <c r="AC534" i="1"/>
  <c r="AC535" i="1"/>
  <c r="AC536" i="1"/>
  <c r="AC537" i="1"/>
  <c r="AC538" i="1"/>
  <c r="AC539" i="1"/>
  <c r="AC540" i="1"/>
  <c r="AC541" i="1"/>
  <c r="AC542" i="1"/>
  <c r="AC543" i="1"/>
  <c r="AC544" i="1"/>
  <c r="AC545" i="1"/>
  <c r="AC546" i="1"/>
  <c r="AC547" i="1"/>
  <c r="AC548" i="1"/>
  <c r="AC549" i="1"/>
  <c r="AC550" i="1"/>
  <c r="AC551" i="1"/>
  <c r="AC552" i="1"/>
  <c r="AC553" i="1"/>
  <c r="AC554" i="1"/>
  <c r="AC555" i="1"/>
  <c r="AC556" i="1"/>
  <c r="AC557" i="1"/>
  <c r="AC558" i="1"/>
  <c r="AC559" i="1"/>
  <c r="AC560" i="1"/>
  <c r="AC561" i="1"/>
  <c r="AC562" i="1"/>
  <c r="AC563" i="1"/>
  <c r="AC564" i="1"/>
  <c r="AC565" i="1"/>
  <c r="AC566" i="1"/>
  <c r="AC567" i="1"/>
  <c r="AC568" i="1"/>
  <c r="AC569" i="1"/>
  <c r="AC570" i="1"/>
  <c r="AC571" i="1"/>
  <c r="AC572" i="1"/>
  <c r="AC573" i="1"/>
  <c r="AC574" i="1"/>
  <c r="AC575" i="1"/>
  <c r="AC576" i="1"/>
  <c r="AC577" i="1"/>
  <c r="AC578" i="1"/>
  <c r="AC579" i="1"/>
  <c r="AC580" i="1"/>
  <c r="AC581" i="1"/>
  <c r="AC582" i="1"/>
  <c r="AC583" i="1"/>
  <c r="AC584" i="1"/>
  <c r="AC585" i="1"/>
  <c r="AC586" i="1"/>
  <c r="AC587" i="1"/>
  <c r="AC588" i="1"/>
  <c r="AC589" i="1"/>
  <c r="AC590" i="1"/>
  <c r="AC591" i="1"/>
  <c r="AC592" i="1"/>
  <c r="AB504" i="1"/>
  <c r="AB505" i="1"/>
  <c r="AB506" i="1"/>
  <c r="AB507" i="1"/>
  <c r="AB508" i="1"/>
  <c r="AB509" i="1"/>
  <c r="AB510" i="1"/>
  <c r="AB511" i="1"/>
  <c r="AB512" i="1"/>
  <c r="AB513" i="1"/>
  <c r="AB514" i="1"/>
  <c r="AB515" i="1"/>
  <c r="AB516" i="1"/>
  <c r="AB517" i="1"/>
  <c r="AB518" i="1"/>
  <c r="AB519" i="1"/>
  <c r="AB520" i="1" s="1"/>
  <c r="AB521" i="1" s="1"/>
  <c r="AB522" i="1" s="1"/>
  <c r="AB523" i="1" s="1"/>
  <c r="AB524" i="1" s="1"/>
  <c r="AB525" i="1" s="1"/>
  <c r="AB526" i="1" s="1"/>
  <c r="AB527" i="1" s="1"/>
  <c r="AB528" i="1" s="1"/>
  <c r="AB529" i="1" s="1"/>
  <c r="AB530" i="1" s="1"/>
  <c r="AB531" i="1" s="1"/>
  <c r="AB532" i="1" s="1"/>
  <c r="AB533" i="1" s="1"/>
  <c r="AB534" i="1" s="1"/>
  <c r="AB535" i="1" s="1"/>
  <c r="AB536" i="1" s="1"/>
  <c r="AB537" i="1" s="1"/>
  <c r="AB538" i="1" s="1"/>
  <c r="AB539" i="1" s="1"/>
  <c r="AB540" i="1" s="1"/>
  <c r="AB541" i="1" s="1"/>
  <c r="AB542" i="1" s="1"/>
  <c r="AB543" i="1" s="1"/>
  <c r="AB544" i="1" s="1"/>
  <c r="AB545" i="1" s="1"/>
  <c r="AB546" i="1" s="1"/>
  <c r="AB547" i="1" s="1"/>
  <c r="AB548" i="1" s="1"/>
  <c r="AB549" i="1" s="1"/>
  <c r="AB550" i="1" s="1"/>
  <c r="AB551" i="1" s="1"/>
  <c r="AB552" i="1" s="1"/>
  <c r="AB553" i="1" s="1"/>
  <c r="AB554" i="1" s="1"/>
  <c r="AB555" i="1" s="1"/>
  <c r="AB556" i="1" s="1"/>
  <c r="AB557" i="1" s="1"/>
  <c r="AB558" i="1" s="1"/>
  <c r="AB559" i="1" s="1"/>
  <c r="AB560" i="1" s="1"/>
  <c r="AB561" i="1" s="1"/>
  <c r="AB562" i="1" s="1"/>
  <c r="AB563" i="1" s="1"/>
  <c r="AB564" i="1" s="1"/>
  <c r="AB565" i="1" s="1"/>
  <c r="AB566" i="1" s="1"/>
  <c r="AB567" i="1" s="1"/>
  <c r="AB568" i="1" s="1"/>
  <c r="AB569" i="1" s="1"/>
  <c r="AB570" i="1" s="1"/>
  <c r="AB571" i="1" s="1"/>
  <c r="AB572" i="1" s="1"/>
  <c r="AB573" i="1" s="1"/>
  <c r="AB574" i="1" s="1"/>
  <c r="AB575" i="1" s="1"/>
  <c r="AB576" i="1" s="1"/>
  <c r="AB577" i="1" s="1"/>
  <c r="AB578" i="1" s="1"/>
  <c r="AB579" i="1" s="1"/>
  <c r="AB580" i="1" s="1"/>
  <c r="AB581" i="1" s="1"/>
  <c r="AB582" i="1" s="1"/>
  <c r="AB583" i="1" s="1"/>
  <c r="AB584" i="1" s="1"/>
  <c r="AB585" i="1" s="1"/>
  <c r="AB586" i="1" s="1"/>
  <c r="AB587" i="1" s="1"/>
  <c r="AB588" i="1" s="1"/>
  <c r="AB589" i="1" s="1"/>
  <c r="AB590" i="1" s="1"/>
  <c r="AB591" i="1" s="1"/>
  <c r="AB592" i="1" s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27" i="1"/>
  <c r="AC428" i="1"/>
  <c r="AC429" i="1"/>
  <c r="AC430" i="1"/>
  <c r="AC431" i="1"/>
  <c r="AC432" i="1"/>
  <c r="AC433" i="1"/>
  <c r="AC434" i="1"/>
  <c r="AC435" i="1"/>
  <c r="AC436" i="1"/>
  <c r="AC437" i="1"/>
  <c r="AC438" i="1"/>
  <c r="AC439" i="1"/>
  <c r="AC440" i="1"/>
  <c r="AC441" i="1"/>
  <c r="AC442" i="1"/>
  <c r="AC443" i="1"/>
  <c r="AC444" i="1"/>
  <c r="AC445" i="1"/>
  <c r="AC446" i="1"/>
  <c r="AC447" i="1"/>
  <c r="AC448" i="1"/>
  <c r="AC449" i="1"/>
  <c r="AC450" i="1"/>
  <c r="AC451" i="1"/>
  <c r="AC452" i="1"/>
  <c r="AC453" i="1"/>
  <c r="AC454" i="1"/>
  <c r="AC455" i="1"/>
  <c r="AC456" i="1"/>
  <c r="AC457" i="1"/>
  <c r="AC458" i="1"/>
  <c r="AC459" i="1"/>
  <c r="AC460" i="1"/>
  <c r="AC461" i="1"/>
  <c r="AC462" i="1"/>
  <c r="AC463" i="1"/>
  <c r="AC464" i="1"/>
  <c r="AC465" i="1"/>
  <c r="AC466" i="1"/>
  <c r="AC467" i="1"/>
  <c r="AC468" i="1"/>
  <c r="AC469" i="1"/>
  <c r="AC470" i="1"/>
  <c r="AC471" i="1"/>
  <c r="AC472" i="1"/>
  <c r="AC473" i="1"/>
  <c r="AC474" i="1"/>
  <c r="AC475" i="1"/>
  <c r="AC476" i="1"/>
  <c r="AC477" i="1"/>
  <c r="AC478" i="1"/>
  <c r="AC479" i="1"/>
  <c r="AC480" i="1"/>
  <c r="AC481" i="1"/>
  <c r="AC482" i="1"/>
  <c r="AC483" i="1"/>
  <c r="AC484" i="1"/>
  <c r="AC485" i="1"/>
  <c r="AC486" i="1"/>
  <c r="AC487" i="1"/>
  <c r="AC488" i="1"/>
  <c r="AC489" i="1"/>
  <c r="AC490" i="1"/>
  <c r="AC491" i="1"/>
  <c r="AC492" i="1"/>
  <c r="AC493" i="1"/>
  <c r="AC494" i="1"/>
  <c r="AC495" i="1"/>
  <c r="AC496" i="1"/>
  <c r="AC497" i="1"/>
  <c r="AC498" i="1"/>
  <c r="AC499" i="1"/>
  <c r="AC500" i="1"/>
  <c r="AC501" i="1"/>
  <c r="AC502" i="1"/>
  <c r="AC503" i="1"/>
  <c r="AB379" i="1"/>
  <c r="AB380" i="1"/>
  <c r="AB381" i="1"/>
  <c r="AB382" i="1"/>
  <c r="AB383" i="1"/>
  <c r="AB384" i="1" s="1"/>
  <c r="AB385" i="1" s="1"/>
  <c r="AB386" i="1" s="1"/>
  <c r="AB387" i="1" s="1"/>
  <c r="AB388" i="1" s="1"/>
  <c r="AB389" i="1" s="1"/>
  <c r="AB390" i="1" s="1"/>
  <c r="AB391" i="1" s="1"/>
  <c r="AB392" i="1" s="1"/>
  <c r="AB393" i="1" s="1"/>
  <c r="AB394" i="1" s="1"/>
  <c r="AB395" i="1" s="1"/>
  <c r="AB396" i="1" s="1"/>
  <c r="AB397" i="1" s="1"/>
  <c r="AB398" i="1" s="1"/>
  <c r="AB399" i="1" s="1"/>
  <c r="AB400" i="1" s="1"/>
  <c r="AB401" i="1" s="1"/>
  <c r="AB402" i="1" s="1"/>
  <c r="AB403" i="1" s="1"/>
  <c r="AB404" i="1" s="1"/>
  <c r="AB405" i="1" s="1"/>
  <c r="AB406" i="1" s="1"/>
  <c r="AB407" i="1" s="1"/>
  <c r="AB408" i="1" s="1"/>
  <c r="AB409" i="1" s="1"/>
  <c r="AB410" i="1" s="1"/>
  <c r="AB411" i="1" s="1"/>
  <c r="AB412" i="1" s="1"/>
  <c r="AB413" i="1" s="1"/>
  <c r="AB414" i="1" s="1"/>
  <c r="AB415" i="1" s="1"/>
  <c r="AB416" i="1" s="1"/>
  <c r="AB417" i="1" s="1"/>
  <c r="AB418" i="1" s="1"/>
  <c r="AB419" i="1" s="1"/>
  <c r="AB420" i="1" s="1"/>
  <c r="AB421" i="1" s="1"/>
  <c r="AB422" i="1" s="1"/>
  <c r="AB423" i="1" s="1"/>
  <c r="AB424" i="1" s="1"/>
  <c r="AB425" i="1" s="1"/>
  <c r="AB426" i="1" s="1"/>
  <c r="AB427" i="1" s="1"/>
  <c r="AB428" i="1" s="1"/>
  <c r="AB429" i="1" s="1"/>
  <c r="AB430" i="1" s="1"/>
  <c r="AB431" i="1" s="1"/>
  <c r="AB432" i="1" s="1"/>
  <c r="AB433" i="1" s="1"/>
  <c r="AB434" i="1" s="1"/>
  <c r="AB435" i="1" s="1"/>
  <c r="AB436" i="1" s="1"/>
  <c r="AB437" i="1" s="1"/>
  <c r="AB438" i="1" s="1"/>
  <c r="AB439" i="1" s="1"/>
  <c r="AB440" i="1" s="1"/>
  <c r="AB441" i="1" s="1"/>
  <c r="AB442" i="1" s="1"/>
  <c r="AB443" i="1" s="1"/>
  <c r="AB444" i="1" s="1"/>
  <c r="AB445" i="1" s="1"/>
  <c r="AB446" i="1" s="1"/>
  <c r="AB447" i="1" s="1"/>
  <c r="AB448" i="1" s="1"/>
  <c r="AB449" i="1" s="1"/>
  <c r="AB450" i="1" s="1"/>
  <c r="AB451" i="1" s="1"/>
  <c r="AB452" i="1" s="1"/>
  <c r="AB453" i="1" s="1"/>
  <c r="AB454" i="1" s="1"/>
  <c r="AB455" i="1" s="1"/>
  <c r="AB456" i="1" s="1"/>
  <c r="AB457" i="1" s="1"/>
  <c r="AB458" i="1" s="1"/>
  <c r="AB459" i="1" s="1"/>
  <c r="AB460" i="1" s="1"/>
  <c r="AB461" i="1" s="1"/>
  <c r="AB462" i="1" s="1"/>
  <c r="AB463" i="1" s="1"/>
  <c r="AB464" i="1" s="1"/>
  <c r="AB465" i="1" s="1"/>
  <c r="AB466" i="1" s="1"/>
  <c r="AB467" i="1" s="1"/>
  <c r="AB468" i="1" s="1"/>
  <c r="AB469" i="1" s="1"/>
  <c r="AB470" i="1" s="1"/>
  <c r="AB471" i="1" s="1"/>
  <c r="AB472" i="1" s="1"/>
  <c r="AB473" i="1" s="1"/>
  <c r="AB474" i="1" s="1"/>
  <c r="AB475" i="1" s="1"/>
  <c r="AB476" i="1" s="1"/>
  <c r="AB477" i="1" s="1"/>
  <c r="AB478" i="1" s="1"/>
  <c r="AB479" i="1" s="1"/>
  <c r="AB480" i="1" s="1"/>
  <c r="AB481" i="1" s="1"/>
  <c r="AB482" i="1" s="1"/>
  <c r="AB483" i="1" s="1"/>
  <c r="AB484" i="1" s="1"/>
  <c r="AB485" i="1" s="1"/>
  <c r="AB486" i="1" s="1"/>
  <c r="AB487" i="1" s="1"/>
  <c r="AB488" i="1" s="1"/>
  <c r="AB489" i="1" s="1"/>
  <c r="AB490" i="1" s="1"/>
  <c r="AB491" i="1" s="1"/>
  <c r="AB492" i="1" s="1"/>
  <c r="AB493" i="1" s="1"/>
  <c r="AB494" i="1" s="1"/>
  <c r="AB495" i="1" s="1"/>
  <c r="AB496" i="1" s="1"/>
  <c r="AB497" i="1" s="1"/>
  <c r="AB498" i="1" s="1"/>
  <c r="AB499" i="1" s="1"/>
  <c r="AB500" i="1" s="1"/>
  <c r="AB501" i="1" s="1"/>
  <c r="AB502" i="1" s="1"/>
  <c r="AB503" i="1" s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BK3" i="1"/>
  <c r="AP4" i="1"/>
  <c r="AP5" i="1"/>
  <c r="AP6" i="1"/>
  <c r="AP7" i="1"/>
  <c r="AP8" i="1"/>
  <c r="AP9" i="1"/>
  <c r="AP10" i="1"/>
  <c r="BN10" i="1" s="1"/>
  <c r="AP11" i="1"/>
  <c r="BN11" i="1" s="1"/>
  <c r="AP12" i="1"/>
  <c r="BN12" i="1" s="1"/>
  <c r="AP13" i="1"/>
  <c r="BK13" i="1" s="1"/>
  <c r="AP14" i="1"/>
  <c r="BN14" i="1" s="1"/>
  <c r="AP15" i="1"/>
  <c r="BK15" i="1" s="1"/>
  <c r="AP16" i="1"/>
  <c r="BK16" i="1" s="1"/>
  <c r="AP17" i="1"/>
  <c r="BK17" i="1" s="1"/>
  <c r="AP18" i="1"/>
  <c r="BK18" i="1" s="1"/>
  <c r="AP19" i="1"/>
  <c r="BN19" i="1" s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37" i="1"/>
  <c r="AP38" i="1"/>
  <c r="BN38" i="1" s="1"/>
  <c r="AP39" i="1"/>
  <c r="BK39" i="1" s="1"/>
  <c r="AP40" i="1"/>
  <c r="BN40" i="1" s="1"/>
  <c r="AP41" i="1"/>
  <c r="BK41" i="1" s="1"/>
  <c r="AP42" i="1"/>
  <c r="BK42" i="1" s="1"/>
  <c r="AP43" i="1"/>
  <c r="BK43" i="1" s="1"/>
  <c r="AP44" i="1"/>
  <c r="BK44" i="1" s="1"/>
  <c r="AP45" i="1"/>
  <c r="BK45" i="1" s="1"/>
  <c r="AP46" i="1"/>
  <c r="BN46" i="1" s="1"/>
  <c r="AP47" i="1"/>
  <c r="BK47" i="1" s="1"/>
  <c r="AP48" i="1"/>
  <c r="BK48" i="1" s="1"/>
  <c r="AP49" i="1"/>
  <c r="BN49" i="1" s="1"/>
  <c r="AP50" i="1"/>
  <c r="BN50" i="1" s="1"/>
  <c r="AP51" i="1"/>
  <c r="BN51" i="1" s="1"/>
  <c r="AP52" i="1"/>
  <c r="AP53" i="1"/>
  <c r="AP3" i="1"/>
  <c r="BK5" i="1"/>
  <c r="BK21" i="1"/>
  <c r="BN31" i="1"/>
  <c r="BK32" i="1"/>
  <c r="BK33" i="1"/>
  <c r="BK34" i="1"/>
  <c r="BK35" i="1"/>
  <c r="BK37" i="1"/>
  <c r="BN52" i="1"/>
  <c r="BN53" i="1"/>
  <c r="BU46" i="1"/>
  <c r="BK4" i="1"/>
  <c r="BK6" i="1"/>
  <c r="BK7" i="1"/>
  <c r="BK8" i="1"/>
  <c r="BK9" i="1"/>
  <c r="BK10" i="1"/>
  <c r="BK11" i="1"/>
  <c r="BK12" i="1"/>
  <c r="BK20" i="1"/>
  <c r="BK22" i="1"/>
  <c r="BK23" i="1"/>
  <c r="BK24" i="1"/>
  <c r="BK25" i="1"/>
  <c r="BK26" i="1"/>
  <c r="BK27" i="1"/>
  <c r="BK28" i="1"/>
  <c r="BK29" i="1"/>
  <c r="BK30" i="1"/>
  <c r="BK31" i="1"/>
  <c r="BK36" i="1"/>
  <c r="BK38" i="1"/>
  <c r="BK52" i="1"/>
  <c r="BN4" i="1"/>
  <c r="BN5" i="1"/>
  <c r="BN6" i="1"/>
  <c r="BN7" i="1"/>
  <c r="BN8" i="1"/>
  <c r="BN9" i="1"/>
  <c r="BN20" i="1"/>
  <c r="BN21" i="1"/>
  <c r="BN22" i="1"/>
  <c r="BN23" i="1"/>
  <c r="BN24" i="1"/>
  <c r="BN25" i="1"/>
  <c r="BN26" i="1"/>
  <c r="BN27" i="1"/>
  <c r="BN28" i="1"/>
  <c r="BN29" i="1"/>
  <c r="BN30" i="1"/>
  <c r="BN36" i="1"/>
  <c r="BV36" i="1"/>
  <c r="BU47" i="1"/>
  <c r="BW45" i="1"/>
  <c r="AO4" i="1" s="1"/>
  <c r="AO6" i="1"/>
  <c r="AO7" i="1"/>
  <c r="AO8" i="1"/>
  <c r="AO9" i="1"/>
  <c r="AO11" i="1"/>
  <c r="AO12" i="1"/>
  <c r="AO13" i="1"/>
  <c r="AO14" i="1"/>
  <c r="AO15" i="1"/>
  <c r="AO16" i="1"/>
  <c r="AO17" i="1"/>
  <c r="AO18" i="1"/>
  <c r="BL4" i="1"/>
  <c r="BL5" i="1"/>
  <c r="BL6" i="1"/>
  <c r="BL7" i="1"/>
  <c r="BL8" i="1"/>
  <c r="BL9" i="1"/>
  <c r="BL10" i="1"/>
  <c r="BL11" i="1"/>
  <c r="BL12" i="1"/>
  <c r="BL13" i="1"/>
  <c r="BL14" i="1"/>
  <c r="BL15" i="1"/>
  <c r="BL16" i="1"/>
  <c r="BL17" i="1"/>
  <c r="BL18" i="1"/>
  <c r="BL19" i="1"/>
  <c r="BL20" i="1"/>
  <c r="BL21" i="1"/>
  <c r="BL22" i="1"/>
  <c r="BL23" i="1"/>
  <c r="BL24" i="1"/>
  <c r="BL25" i="1"/>
  <c r="BL26" i="1"/>
  <c r="BL27" i="1"/>
  <c r="BL28" i="1"/>
  <c r="BL29" i="1"/>
  <c r="BL30" i="1"/>
  <c r="BL31" i="1"/>
  <c r="BL32" i="1"/>
  <c r="BL33" i="1"/>
  <c r="BL34" i="1"/>
  <c r="BL35" i="1"/>
  <c r="BL36" i="1"/>
  <c r="BL37" i="1"/>
  <c r="BL38" i="1"/>
  <c r="BL39" i="1"/>
  <c r="BL40" i="1"/>
  <c r="BL41" i="1"/>
  <c r="BL42" i="1"/>
  <c r="BL43" i="1"/>
  <c r="BL44" i="1"/>
  <c r="BL45" i="1"/>
  <c r="BL46" i="1"/>
  <c r="BL47" i="1"/>
  <c r="BL48" i="1"/>
  <c r="BL49" i="1"/>
  <c r="BL50" i="1"/>
  <c r="BL51" i="1"/>
  <c r="BL52" i="1"/>
  <c r="BL53" i="1"/>
  <c r="BL3" i="1"/>
  <c r="AL5" i="1"/>
  <c r="AL6" i="1"/>
  <c r="AL7" i="1" s="1"/>
  <c r="AL8" i="1" s="1"/>
  <c r="AL9" i="1" s="1"/>
  <c r="AL10" i="1" s="1"/>
  <c r="AL11" i="1" s="1"/>
  <c r="AL12" i="1" s="1"/>
  <c r="AL13" i="1" s="1"/>
  <c r="AL14" i="1" s="1"/>
  <c r="AL15" i="1" s="1"/>
  <c r="AL16" i="1" s="1"/>
  <c r="AL17" i="1" s="1"/>
  <c r="AL18" i="1" s="1"/>
  <c r="AL19" i="1" s="1"/>
  <c r="AL20" i="1" s="1"/>
  <c r="AL21" i="1" s="1"/>
  <c r="AL22" i="1" s="1"/>
  <c r="AL23" i="1" s="1"/>
  <c r="AL24" i="1" s="1"/>
  <c r="AL25" i="1" s="1"/>
  <c r="AL26" i="1" s="1"/>
  <c r="AL27" i="1" s="1"/>
  <c r="AL28" i="1" s="1"/>
  <c r="AL29" i="1" s="1"/>
  <c r="AL30" i="1" s="1"/>
  <c r="AL31" i="1" s="1"/>
  <c r="AL32" i="1" s="1"/>
  <c r="AL33" i="1" s="1"/>
  <c r="AL34" i="1" s="1"/>
  <c r="AL35" i="1" s="1"/>
  <c r="AL36" i="1" s="1"/>
  <c r="AL37" i="1" s="1"/>
  <c r="AL38" i="1" s="1"/>
  <c r="AL39" i="1" s="1"/>
  <c r="AL40" i="1" s="1"/>
  <c r="AL41" i="1" s="1"/>
  <c r="AL42" i="1" s="1"/>
  <c r="AL43" i="1" s="1"/>
  <c r="AL44" i="1" s="1"/>
  <c r="AL45" i="1" s="1"/>
  <c r="AL46" i="1" s="1"/>
  <c r="AL47" i="1" s="1"/>
  <c r="AL48" i="1" s="1"/>
  <c r="AL49" i="1" s="1"/>
  <c r="AL50" i="1" s="1"/>
  <c r="AL51" i="1" s="1"/>
  <c r="AL52" i="1" s="1"/>
  <c r="AL53" i="1" s="1"/>
  <c r="AL4" i="1"/>
  <c r="AL3" i="1"/>
  <c r="AK3" i="1"/>
  <c r="BV35" i="1"/>
  <c r="Y3" i="1"/>
  <c r="X60" i="1"/>
  <c r="X4" i="1"/>
  <c r="X3" i="1"/>
  <c r="AI3" i="1"/>
  <c r="AK4" i="1"/>
  <c r="AH3" i="1"/>
  <c r="BT59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3" i="1"/>
  <c r="BV40" i="1"/>
  <c r="AD81" i="1" l="1"/>
  <c r="AE80" i="1"/>
  <c r="AE79" i="1"/>
  <c r="BK46" i="1"/>
  <c r="BN43" i="1"/>
  <c r="BN15" i="1"/>
  <c r="BN42" i="1"/>
  <c r="BN39" i="1"/>
  <c r="BK40" i="1"/>
  <c r="BK14" i="1"/>
  <c r="BN47" i="1"/>
  <c r="BN45" i="1"/>
  <c r="BN44" i="1"/>
  <c r="BN41" i="1"/>
  <c r="BN13" i="1"/>
  <c r="BN35" i="1"/>
  <c r="BN18" i="1"/>
  <c r="BK51" i="1"/>
  <c r="BK19" i="1"/>
  <c r="BN16" i="1"/>
  <c r="BN37" i="1"/>
  <c r="BK53" i="1"/>
  <c r="BN34" i="1"/>
  <c r="BN17" i="1"/>
  <c r="BK50" i="1"/>
  <c r="BN33" i="1"/>
  <c r="BK49" i="1"/>
  <c r="BN3" i="1"/>
  <c r="BN48" i="1"/>
  <c r="BN32" i="1"/>
  <c r="AO36" i="1"/>
  <c r="AO19" i="1"/>
  <c r="AO34" i="1"/>
  <c r="AO49" i="1"/>
  <c r="AO48" i="1"/>
  <c r="AO47" i="1"/>
  <c r="AO46" i="1"/>
  <c r="AO30" i="1"/>
  <c r="AO45" i="1"/>
  <c r="AO29" i="1"/>
  <c r="AO44" i="1"/>
  <c r="AO28" i="1"/>
  <c r="AO43" i="1"/>
  <c r="AO27" i="1"/>
  <c r="AO42" i="1"/>
  <c r="AO26" i="1"/>
  <c r="AO10" i="1"/>
  <c r="AO52" i="1"/>
  <c r="AO20" i="1"/>
  <c r="AO51" i="1"/>
  <c r="AO35" i="1"/>
  <c r="AO50" i="1"/>
  <c r="AO33" i="1"/>
  <c r="AO32" i="1"/>
  <c r="AO31" i="1"/>
  <c r="AO41" i="1"/>
  <c r="AO25" i="1"/>
  <c r="AO40" i="1"/>
  <c r="AO24" i="1"/>
  <c r="AO39" i="1"/>
  <c r="AO23" i="1"/>
  <c r="AO3" i="1"/>
  <c r="AO38" i="1"/>
  <c r="AO22" i="1"/>
  <c r="AO53" i="1"/>
  <c r="AO37" i="1"/>
  <c r="AO21" i="1"/>
  <c r="AO5" i="1"/>
  <c r="AS3" i="1"/>
  <c r="AH4" i="1"/>
  <c r="AH5" i="1" s="1"/>
  <c r="AI4" i="1"/>
  <c r="AJ3" i="1"/>
  <c r="AR3" i="1" s="1"/>
  <c r="Y4" i="1"/>
  <c r="AN4" i="1"/>
  <c r="AN5" i="1"/>
  <c r="AQ5" i="1" s="1"/>
  <c r="AN6" i="1"/>
  <c r="AQ6" i="1" s="1"/>
  <c r="AN7" i="1"/>
  <c r="AQ7" i="1" s="1"/>
  <c r="AN8" i="1"/>
  <c r="AQ8" i="1" s="1"/>
  <c r="AN9" i="1"/>
  <c r="AN10" i="1"/>
  <c r="AN11" i="1"/>
  <c r="AN12" i="1"/>
  <c r="AN13" i="1"/>
  <c r="AN14" i="1"/>
  <c r="AN15" i="1"/>
  <c r="AN16" i="1"/>
  <c r="AQ16" i="1" s="1"/>
  <c r="AN17" i="1"/>
  <c r="AQ17" i="1" s="1"/>
  <c r="AN18" i="1"/>
  <c r="AQ18" i="1" s="1"/>
  <c r="AN19" i="1"/>
  <c r="AQ19" i="1" s="1"/>
  <c r="AN20" i="1"/>
  <c r="AQ20" i="1" s="1"/>
  <c r="AN21" i="1"/>
  <c r="AQ21" i="1" s="1"/>
  <c r="AN22" i="1"/>
  <c r="AN23" i="1"/>
  <c r="AQ23" i="1" s="1"/>
  <c r="AN24" i="1"/>
  <c r="AN25" i="1"/>
  <c r="AN26" i="1"/>
  <c r="AN27" i="1"/>
  <c r="AN28" i="1"/>
  <c r="AN29" i="1"/>
  <c r="AN30" i="1"/>
  <c r="AN31" i="1"/>
  <c r="AQ31" i="1" s="1"/>
  <c r="AN32" i="1"/>
  <c r="AQ32" i="1" s="1"/>
  <c r="AN33" i="1"/>
  <c r="AQ33" i="1" s="1"/>
  <c r="AN34" i="1"/>
  <c r="AQ34" i="1" s="1"/>
  <c r="AN35" i="1"/>
  <c r="AN36" i="1"/>
  <c r="AN37" i="1"/>
  <c r="AQ37" i="1" s="1"/>
  <c r="AN38" i="1"/>
  <c r="AN39" i="1"/>
  <c r="AQ39" i="1" s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Q53" i="1" s="1"/>
  <c r="AN3" i="1"/>
  <c r="BV33" i="1"/>
  <c r="AD82" i="1" l="1"/>
  <c r="AE81" i="1"/>
  <c r="Y5" i="1"/>
  <c r="Z4" i="1"/>
  <c r="Z3" i="1"/>
  <c r="AI5" i="1"/>
  <c r="AJ4" i="1"/>
  <c r="AR4" i="1" s="1"/>
  <c r="AH6" i="1"/>
  <c r="AQ36" i="1"/>
  <c r="AQ4" i="1"/>
  <c r="AQ51" i="1"/>
  <c r="AQ50" i="1"/>
  <c r="AQ48" i="1"/>
  <c r="AQ15" i="1"/>
  <c r="AQ46" i="1"/>
  <c r="AQ14" i="1"/>
  <c r="AQ45" i="1"/>
  <c r="AQ44" i="1"/>
  <c r="AQ12" i="1"/>
  <c r="AQ26" i="1"/>
  <c r="AQ41" i="1"/>
  <c r="AQ25" i="1"/>
  <c r="AQ9" i="1"/>
  <c r="AQ40" i="1"/>
  <c r="AK5" i="1"/>
  <c r="AK6" i="1" s="1"/>
  <c r="AK7" i="1" s="1"/>
  <c r="AK8" i="1" s="1"/>
  <c r="AK9" i="1" s="1"/>
  <c r="AK10" i="1" s="1"/>
  <c r="AK11" i="1" s="1"/>
  <c r="AK12" i="1" s="1"/>
  <c r="AK13" i="1" s="1"/>
  <c r="AK14" i="1" s="1"/>
  <c r="AK15" i="1" s="1"/>
  <c r="AK16" i="1" s="1"/>
  <c r="AK17" i="1" s="1"/>
  <c r="AK18" i="1" s="1"/>
  <c r="AK19" i="1" s="1"/>
  <c r="AK20" i="1" s="1"/>
  <c r="AK21" i="1" s="1"/>
  <c r="AK22" i="1" s="1"/>
  <c r="AK23" i="1" s="1"/>
  <c r="AK24" i="1" s="1"/>
  <c r="AK25" i="1" s="1"/>
  <c r="AK26" i="1" s="1"/>
  <c r="AK27" i="1" s="1"/>
  <c r="AK28" i="1" s="1"/>
  <c r="AK29" i="1" s="1"/>
  <c r="AK30" i="1" s="1"/>
  <c r="AK31" i="1" s="1"/>
  <c r="AK32" i="1" s="1"/>
  <c r="AK33" i="1" s="1"/>
  <c r="AK34" i="1" s="1"/>
  <c r="AK35" i="1" s="1"/>
  <c r="AK36" i="1" s="1"/>
  <c r="AK37" i="1" s="1"/>
  <c r="AK38" i="1" s="1"/>
  <c r="AK39" i="1" s="1"/>
  <c r="AK40" i="1" s="1"/>
  <c r="AK41" i="1" s="1"/>
  <c r="AK42" i="1" s="1"/>
  <c r="AK43" i="1" s="1"/>
  <c r="AK44" i="1" s="1"/>
  <c r="AK45" i="1" s="1"/>
  <c r="AK46" i="1" s="1"/>
  <c r="AK47" i="1" s="1"/>
  <c r="AK48" i="1" s="1"/>
  <c r="AK49" i="1" s="1"/>
  <c r="AK50" i="1" s="1"/>
  <c r="AK51" i="1" s="1"/>
  <c r="AK52" i="1" s="1"/>
  <c r="AK53" i="1" s="1"/>
  <c r="AQ52" i="1"/>
  <c r="AQ35" i="1"/>
  <c r="AQ47" i="1"/>
  <c r="AQ30" i="1"/>
  <c r="AQ29" i="1"/>
  <c r="AQ13" i="1"/>
  <c r="AQ28" i="1"/>
  <c r="AQ43" i="1"/>
  <c r="AQ27" i="1"/>
  <c r="AQ11" i="1"/>
  <c r="AQ42" i="1"/>
  <c r="AQ10" i="1"/>
  <c r="AQ49" i="1"/>
  <c r="AQ24" i="1"/>
  <c r="AQ3" i="1"/>
  <c r="AQ38" i="1"/>
  <c r="AQ22" i="1"/>
  <c r="AD83" i="1" l="1"/>
  <c r="AE82" i="1"/>
  <c r="AI6" i="1"/>
  <c r="AJ5" i="1"/>
  <c r="AR5" i="1" s="1"/>
  <c r="Z5" i="1"/>
  <c r="Y6" i="1"/>
  <c r="AH7" i="1"/>
  <c r="AD84" i="1" l="1"/>
  <c r="AE83" i="1"/>
  <c r="AH8" i="1"/>
  <c r="Y7" i="1"/>
  <c r="Z6" i="1"/>
  <c r="AI7" i="1"/>
  <c r="AJ6" i="1"/>
  <c r="AR6" i="1" s="1"/>
  <c r="AE84" i="1" l="1"/>
  <c r="AD85" i="1"/>
  <c r="AI8" i="1"/>
  <c r="AJ7" i="1"/>
  <c r="AR7" i="1" s="1"/>
  <c r="Z7" i="1"/>
  <c r="Y8" i="1"/>
  <c r="AH9" i="1"/>
  <c r="AE85" i="1" l="1"/>
  <c r="AD86" i="1"/>
  <c r="AI9" i="1"/>
  <c r="AJ8" i="1"/>
  <c r="AR8" i="1" s="1"/>
  <c r="AH10" i="1"/>
  <c r="Z8" i="1"/>
  <c r="Y9" i="1"/>
  <c r="AE86" i="1" l="1"/>
  <c r="AD87" i="1"/>
  <c r="Z9" i="1"/>
  <c r="Y10" i="1"/>
  <c r="AH11" i="1"/>
  <c r="AI10" i="1"/>
  <c r="AJ9" i="1"/>
  <c r="AR9" i="1" s="1"/>
  <c r="AE87" i="1" l="1"/>
  <c r="AD88" i="1"/>
  <c r="AI11" i="1"/>
  <c r="AJ10" i="1"/>
  <c r="AR10" i="1" s="1"/>
  <c r="AH12" i="1"/>
  <c r="Z10" i="1"/>
  <c r="Y11" i="1"/>
  <c r="AD89" i="1" l="1"/>
  <c r="AE88" i="1"/>
  <c r="Z11" i="1"/>
  <c r="Y12" i="1"/>
  <c r="AH13" i="1"/>
  <c r="AJ11" i="1"/>
  <c r="AR11" i="1" s="1"/>
  <c r="AI12" i="1"/>
  <c r="AE89" i="1" l="1"/>
  <c r="AD90" i="1"/>
  <c r="AI13" i="1"/>
  <c r="AJ12" i="1"/>
  <c r="AR12" i="1" s="1"/>
  <c r="AH14" i="1"/>
  <c r="Y13" i="1"/>
  <c r="Z12" i="1"/>
  <c r="AE90" i="1" l="1"/>
  <c r="AD91" i="1"/>
  <c r="Z13" i="1"/>
  <c r="Y14" i="1"/>
  <c r="AH15" i="1"/>
  <c r="AI14" i="1"/>
  <c r="AJ13" i="1"/>
  <c r="AR13" i="1" s="1"/>
  <c r="AE91" i="1" l="1"/>
  <c r="AD92" i="1"/>
  <c r="AI15" i="1"/>
  <c r="AJ14" i="1"/>
  <c r="AR14" i="1" s="1"/>
  <c r="AH16" i="1"/>
  <c r="Z14" i="1"/>
  <c r="Y15" i="1"/>
  <c r="AE92" i="1" l="1"/>
  <c r="AD93" i="1"/>
  <c r="Z15" i="1"/>
  <c r="Y16" i="1"/>
  <c r="AH17" i="1"/>
  <c r="AI16" i="1"/>
  <c r="AJ15" i="1"/>
  <c r="AR15" i="1" s="1"/>
  <c r="AD94" i="1" l="1"/>
  <c r="AE93" i="1"/>
  <c r="AI17" i="1"/>
  <c r="AJ16" i="1"/>
  <c r="AR16" i="1" s="1"/>
  <c r="AH18" i="1"/>
  <c r="Y17" i="1"/>
  <c r="Z16" i="1"/>
  <c r="AD95" i="1" l="1"/>
  <c r="AE94" i="1"/>
  <c r="Z17" i="1"/>
  <c r="Y18" i="1"/>
  <c r="AH19" i="1"/>
  <c r="AI18" i="1"/>
  <c r="AJ17" i="1"/>
  <c r="AR17" i="1" s="1"/>
  <c r="AD96" i="1" l="1"/>
  <c r="AE95" i="1"/>
  <c r="AI19" i="1"/>
  <c r="AJ18" i="1"/>
  <c r="AR18" i="1" s="1"/>
  <c r="AH20" i="1"/>
  <c r="Y19" i="1"/>
  <c r="Z18" i="1"/>
  <c r="AD97" i="1" l="1"/>
  <c r="AE96" i="1"/>
  <c r="Y20" i="1"/>
  <c r="Z19" i="1"/>
  <c r="AH21" i="1"/>
  <c r="AI20" i="1"/>
  <c r="AJ19" i="1"/>
  <c r="AR19" i="1" s="1"/>
  <c r="AD98" i="1" l="1"/>
  <c r="AE97" i="1"/>
  <c r="AI21" i="1"/>
  <c r="AJ20" i="1"/>
  <c r="AR20" i="1" s="1"/>
  <c r="AH22" i="1"/>
  <c r="Z20" i="1"/>
  <c r="Y21" i="1"/>
  <c r="AD99" i="1" l="1"/>
  <c r="AE98" i="1"/>
  <c r="Y22" i="1"/>
  <c r="Z21" i="1"/>
  <c r="AH23" i="1"/>
  <c r="AI22" i="1"/>
  <c r="AJ21" i="1"/>
  <c r="AR21" i="1" s="1"/>
  <c r="AD100" i="1" l="1"/>
  <c r="AE99" i="1"/>
  <c r="AI23" i="1"/>
  <c r="AJ22" i="1"/>
  <c r="AR22" i="1" s="1"/>
  <c r="AH24" i="1"/>
  <c r="Z22" i="1"/>
  <c r="Y23" i="1"/>
  <c r="AE100" i="1" l="1"/>
  <c r="AD101" i="1"/>
  <c r="Y24" i="1"/>
  <c r="Z23" i="1"/>
  <c r="AH25" i="1"/>
  <c r="AI24" i="1"/>
  <c r="AJ23" i="1"/>
  <c r="AR23" i="1" s="1"/>
  <c r="AE101" i="1" l="1"/>
  <c r="AD102" i="1"/>
  <c r="AI25" i="1"/>
  <c r="AJ24" i="1"/>
  <c r="AR24" i="1" s="1"/>
  <c r="AH26" i="1"/>
  <c r="Y25" i="1"/>
  <c r="Z24" i="1"/>
  <c r="AE102" i="1" l="1"/>
  <c r="AD103" i="1"/>
  <c r="Z25" i="1"/>
  <c r="Y26" i="1"/>
  <c r="AH27" i="1"/>
  <c r="AI26" i="1"/>
  <c r="AJ25" i="1"/>
  <c r="AR25" i="1" s="1"/>
  <c r="AD104" i="1" l="1"/>
  <c r="AE103" i="1"/>
  <c r="AI27" i="1"/>
  <c r="AJ26" i="1"/>
  <c r="AR26" i="1" s="1"/>
  <c r="AH28" i="1"/>
  <c r="Z26" i="1"/>
  <c r="Y27" i="1"/>
  <c r="AE104" i="1" l="1"/>
  <c r="AD105" i="1"/>
  <c r="Y28" i="1"/>
  <c r="Z27" i="1"/>
  <c r="AH29" i="1"/>
  <c r="AI28" i="1"/>
  <c r="AJ27" i="1"/>
  <c r="AR27" i="1" s="1"/>
  <c r="BT54" i="1"/>
  <c r="BT56" i="1"/>
  <c r="AE105" i="1" l="1"/>
  <c r="AD106" i="1"/>
  <c r="AI29" i="1"/>
  <c r="AJ28" i="1"/>
  <c r="AR28" i="1" s="1"/>
  <c r="AH30" i="1"/>
  <c r="Y29" i="1"/>
  <c r="Z28" i="1"/>
  <c r="BU42" i="1"/>
  <c r="BU41" i="1"/>
  <c r="BU37" i="1"/>
  <c r="AE106" i="1" l="1"/>
  <c r="AD107" i="1"/>
  <c r="Z29" i="1"/>
  <c r="Y30" i="1"/>
  <c r="AH31" i="1"/>
  <c r="AI30" i="1"/>
  <c r="AJ29" i="1"/>
  <c r="AR29" i="1" s="1"/>
  <c r="BV34" i="1"/>
  <c r="BU38" i="1"/>
  <c r="AA5" i="8"/>
  <c r="AA6" i="8"/>
  <c r="AA7" i="8" s="1"/>
  <c r="AA8" i="8" s="1"/>
  <c r="AA9" i="8" s="1"/>
  <c r="AA10" i="8" s="1"/>
  <c r="AA11" i="8" s="1"/>
  <c r="AA12" i="8" s="1"/>
  <c r="AA13" i="8" s="1"/>
  <c r="AA14" i="8" s="1"/>
  <c r="AA15" i="8" s="1"/>
  <c r="AA16" i="8" s="1"/>
  <c r="AA17" i="8" s="1"/>
  <c r="AA18" i="8"/>
  <c r="AA19" i="8"/>
  <c r="AA20" i="8"/>
  <c r="AA21" i="8" s="1"/>
  <c r="AA22" i="8" s="1"/>
  <c r="AA23" i="8" s="1"/>
  <c r="AA24" i="8" s="1"/>
  <c r="AA25" i="8" s="1"/>
  <c r="AA26" i="8" s="1"/>
  <c r="AA27" i="8" s="1"/>
  <c r="AA28" i="8" s="1"/>
  <c r="AA29" i="8" s="1"/>
  <c r="AA30" i="8" s="1"/>
  <c r="AA31" i="8" s="1"/>
  <c r="AA32" i="8" s="1"/>
  <c r="AA33" i="8" s="1"/>
  <c r="AA34" i="8"/>
  <c r="AA35" i="8"/>
  <c r="AA36" i="8"/>
  <c r="AA37" i="8" s="1"/>
  <c r="AA38" i="8" s="1"/>
  <c r="AA39" i="8" s="1"/>
  <c r="AA40" i="8" s="1"/>
  <c r="AA41" i="8" s="1"/>
  <c r="AA42" i="8" s="1"/>
  <c r="AA43" i="8" s="1"/>
  <c r="AA44" i="8" s="1"/>
  <c r="AA45" i="8" s="1"/>
  <c r="AA46" i="8" s="1"/>
  <c r="AA47" i="8" s="1"/>
  <c r="AA48" i="8" s="1"/>
  <c r="AA49" i="8" s="1"/>
  <c r="AA50" i="8"/>
  <c r="AA51" i="8"/>
  <c r="AA52" i="8"/>
  <c r="AA53" i="8" s="1"/>
  <c r="AA54" i="8" s="1"/>
  <c r="AA55" i="8" s="1"/>
  <c r="AA56" i="8" s="1"/>
  <c r="AA57" i="8" s="1"/>
  <c r="AA58" i="8" s="1"/>
  <c r="AA59" i="8" s="1"/>
  <c r="AA60" i="8" s="1"/>
  <c r="AA61" i="8" s="1"/>
  <c r="AA62" i="8" s="1"/>
  <c r="AA63" i="8" s="1"/>
  <c r="AA64" i="8" s="1"/>
  <c r="AA65" i="8" s="1"/>
  <c r="AA66" i="8"/>
  <c r="AA67" i="8"/>
  <c r="AA68" i="8"/>
  <c r="AA69" i="8" s="1"/>
  <c r="AA70" i="8" s="1"/>
  <c r="AA71" i="8" s="1"/>
  <c r="AA72" i="8" s="1"/>
  <c r="AA73" i="8" s="1"/>
  <c r="AA74" i="8" s="1"/>
  <c r="AA75" i="8" s="1"/>
  <c r="AA76" i="8" s="1"/>
  <c r="AA77" i="8" s="1"/>
  <c r="AA78" i="8" s="1"/>
  <c r="AA79" i="8" s="1"/>
  <c r="AA80" i="8" s="1"/>
  <c r="AA81" i="8"/>
  <c r="AA82" i="8"/>
  <c r="AA83" i="8" s="1"/>
  <c r="AA84" i="8" s="1"/>
  <c r="AA85" i="8" s="1"/>
  <c r="AA86" i="8" s="1"/>
  <c r="AA87" i="8" s="1"/>
  <c r="AA88" i="8" s="1"/>
  <c r="AA89" i="8" s="1"/>
  <c r="AA90" i="8" s="1"/>
  <c r="AA91" i="8" s="1"/>
  <c r="AA92" i="8" s="1"/>
  <c r="AA93" i="8" s="1"/>
  <c r="AA94" i="8" s="1"/>
  <c r="AA95" i="8" s="1"/>
  <c r="AA96" i="8" s="1"/>
  <c r="AA97" i="8" s="1"/>
  <c r="AA98" i="8" s="1"/>
  <c r="AA99" i="8" s="1"/>
  <c r="AA100" i="8" s="1"/>
  <c r="AA101" i="8" s="1"/>
  <c r="AA102" i="8" s="1"/>
  <c r="AA103" i="8" s="1"/>
  <c r="AA104" i="8" s="1"/>
  <c r="AA105" i="8" s="1"/>
  <c r="AA106" i="8" s="1"/>
  <c r="AA107" i="8" s="1"/>
  <c r="AA108" i="8" s="1"/>
  <c r="AA109" i="8" s="1"/>
  <c r="AA110" i="8" s="1"/>
  <c r="AA111" i="8" s="1"/>
  <c r="AA112" i="8" s="1"/>
  <c r="AA113" i="8" s="1"/>
  <c r="AA114" i="8" s="1"/>
  <c r="AA115" i="8" s="1"/>
  <c r="AA116" i="8" s="1"/>
  <c r="AA117" i="8" s="1"/>
  <c r="AA118" i="8" s="1"/>
  <c r="AA119" i="8" s="1"/>
  <c r="AA120" i="8" s="1"/>
  <c r="AA121" i="8" s="1"/>
  <c r="AA122" i="8" s="1"/>
  <c r="AA123" i="8" s="1"/>
  <c r="AA124" i="8" s="1"/>
  <c r="AA125" i="8" s="1"/>
  <c r="AA126" i="8" s="1"/>
  <c r="AA127" i="8" s="1"/>
  <c r="AA128" i="8" s="1"/>
  <c r="AA129" i="8" s="1"/>
  <c r="AA130" i="8" s="1"/>
  <c r="AA131" i="8" s="1"/>
  <c r="AA132" i="8" s="1"/>
  <c r="AA133" i="8" s="1"/>
  <c r="AA134" i="8" s="1"/>
  <c r="AA135" i="8" s="1"/>
  <c r="AA136" i="8" s="1"/>
  <c r="AA137" i="8" s="1"/>
  <c r="AA138" i="8" s="1"/>
  <c r="AA139" i="8" s="1"/>
  <c r="AA140" i="8" s="1"/>
  <c r="AA141" i="8" s="1"/>
  <c r="AA142" i="8" s="1"/>
  <c r="AA143" i="8" s="1"/>
  <c r="AA144" i="8" s="1"/>
  <c r="AA145" i="8" s="1"/>
  <c r="AA146" i="8" s="1"/>
  <c r="AA147" i="8" s="1"/>
  <c r="AA148" i="8" s="1"/>
  <c r="AA149" i="8" s="1"/>
  <c r="AA150" i="8" s="1"/>
  <c r="AA151" i="8" s="1"/>
  <c r="AA152" i="8" s="1"/>
  <c r="AA153" i="8" s="1"/>
  <c r="AA154" i="8" s="1"/>
  <c r="AA155" i="8" s="1"/>
  <c r="AA156" i="8" s="1"/>
  <c r="AA157" i="8" s="1"/>
  <c r="AA158" i="8" s="1"/>
  <c r="AA159" i="8" s="1"/>
  <c r="AA160" i="8" s="1"/>
  <c r="AA161" i="8" s="1"/>
  <c r="AA162" i="8" s="1"/>
  <c r="AA163" i="8" s="1"/>
  <c r="AA164" i="8" s="1"/>
  <c r="AA165" i="8" s="1"/>
  <c r="AA166" i="8" s="1"/>
  <c r="AA167" i="8" s="1"/>
  <c r="AA168" i="8" s="1"/>
  <c r="AA169" i="8" s="1"/>
  <c r="AA170" i="8" s="1"/>
  <c r="AA171" i="8" s="1"/>
  <c r="AA4" i="8"/>
  <c r="AA3" i="8"/>
  <c r="Y174" i="8"/>
  <c r="Z151" i="8"/>
  <c r="Z152" i="8"/>
  <c r="Z153" i="8"/>
  <c r="Z154" i="8"/>
  <c r="Z155" i="8"/>
  <c r="Z156" i="8"/>
  <c r="Z157" i="8"/>
  <c r="Z158" i="8"/>
  <c r="Z159" i="8"/>
  <c r="Z160" i="8"/>
  <c r="Z161" i="8"/>
  <c r="Z162" i="8"/>
  <c r="Z163" i="8"/>
  <c r="Z164" i="8"/>
  <c r="Z165" i="8"/>
  <c r="Z166" i="8"/>
  <c r="Z167" i="8"/>
  <c r="Z168" i="8"/>
  <c r="Z169" i="8"/>
  <c r="Z170" i="8"/>
  <c r="Z171" i="8"/>
  <c r="Y151" i="8"/>
  <c r="Y152" i="8" s="1"/>
  <c r="Y153" i="8" s="1"/>
  <c r="Y154" i="8" s="1"/>
  <c r="Y155" i="8" s="1"/>
  <c r="Y156" i="8" s="1"/>
  <c r="Y157" i="8" s="1"/>
  <c r="Y158" i="8" s="1"/>
  <c r="Y159" i="8" s="1"/>
  <c r="Y160" i="8" s="1"/>
  <c r="Y161" i="8" s="1"/>
  <c r="Y162" i="8" s="1"/>
  <c r="Y163" i="8" s="1"/>
  <c r="Y164" i="8" s="1"/>
  <c r="Y165" i="8" s="1"/>
  <c r="Y166" i="8" s="1"/>
  <c r="Y167" i="8" s="1"/>
  <c r="Y168" i="8" s="1"/>
  <c r="Y169" i="8" s="1"/>
  <c r="Y170" i="8" s="1"/>
  <c r="Y171" i="8" s="1"/>
  <c r="Z109" i="8"/>
  <c r="Z110" i="8"/>
  <c r="Z111" i="8"/>
  <c r="Z112" i="8"/>
  <c r="Z113" i="8"/>
  <c r="Z114" i="8"/>
  <c r="Z115" i="8"/>
  <c r="Z116" i="8"/>
  <c r="Z117" i="8"/>
  <c r="Z118" i="8"/>
  <c r="Z119" i="8"/>
  <c r="Z120" i="8"/>
  <c r="Z121" i="8"/>
  <c r="Z122" i="8"/>
  <c r="Z123" i="8"/>
  <c r="Z124" i="8"/>
  <c r="Z125" i="8"/>
  <c r="Z126" i="8"/>
  <c r="Z127" i="8"/>
  <c r="Z128" i="8"/>
  <c r="Z129" i="8"/>
  <c r="Z130" i="8"/>
  <c r="Z131" i="8"/>
  <c r="Z132" i="8"/>
  <c r="Z133" i="8"/>
  <c r="Z134" i="8"/>
  <c r="Z135" i="8"/>
  <c r="Z136" i="8"/>
  <c r="Z137" i="8"/>
  <c r="Z138" i="8"/>
  <c r="Z139" i="8"/>
  <c r="Z140" i="8"/>
  <c r="Z141" i="8"/>
  <c r="Z142" i="8"/>
  <c r="Z143" i="8"/>
  <c r="Z144" i="8"/>
  <c r="Z145" i="8"/>
  <c r="Z146" i="8"/>
  <c r="Z147" i="8"/>
  <c r="Z148" i="8"/>
  <c r="Z149" i="8"/>
  <c r="Z150" i="8"/>
  <c r="Y109" i="8"/>
  <c r="Y110" i="8"/>
  <c r="Y111" i="8" s="1"/>
  <c r="Y112" i="8" s="1"/>
  <c r="Y113" i="8" s="1"/>
  <c r="Y114" i="8" s="1"/>
  <c r="Y115" i="8" s="1"/>
  <c r="Y116" i="8" s="1"/>
  <c r="Y117" i="8" s="1"/>
  <c r="Y118" i="8" s="1"/>
  <c r="Y119" i="8" s="1"/>
  <c r="Y120" i="8" s="1"/>
  <c r="Y121" i="8" s="1"/>
  <c r="Y122" i="8" s="1"/>
  <c r="Y123" i="8" s="1"/>
  <c r="Y124" i="8" s="1"/>
  <c r="Y125" i="8" s="1"/>
  <c r="Y126" i="8" s="1"/>
  <c r="Y127" i="8" s="1"/>
  <c r="Y128" i="8" s="1"/>
  <c r="Y129" i="8" s="1"/>
  <c r="Y130" i="8" s="1"/>
  <c r="Y131" i="8" s="1"/>
  <c r="Y132" i="8" s="1"/>
  <c r="Y133" i="8" s="1"/>
  <c r="Y134" i="8" s="1"/>
  <c r="Y135" i="8" s="1"/>
  <c r="Y136" i="8" s="1"/>
  <c r="Y137" i="8" s="1"/>
  <c r="Y138" i="8" s="1"/>
  <c r="Y139" i="8" s="1"/>
  <c r="Y140" i="8" s="1"/>
  <c r="Y141" i="8" s="1"/>
  <c r="Y142" i="8" s="1"/>
  <c r="Y143" i="8" s="1"/>
  <c r="Y144" i="8" s="1"/>
  <c r="Y145" i="8" s="1"/>
  <c r="Y146" i="8" s="1"/>
  <c r="Y147" i="8" s="1"/>
  <c r="Y148" i="8" s="1"/>
  <c r="Y149" i="8" s="1"/>
  <c r="Y150" i="8" s="1"/>
  <c r="Z69" i="8"/>
  <c r="Z70" i="8"/>
  <c r="Z71" i="8"/>
  <c r="Z72" i="8"/>
  <c r="Z73" i="8"/>
  <c r="Z74" i="8"/>
  <c r="Z75" i="8"/>
  <c r="Z76" i="8"/>
  <c r="Z77" i="8"/>
  <c r="Z78" i="8"/>
  <c r="Z79" i="8"/>
  <c r="Z80" i="8"/>
  <c r="Z81" i="8"/>
  <c r="Z82" i="8"/>
  <c r="Z83" i="8"/>
  <c r="Z84" i="8"/>
  <c r="Z85" i="8"/>
  <c r="Z86" i="8"/>
  <c r="Z87" i="8"/>
  <c r="Z88" i="8"/>
  <c r="Z89" i="8"/>
  <c r="Z90" i="8"/>
  <c r="Z91" i="8"/>
  <c r="Z92" i="8"/>
  <c r="Z93" i="8"/>
  <c r="Z94" i="8"/>
  <c r="Z95" i="8"/>
  <c r="Z96" i="8"/>
  <c r="Z97" i="8"/>
  <c r="Z98" i="8"/>
  <c r="Z99" i="8"/>
  <c r="Z100" i="8"/>
  <c r="Z101" i="8"/>
  <c r="Z102" i="8"/>
  <c r="Z103" i="8"/>
  <c r="Z104" i="8"/>
  <c r="Z105" i="8"/>
  <c r="Z106" i="8"/>
  <c r="Z107" i="8"/>
  <c r="Z108" i="8"/>
  <c r="Y67" i="8"/>
  <c r="Y68" i="8"/>
  <c r="Y69" i="8"/>
  <c r="Y70" i="8"/>
  <c r="Y71" i="8"/>
  <c r="Y72" i="8"/>
  <c r="Y73" i="8"/>
  <c r="Y74" i="8"/>
  <c r="Y75" i="8"/>
  <c r="Y76" i="8"/>
  <c r="Y77" i="8"/>
  <c r="Y78" i="8"/>
  <c r="Y79" i="8"/>
  <c r="Y80" i="8"/>
  <c r="Y81" i="8"/>
  <c r="Y82" i="8"/>
  <c r="Y83" i="8" s="1"/>
  <c r="Y84" i="8" s="1"/>
  <c r="Y85" i="8" s="1"/>
  <c r="Y86" i="8" s="1"/>
  <c r="Y87" i="8" s="1"/>
  <c r="Y88" i="8" s="1"/>
  <c r="Y89" i="8" s="1"/>
  <c r="Y90" i="8" s="1"/>
  <c r="Y91" i="8" s="1"/>
  <c r="Y92" i="8" s="1"/>
  <c r="Y93" i="8" s="1"/>
  <c r="Y94" i="8" s="1"/>
  <c r="Y95" i="8" s="1"/>
  <c r="Y96" i="8" s="1"/>
  <c r="Y97" i="8" s="1"/>
  <c r="Y98" i="8" s="1"/>
  <c r="Y99" i="8" s="1"/>
  <c r="Y100" i="8" s="1"/>
  <c r="Y101" i="8" s="1"/>
  <c r="Y102" i="8" s="1"/>
  <c r="Y103" i="8" s="1"/>
  <c r="Y104" i="8" s="1"/>
  <c r="Y105" i="8" s="1"/>
  <c r="Y106" i="8" s="1"/>
  <c r="Y107" i="8" s="1"/>
  <c r="Y108" i="8" s="1"/>
  <c r="Z27" i="8"/>
  <c r="Z28" i="8"/>
  <c r="Z29" i="8"/>
  <c r="Z30" i="8"/>
  <c r="Z31" i="8"/>
  <c r="Z32" i="8"/>
  <c r="Z33" i="8"/>
  <c r="Z34" i="8"/>
  <c r="Z35" i="8"/>
  <c r="Z36" i="8"/>
  <c r="Z37" i="8"/>
  <c r="Z38" i="8"/>
  <c r="Z39" i="8"/>
  <c r="Z40" i="8"/>
  <c r="Z41" i="8"/>
  <c r="Z42" i="8"/>
  <c r="Z43" i="8"/>
  <c r="Z44" i="8"/>
  <c r="Z45" i="8"/>
  <c r="Z46" i="8"/>
  <c r="Z47" i="8"/>
  <c r="Z48" i="8"/>
  <c r="Z49" i="8"/>
  <c r="Z50" i="8"/>
  <c r="Z51" i="8"/>
  <c r="Z52" i="8"/>
  <c r="Z53" i="8"/>
  <c r="Z54" i="8"/>
  <c r="Z55" i="8"/>
  <c r="Z56" i="8"/>
  <c r="Z57" i="8"/>
  <c r="Z58" i="8"/>
  <c r="Z59" i="8"/>
  <c r="Z60" i="8"/>
  <c r="Z61" i="8"/>
  <c r="Z62" i="8"/>
  <c r="Z63" i="8"/>
  <c r="Z64" i="8"/>
  <c r="Z65" i="8"/>
  <c r="Z66" i="8"/>
  <c r="Z67" i="8"/>
  <c r="Z68" i="8"/>
  <c r="Y27" i="8"/>
  <c r="Y28" i="8"/>
  <c r="Y29" i="8"/>
  <c r="Y30" i="8"/>
  <c r="Y31" i="8"/>
  <c r="Y32" i="8"/>
  <c r="Y33" i="8"/>
  <c r="Y34" i="8"/>
  <c r="Y35" i="8"/>
  <c r="Y36" i="8"/>
  <c r="Y37" i="8"/>
  <c r="Y38" i="8"/>
  <c r="Y39" i="8"/>
  <c r="Y40" i="8"/>
  <c r="Y41" i="8"/>
  <c r="Y42" i="8"/>
  <c r="Y43" i="8" s="1"/>
  <c r="Y44" i="8" s="1"/>
  <c r="Y45" i="8" s="1"/>
  <c r="Y46" i="8" s="1"/>
  <c r="Y47" i="8" s="1"/>
  <c r="Y48" i="8" s="1"/>
  <c r="Y49" i="8" s="1"/>
  <c r="Y50" i="8" s="1"/>
  <c r="Y51" i="8" s="1"/>
  <c r="Y52" i="8" s="1"/>
  <c r="Y53" i="8" s="1"/>
  <c r="Y54" i="8" s="1"/>
  <c r="Y55" i="8" s="1"/>
  <c r="Y56" i="8" s="1"/>
  <c r="Y57" i="8" s="1"/>
  <c r="Y58" i="8" s="1"/>
  <c r="Y59" i="8" s="1"/>
  <c r="Y60" i="8" s="1"/>
  <c r="Y61" i="8" s="1"/>
  <c r="Y62" i="8" s="1"/>
  <c r="Y63" i="8" s="1"/>
  <c r="Y64" i="8" s="1"/>
  <c r="Y65" i="8" s="1"/>
  <c r="Y66" i="8" s="1"/>
  <c r="Y26" i="8"/>
  <c r="Z26" i="8"/>
  <c r="Z4" i="8"/>
  <c r="Z5" i="8"/>
  <c r="Z6" i="8"/>
  <c r="Z7" i="8"/>
  <c r="Z8" i="8"/>
  <c r="Z9" i="8"/>
  <c r="Z10" i="8"/>
  <c r="Z11" i="8"/>
  <c r="Z12" i="8"/>
  <c r="Z13" i="8"/>
  <c r="Z14" i="8"/>
  <c r="Z15" i="8"/>
  <c r="Z16" i="8"/>
  <c r="Z17" i="8"/>
  <c r="Z18" i="8"/>
  <c r="Z19" i="8"/>
  <c r="Z20" i="8"/>
  <c r="Z21" i="8"/>
  <c r="Z22" i="8"/>
  <c r="Z23" i="8"/>
  <c r="Z24" i="8"/>
  <c r="Z25" i="8"/>
  <c r="Z3" i="8"/>
  <c r="Y4" i="8"/>
  <c r="Y5" i="8"/>
  <c r="Y6" i="8"/>
  <c r="Y7" i="8"/>
  <c r="Y8" i="8"/>
  <c r="Y9" i="8"/>
  <c r="Y10" i="8"/>
  <c r="Y11" i="8"/>
  <c r="Y12" i="8"/>
  <c r="Y13" i="8"/>
  <c r="Y14" i="8"/>
  <c r="Y15" i="8"/>
  <c r="Y16" i="8"/>
  <c r="Y17" i="8"/>
  <c r="Y18" i="8"/>
  <c r="Y19" i="8"/>
  <c r="Y20" i="8"/>
  <c r="Y21" i="8"/>
  <c r="Y22" i="8"/>
  <c r="Y23" i="8"/>
  <c r="Y24" i="8"/>
  <c r="Y25" i="8"/>
  <c r="Y3" i="8"/>
  <c r="V5" i="8"/>
  <c r="V6" i="8"/>
  <c r="V7" i="8" s="1"/>
  <c r="V8" i="8" s="1"/>
  <c r="V9" i="8" s="1"/>
  <c r="V10" i="8" s="1"/>
  <c r="V11" i="8" s="1"/>
  <c r="V12" i="8" s="1"/>
  <c r="V13" i="8" s="1"/>
  <c r="V14" i="8" s="1"/>
  <c r="V15" i="8" s="1"/>
  <c r="V16" i="8" s="1"/>
  <c r="V17" i="8" s="1"/>
  <c r="V18" i="8" s="1"/>
  <c r="V19" i="8" s="1"/>
  <c r="V20" i="8" s="1"/>
  <c r="V21" i="8" s="1"/>
  <c r="V22" i="8" s="1"/>
  <c r="V23" i="8" s="1"/>
  <c r="V24" i="8" s="1"/>
  <c r="V25" i="8" s="1"/>
  <c r="V4" i="8"/>
  <c r="V3" i="8"/>
  <c r="U25" i="8"/>
  <c r="U4" i="8"/>
  <c r="U5" i="8"/>
  <c r="U6" i="8"/>
  <c r="U7" i="8"/>
  <c r="U8" i="8"/>
  <c r="U9" i="8"/>
  <c r="U10" i="8"/>
  <c r="U11" i="8"/>
  <c r="U12" i="8"/>
  <c r="U13" i="8"/>
  <c r="U14" i="8"/>
  <c r="U15" i="8"/>
  <c r="U16" i="8"/>
  <c r="U17" i="8"/>
  <c r="U18" i="8"/>
  <c r="U19" i="8"/>
  <c r="U20" i="8"/>
  <c r="U21" i="8"/>
  <c r="U22" i="8"/>
  <c r="U23" i="8"/>
  <c r="U24" i="8"/>
  <c r="U3" i="8"/>
  <c r="Y29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3" i="6"/>
  <c r="V5" i="6"/>
  <c r="V6" i="6"/>
  <c r="V7" i="6" s="1"/>
  <c r="V8" i="6" s="1"/>
  <c r="V9" i="6" s="1"/>
  <c r="V10" i="6" s="1"/>
  <c r="V11" i="6" s="1"/>
  <c r="V12" i="6" s="1"/>
  <c r="V13" i="6" s="1"/>
  <c r="V14" i="6" s="1"/>
  <c r="V15" i="6" s="1"/>
  <c r="V16" i="6" s="1"/>
  <c r="V17" i="6" s="1"/>
  <c r="V18" i="6" s="1"/>
  <c r="V19" i="6" s="1"/>
  <c r="V20" i="6" s="1"/>
  <c r="V21" i="6" s="1"/>
  <c r="V22" i="6" s="1"/>
  <c r="V23" i="6" s="1"/>
  <c r="V24" i="6" s="1"/>
  <c r="V25" i="6" s="1"/>
  <c r="V26" i="6" s="1"/>
  <c r="V27" i="6" s="1"/>
  <c r="V28" i="6" s="1"/>
  <c r="V29" i="6" s="1"/>
  <c r="V4" i="6"/>
  <c r="V3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" i="6"/>
  <c r="Y1478" i="5"/>
  <c r="AA112" i="5"/>
  <c r="AA113" i="5" s="1"/>
  <c r="AA114" i="5"/>
  <c r="AA115" i="5"/>
  <c r="AA116" i="5"/>
  <c r="AA117" i="5"/>
  <c r="AA118" i="5"/>
  <c r="AA119" i="5"/>
  <c r="AA120" i="5"/>
  <c r="AA121" i="5"/>
  <c r="AA122" i="5"/>
  <c r="AA123" i="5"/>
  <c r="AA124" i="5"/>
  <c r="AA125" i="5"/>
  <c r="AA126" i="5"/>
  <c r="AA127" i="5"/>
  <c r="AA128" i="5" s="1"/>
  <c r="AA129" i="5" s="1"/>
  <c r="AA130" i="5" s="1"/>
  <c r="AA131" i="5" s="1"/>
  <c r="AA132" i="5" s="1"/>
  <c r="AA133" i="5" s="1"/>
  <c r="AA134" i="5" s="1"/>
  <c r="AA135" i="5" s="1"/>
  <c r="AA136" i="5" s="1"/>
  <c r="AA137" i="5" s="1"/>
  <c r="AA138" i="5" s="1"/>
  <c r="AA139" i="5" s="1"/>
  <c r="AA140" i="5" s="1"/>
  <c r="AA141" i="5" s="1"/>
  <c r="AA142" i="5" s="1"/>
  <c r="AA143" i="5" s="1"/>
  <c r="AA144" i="5" s="1"/>
  <c r="AA145" i="5" s="1"/>
  <c r="AA146" i="5" s="1"/>
  <c r="AA147" i="5" s="1"/>
  <c r="AA148" i="5" s="1"/>
  <c r="AA149" i="5" s="1"/>
  <c r="AA150" i="5" s="1"/>
  <c r="AA151" i="5" s="1"/>
  <c r="AA152" i="5" s="1"/>
  <c r="AA153" i="5" s="1"/>
  <c r="AA154" i="5" s="1"/>
  <c r="AA155" i="5" s="1"/>
  <c r="AA156" i="5" s="1"/>
  <c r="AA157" i="5" s="1"/>
  <c r="AA158" i="5" s="1"/>
  <c r="AA159" i="5" s="1"/>
  <c r="AA160" i="5" s="1"/>
  <c r="AA161" i="5" s="1"/>
  <c r="AA162" i="5" s="1"/>
  <c r="AA163" i="5" s="1"/>
  <c r="AA164" i="5" s="1"/>
  <c r="AA165" i="5" s="1"/>
  <c r="AA166" i="5" s="1"/>
  <c r="AA167" i="5" s="1"/>
  <c r="AA168" i="5" s="1"/>
  <c r="AA169" i="5" s="1"/>
  <c r="AA170" i="5" s="1"/>
  <c r="AA171" i="5" s="1"/>
  <c r="AA172" i="5" s="1"/>
  <c r="AA173" i="5" s="1"/>
  <c r="AA174" i="5" s="1"/>
  <c r="AA175" i="5" s="1"/>
  <c r="AA176" i="5" s="1"/>
  <c r="AA177" i="5" s="1"/>
  <c r="AA178" i="5" s="1"/>
  <c r="AA179" i="5" s="1"/>
  <c r="AA180" i="5" s="1"/>
  <c r="AA181" i="5" s="1"/>
  <c r="AA182" i="5" s="1"/>
  <c r="AA183" i="5" s="1"/>
  <c r="AA184" i="5" s="1"/>
  <c r="AA185" i="5" s="1"/>
  <c r="AA186" i="5" s="1"/>
  <c r="AA187" i="5" s="1"/>
  <c r="AA188" i="5" s="1"/>
  <c r="AA189" i="5" s="1"/>
  <c r="AA190" i="5" s="1"/>
  <c r="AA191" i="5" s="1"/>
  <c r="AA192" i="5" s="1"/>
  <c r="AA193" i="5" s="1"/>
  <c r="AA194" i="5" s="1"/>
  <c r="AA195" i="5" s="1"/>
  <c r="AA196" i="5" s="1"/>
  <c r="AA197" i="5" s="1"/>
  <c r="AA198" i="5" s="1"/>
  <c r="AA199" i="5" s="1"/>
  <c r="AA200" i="5" s="1"/>
  <c r="AA201" i="5" s="1"/>
  <c r="AA202" i="5" s="1"/>
  <c r="AA203" i="5" s="1"/>
  <c r="AA204" i="5" s="1"/>
  <c r="AA205" i="5" s="1"/>
  <c r="AA206" i="5" s="1"/>
  <c r="AA207" i="5" s="1"/>
  <c r="AA208" i="5" s="1"/>
  <c r="AA209" i="5" s="1"/>
  <c r="AA210" i="5" s="1"/>
  <c r="AA211" i="5" s="1"/>
  <c r="AA212" i="5" s="1"/>
  <c r="AA213" i="5" s="1"/>
  <c r="AA214" i="5" s="1"/>
  <c r="AA215" i="5" s="1"/>
  <c r="AA216" i="5" s="1"/>
  <c r="AA217" i="5" s="1"/>
  <c r="AA218" i="5" s="1"/>
  <c r="AA219" i="5" s="1"/>
  <c r="AA220" i="5" s="1"/>
  <c r="AA221" i="5" s="1"/>
  <c r="AA222" i="5" s="1"/>
  <c r="AA223" i="5" s="1"/>
  <c r="AA224" i="5" s="1"/>
  <c r="AA225" i="5" s="1"/>
  <c r="AA226" i="5" s="1"/>
  <c r="AA227" i="5" s="1"/>
  <c r="AA228" i="5" s="1"/>
  <c r="AA229" i="5" s="1"/>
  <c r="AA230" i="5" s="1"/>
  <c r="AA231" i="5" s="1"/>
  <c r="AA232" i="5" s="1"/>
  <c r="AA233" i="5" s="1"/>
  <c r="AA234" i="5" s="1"/>
  <c r="AA235" i="5" s="1"/>
  <c r="AA236" i="5" s="1"/>
  <c r="AA237" i="5" s="1"/>
  <c r="AA238" i="5" s="1"/>
  <c r="AA239" i="5" s="1"/>
  <c r="AA240" i="5" s="1"/>
  <c r="AA241" i="5" s="1"/>
  <c r="AA242" i="5" s="1"/>
  <c r="AA243" i="5" s="1"/>
  <c r="AA244" i="5" s="1"/>
  <c r="AA245" i="5" s="1"/>
  <c r="AA246" i="5" s="1"/>
  <c r="AA247" i="5" s="1"/>
  <c r="AA248" i="5" s="1"/>
  <c r="AA249" i="5" s="1"/>
  <c r="AA250" i="5" s="1"/>
  <c r="AA251" i="5" s="1"/>
  <c r="AA252" i="5" s="1"/>
  <c r="AA253" i="5" s="1"/>
  <c r="AA254" i="5" s="1"/>
  <c r="AA255" i="5" s="1"/>
  <c r="AA256" i="5" s="1"/>
  <c r="AA257" i="5" s="1"/>
  <c r="AA258" i="5" s="1"/>
  <c r="AA259" i="5" s="1"/>
  <c r="AA260" i="5" s="1"/>
  <c r="AA261" i="5" s="1"/>
  <c r="AA262" i="5" s="1"/>
  <c r="AA263" i="5" s="1"/>
  <c r="AA264" i="5" s="1"/>
  <c r="AA265" i="5" s="1"/>
  <c r="AA266" i="5" s="1"/>
  <c r="AA267" i="5" s="1"/>
  <c r="AA268" i="5" s="1"/>
  <c r="AA269" i="5" s="1"/>
  <c r="AA270" i="5" s="1"/>
  <c r="AA271" i="5" s="1"/>
  <c r="AA272" i="5" s="1"/>
  <c r="AA273" i="5" s="1"/>
  <c r="AA274" i="5" s="1"/>
  <c r="AA275" i="5" s="1"/>
  <c r="AA276" i="5" s="1"/>
  <c r="AA277" i="5" s="1"/>
  <c r="AA278" i="5" s="1"/>
  <c r="AA279" i="5" s="1"/>
  <c r="AA280" i="5" s="1"/>
  <c r="AA281" i="5" s="1"/>
  <c r="AA282" i="5" s="1"/>
  <c r="AA283" i="5" s="1"/>
  <c r="AA284" i="5" s="1"/>
  <c r="AA285" i="5" s="1"/>
  <c r="AA286" i="5" s="1"/>
  <c r="AA287" i="5" s="1"/>
  <c r="AA288" i="5" s="1"/>
  <c r="AA289" i="5" s="1"/>
  <c r="AA290" i="5" s="1"/>
  <c r="AA291" i="5" s="1"/>
  <c r="AA292" i="5" s="1"/>
  <c r="AA293" i="5" s="1"/>
  <c r="AA294" i="5" s="1"/>
  <c r="AA295" i="5" s="1"/>
  <c r="AA296" i="5" s="1"/>
  <c r="AA297" i="5" s="1"/>
  <c r="AA298" i="5" s="1"/>
  <c r="AA299" i="5" s="1"/>
  <c r="AA300" i="5" s="1"/>
  <c r="AA301" i="5" s="1"/>
  <c r="AA302" i="5" s="1"/>
  <c r="AA303" i="5" s="1"/>
  <c r="AA304" i="5" s="1"/>
  <c r="AA305" i="5" s="1"/>
  <c r="AA306" i="5" s="1"/>
  <c r="AA307" i="5" s="1"/>
  <c r="AA308" i="5" s="1"/>
  <c r="AA309" i="5" s="1"/>
  <c r="AA310" i="5" s="1"/>
  <c r="AA311" i="5" s="1"/>
  <c r="AA312" i="5" s="1"/>
  <c r="AA313" i="5" s="1"/>
  <c r="AA314" i="5" s="1"/>
  <c r="AA315" i="5" s="1"/>
  <c r="AA316" i="5" s="1"/>
  <c r="AA317" i="5" s="1"/>
  <c r="AA318" i="5" s="1"/>
  <c r="AA319" i="5" s="1"/>
  <c r="AA320" i="5" s="1"/>
  <c r="AA321" i="5" s="1"/>
  <c r="AA322" i="5" s="1"/>
  <c r="AA323" i="5" s="1"/>
  <c r="AA324" i="5" s="1"/>
  <c r="AA325" i="5" s="1"/>
  <c r="AA326" i="5" s="1"/>
  <c r="AA327" i="5" s="1"/>
  <c r="AA328" i="5" s="1"/>
  <c r="AA329" i="5" s="1"/>
  <c r="AA330" i="5" s="1"/>
  <c r="AA331" i="5" s="1"/>
  <c r="AA332" i="5" s="1"/>
  <c r="AA333" i="5" s="1"/>
  <c r="AA334" i="5" s="1"/>
  <c r="AA335" i="5" s="1"/>
  <c r="AA336" i="5" s="1"/>
  <c r="AA337" i="5" s="1"/>
  <c r="AA338" i="5" s="1"/>
  <c r="AA339" i="5" s="1"/>
  <c r="AA340" i="5" s="1"/>
  <c r="AA341" i="5" s="1"/>
  <c r="AA342" i="5" s="1"/>
  <c r="AA343" i="5" s="1"/>
  <c r="AA344" i="5" s="1"/>
  <c r="AA345" i="5" s="1"/>
  <c r="AA346" i="5" s="1"/>
  <c r="AA347" i="5" s="1"/>
  <c r="AA348" i="5" s="1"/>
  <c r="AA349" i="5" s="1"/>
  <c r="AA350" i="5" s="1"/>
  <c r="AA351" i="5" s="1"/>
  <c r="AA352" i="5" s="1"/>
  <c r="AA353" i="5" s="1"/>
  <c r="AA354" i="5" s="1"/>
  <c r="AA355" i="5" s="1"/>
  <c r="AA356" i="5" s="1"/>
  <c r="AA357" i="5" s="1"/>
  <c r="AA358" i="5" s="1"/>
  <c r="AA359" i="5" s="1"/>
  <c r="AA360" i="5" s="1"/>
  <c r="AA361" i="5" s="1"/>
  <c r="AA362" i="5" s="1"/>
  <c r="AA363" i="5" s="1"/>
  <c r="AA364" i="5" s="1"/>
  <c r="AA365" i="5" s="1"/>
  <c r="AA366" i="5" s="1"/>
  <c r="AA367" i="5" s="1"/>
  <c r="AA368" i="5" s="1"/>
  <c r="AA369" i="5" s="1"/>
  <c r="AA370" i="5" s="1"/>
  <c r="AA371" i="5" s="1"/>
  <c r="AA372" i="5" s="1"/>
  <c r="AA373" i="5" s="1"/>
  <c r="AA374" i="5" s="1"/>
  <c r="AA375" i="5" s="1"/>
  <c r="AA376" i="5" s="1"/>
  <c r="AA377" i="5" s="1"/>
  <c r="AA378" i="5" s="1"/>
  <c r="AA379" i="5" s="1"/>
  <c r="AA380" i="5" s="1"/>
  <c r="AA381" i="5" s="1"/>
  <c r="AA382" i="5" s="1"/>
  <c r="AA383" i="5" s="1"/>
  <c r="AA384" i="5" s="1"/>
  <c r="AA385" i="5" s="1"/>
  <c r="AA386" i="5" s="1"/>
  <c r="AA387" i="5" s="1"/>
  <c r="AA388" i="5" s="1"/>
  <c r="AA389" i="5" s="1"/>
  <c r="AA390" i="5" s="1"/>
  <c r="AA391" i="5" s="1"/>
  <c r="AA392" i="5" s="1"/>
  <c r="AA393" i="5" s="1"/>
  <c r="AA394" i="5" s="1"/>
  <c r="AA395" i="5" s="1"/>
  <c r="AA396" i="5" s="1"/>
  <c r="AA397" i="5" s="1"/>
  <c r="AA398" i="5" s="1"/>
  <c r="AA399" i="5" s="1"/>
  <c r="AA400" i="5" s="1"/>
  <c r="AA401" i="5" s="1"/>
  <c r="AA402" i="5" s="1"/>
  <c r="AA403" i="5" s="1"/>
  <c r="AA404" i="5" s="1"/>
  <c r="AA405" i="5" s="1"/>
  <c r="AA406" i="5" s="1"/>
  <c r="AA407" i="5" s="1"/>
  <c r="AA408" i="5" s="1"/>
  <c r="AA409" i="5" s="1"/>
  <c r="AA410" i="5" s="1"/>
  <c r="AA411" i="5" s="1"/>
  <c r="AA412" i="5" s="1"/>
  <c r="AA413" i="5" s="1"/>
  <c r="AA414" i="5" s="1"/>
  <c r="AA415" i="5" s="1"/>
  <c r="AA416" i="5" s="1"/>
  <c r="AA417" i="5" s="1"/>
  <c r="AA418" i="5" s="1"/>
  <c r="AA419" i="5" s="1"/>
  <c r="AA420" i="5" s="1"/>
  <c r="AA421" i="5" s="1"/>
  <c r="AA422" i="5" s="1"/>
  <c r="AA423" i="5" s="1"/>
  <c r="AA424" i="5" s="1"/>
  <c r="AA425" i="5" s="1"/>
  <c r="AA426" i="5" s="1"/>
  <c r="AA427" i="5" s="1"/>
  <c r="AA428" i="5" s="1"/>
  <c r="AA429" i="5" s="1"/>
  <c r="AA430" i="5" s="1"/>
  <c r="AA431" i="5" s="1"/>
  <c r="AA432" i="5" s="1"/>
  <c r="AA433" i="5" s="1"/>
  <c r="AA434" i="5" s="1"/>
  <c r="AA435" i="5" s="1"/>
  <c r="AA436" i="5" s="1"/>
  <c r="AA437" i="5" s="1"/>
  <c r="AA438" i="5" s="1"/>
  <c r="AA439" i="5" s="1"/>
  <c r="AA440" i="5" s="1"/>
  <c r="AA441" i="5" s="1"/>
  <c r="AA442" i="5" s="1"/>
  <c r="AA443" i="5" s="1"/>
  <c r="AA444" i="5" s="1"/>
  <c r="AA445" i="5" s="1"/>
  <c r="AA446" i="5" s="1"/>
  <c r="AA447" i="5" s="1"/>
  <c r="AA448" i="5" s="1"/>
  <c r="AA449" i="5" s="1"/>
  <c r="AA450" i="5" s="1"/>
  <c r="AA451" i="5" s="1"/>
  <c r="AA452" i="5" s="1"/>
  <c r="AA453" i="5" s="1"/>
  <c r="AA454" i="5" s="1"/>
  <c r="AA455" i="5" s="1"/>
  <c r="AA456" i="5" s="1"/>
  <c r="AA457" i="5" s="1"/>
  <c r="AA458" i="5" s="1"/>
  <c r="AA459" i="5" s="1"/>
  <c r="AA460" i="5" s="1"/>
  <c r="AA461" i="5" s="1"/>
  <c r="AA462" i="5" s="1"/>
  <c r="AA463" i="5" s="1"/>
  <c r="AA464" i="5" s="1"/>
  <c r="AA465" i="5" s="1"/>
  <c r="AA466" i="5" s="1"/>
  <c r="AA467" i="5" s="1"/>
  <c r="AA468" i="5" s="1"/>
  <c r="AA469" i="5" s="1"/>
  <c r="AA470" i="5" s="1"/>
  <c r="AA471" i="5" s="1"/>
  <c r="AA472" i="5" s="1"/>
  <c r="AA473" i="5" s="1"/>
  <c r="AA474" i="5" s="1"/>
  <c r="AA475" i="5" s="1"/>
  <c r="AA476" i="5" s="1"/>
  <c r="AA477" i="5" s="1"/>
  <c r="AA478" i="5" s="1"/>
  <c r="AA479" i="5" s="1"/>
  <c r="AA480" i="5" s="1"/>
  <c r="AA481" i="5" s="1"/>
  <c r="AA482" i="5" s="1"/>
  <c r="AA483" i="5" s="1"/>
  <c r="AA484" i="5" s="1"/>
  <c r="AA485" i="5" s="1"/>
  <c r="AA486" i="5" s="1"/>
  <c r="AA487" i="5" s="1"/>
  <c r="AA488" i="5" s="1"/>
  <c r="AA489" i="5" s="1"/>
  <c r="AA490" i="5" s="1"/>
  <c r="AA491" i="5" s="1"/>
  <c r="AA492" i="5" s="1"/>
  <c r="AA493" i="5" s="1"/>
  <c r="AA494" i="5" s="1"/>
  <c r="AA495" i="5" s="1"/>
  <c r="AA496" i="5" s="1"/>
  <c r="AA497" i="5" s="1"/>
  <c r="AA498" i="5" s="1"/>
  <c r="AA499" i="5" s="1"/>
  <c r="AA500" i="5" s="1"/>
  <c r="AA501" i="5" s="1"/>
  <c r="AA502" i="5" s="1"/>
  <c r="AA503" i="5" s="1"/>
  <c r="AA504" i="5" s="1"/>
  <c r="AA505" i="5" s="1"/>
  <c r="AA506" i="5" s="1"/>
  <c r="AA507" i="5" s="1"/>
  <c r="AA508" i="5" s="1"/>
  <c r="AA509" i="5" s="1"/>
  <c r="AA510" i="5" s="1"/>
  <c r="AA511" i="5" s="1"/>
  <c r="AA512" i="5" s="1"/>
  <c r="AA513" i="5" s="1"/>
  <c r="AA514" i="5" s="1"/>
  <c r="AA515" i="5" s="1"/>
  <c r="AA516" i="5" s="1"/>
  <c r="AA517" i="5" s="1"/>
  <c r="AA518" i="5" s="1"/>
  <c r="AA519" i="5" s="1"/>
  <c r="AA520" i="5" s="1"/>
  <c r="AA521" i="5" s="1"/>
  <c r="AA522" i="5" s="1"/>
  <c r="AA523" i="5" s="1"/>
  <c r="AA524" i="5" s="1"/>
  <c r="AA525" i="5" s="1"/>
  <c r="AA526" i="5" s="1"/>
  <c r="AA527" i="5" s="1"/>
  <c r="AA528" i="5" s="1"/>
  <c r="AA529" i="5" s="1"/>
  <c r="AA530" i="5" s="1"/>
  <c r="AA531" i="5" s="1"/>
  <c r="AA532" i="5" s="1"/>
  <c r="AA533" i="5" s="1"/>
  <c r="AA534" i="5" s="1"/>
  <c r="AA535" i="5" s="1"/>
  <c r="AA536" i="5" s="1"/>
  <c r="AA537" i="5" s="1"/>
  <c r="AA538" i="5" s="1"/>
  <c r="AA539" i="5" s="1"/>
  <c r="AA540" i="5" s="1"/>
  <c r="AA541" i="5" s="1"/>
  <c r="AA542" i="5" s="1"/>
  <c r="AA543" i="5" s="1"/>
  <c r="AA544" i="5" s="1"/>
  <c r="AA545" i="5" s="1"/>
  <c r="AA546" i="5" s="1"/>
  <c r="AA547" i="5" s="1"/>
  <c r="AA548" i="5" s="1"/>
  <c r="AA549" i="5" s="1"/>
  <c r="AA550" i="5" s="1"/>
  <c r="AA551" i="5" s="1"/>
  <c r="AA552" i="5" s="1"/>
  <c r="AA553" i="5" s="1"/>
  <c r="AA554" i="5" s="1"/>
  <c r="AA555" i="5" s="1"/>
  <c r="AA556" i="5" s="1"/>
  <c r="AA557" i="5" s="1"/>
  <c r="AA558" i="5" s="1"/>
  <c r="AA559" i="5" s="1"/>
  <c r="AA560" i="5" s="1"/>
  <c r="AA561" i="5" s="1"/>
  <c r="AA562" i="5" s="1"/>
  <c r="AA563" i="5" s="1"/>
  <c r="AA564" i="5" s="1"/>
  <c r="AA565" i="5" s="1"/>
  <c r="AA566" i="5" s="1"/>
  <c r="AA567" i="5" s="1"/>
  <c r="AA568" i="5" s="1"/>
  <c r="AA569" i="5" s="1"/>
  <c r="AA570" i="5" s="1"/>
  <c r="AA571" i="5" s="1"/>
  <c r="AA572" i="5" s="1"/>
  <c r="AA573" i="5" s="1"/>
  <c r="AA574" i="5" s="1"/>
  <c r="AA575" i="5" s="1"/>
  <c r="AA576" i="5" s="1"/>
  <c r="AA577" i="5" s="1"/>
  <c r="AA578" i="5"/>
  <c r="AA579" i="5" s="1"/>
  <c r="AA580" i="5" s="1"/>
  <c r="AA581" i="5" s="1"/>
  <c r="AA582" i="5" s="1"/>
  <c r="AA583" i="5" s="1"/>
  <c r="AA584" i="5" s="1"/>
  <c r="AA585" i="5" s="1"/>
  <c r="AA586" i="5" s="1"/>
  <c r="AA587" i="5" s="1"/>
  <c r="AA588" i="5" s="1"/>
  <c r="AA589" i="5" s="1"/>
  <c r="AA590" i="5" s="1"/>
  <c r="AA591" i="5" s="1"/>
  <c r="AA592" i="5" s="1"/>
  <c r="AA593" i="5" s="1"/>
  <c r="AA594" i="5" s="1"/>
  <c r="AA595" i="5" s="1"/>
  <c r="AA596" i="5" s="1"/>
  <c r="AA597" i="5" s="1"/>
  <c r="AA598" i="5" s="1"/>
  <c r="AA599" i="5" s="1"/>
  <c r="AA600" i="5" s="1"/>
  <c r="AA601" i="5" s="1"/>
  <c r="AA602" i="5" s="1"/>
  <c r="AA603" i="5" s="1"/>
  <c r="AA604" i="5" s="1"/>
  <c r="AA605" i="5" s="1"/>
  <c r="AA606" i="5" s="1"/>
  <c r="AA607" i="5" s="1"/>
  <c r="AA608" i="5" s="1"/>
  <c r="AA609" i="5" s="1"/>
  <c r="AA610" i="5" s="1"/>
  <c r="AA611" i="5" s="1"/>
  <c r="AA612" i="5" s="1"/>
  <c r="AA613" i="5" s="1"/>
  <c r="AA614" i="5" s="1"/>
  <c r="AA615" i="5" s="1"/>
  <c r="AA616" i="5" s="1"/>
  <c r="AA617" i="5" s="1"/>
  <c r="AA618" i="5" s="1"/>
  <c r="AA619" i="5" s="1"/>
  <c r="AA620" i="5" s="1"/>
  <c r="AA621" i="5" s="1"/>
  <c r="AA622" i="5" s="1"/>
  <c r="AA623" i="5" s="1"/>
  <c r="AA624" i="5" s="1"/>
  <c r="AA625" i="5" s="1"/>
  <c r="AA626" i="5" s="1"/>
  <c r="AA627" i="5" s="1"/>
  <c r="AA628" i="5" s="1"/>
  <c r="AA629" i="5" s="1"/>
  <c r="AA630" i="5" s="1"/>
  <c r="AA631" i="5" s="1"/>
  <c r="AA632" i="5" s="1"/>
  <c r="AA633" i="5" s="1"/>
  <c r="AA634" i="5" s="1"/>
  <c r="AA635" i="5" s="1"/>
  <c r="AA636" i="5" s="1"/>
  <c r="AA637" i="5" s="1"/>
  <c r="AA638" i="5" s="1"/>
  <c r="AA639" i="5" s="1"/>
  <c r="AA640" i="5" s="1"/>
  <c r="AA641" i="5" s="1"/>
  <c r="AA642" i="5" s="1"/>
  <c r="AA643" i="5" s="1"/>
  <c r="AA644" i="5" s="1"/>
  <c r="AA645" i="5" s="1"/>
  <c r="AA646" i="5" s="1"/>
  <c r="AA647" i="5" s="1"/>
  <c r="AA648" i="5" s="1"/>
  <c r="AA649" i="5" s="1"/>
  <c r="AA650" i="5" s="1"/>
  <c r="AA651" i="5" s="1"/>
  <c r="AA652" i="5" s="1"/>
  <c r="AA653" i="5" s="1"/>
  <c r="AA654" i="5" s="1"/>
  <c r="AA655" i="5" s="1"/>
  <c r="AA656" i="5" s="1"/>
  <c r="AA657" i="5" s="1"/>
  <c r="AA658" i="5" s="1"/>
  <c r="AA659" i="5" s="1"/>
  <c r="AA660" i="5" s="1"/>
  <c r="AA661" i="5" s="1"/>
  <c r="AA662" i="5" s="1"/>
  <c r="AA663" i="5" s="1"/>
  <c r="AA664" i="5" s="1"/>
  <c r="AA665" i="5" s="1"/>
  <c r="AA666" i="5" s="1"/>
  <c r="AA667" i="5" s="1"/>
  <c r="AA668" i="5" s="1"/>
  <c r="AA669" i="5" s="1"/>
  <c r="AA670" i="5" s="1"/>
  <c r="AA671" i="5" s="1"/>
  <c r="AA672" i="5" s="1"/>
  <c r="AA673" i="5" s="1"/>
  <c r="AA674" i="5" s="1"/>
  <c r="AA675" i="5" s="1"/>
  <c r="AA676" i="5" s="1"/>
  <c r="AA677" i="5" s="1"/>
  <c r="AA678" i="5" s="1"/>
  <c r="AA679" i="5" s="1"/>
  <c r="AA680" i="5" s="1"/>
  <c r="AA681" i="5" s="1"/>
  <c r="AA682" i="5" s="1"/>
  <c r="AA683" i="5" s="1"/>
  <c r="AA684" i="5" s="1"/>
  <c r="AA685" i="5" s="1"/>
  <c r="AA686" i="5" s="1"/>
  <c r="AA687" i="5" s="1"/>
  <c r="AA688" i="5" s="1"/>
  <c r="AA689" i="5" s="1"/>
  <c r="AA690" i="5" s="1"/>
  <c r="AA691" i="5" s="1"/>
  <c r="AA692" i="5" s="1"/>
  <c r="AA693" i="5" s="1"/>
  <c r="AA694" i="5" s="1"/>
  <c r="AA695" i="5" s="1"/>
  <c r="AA696" i="5" s="1"/>
  <c r="AA697" i="5" s="1"/>
  <c r="AA698" i="5" s="1"/>
  <c r="AA699" i="5" s="1"/>
  <c r="AA700" i="5" s="1"/>
  <c r="AA701" i="5" s="1"/>
  <c r="AA702" i="5" s="1"/>
  <c r="AA703" i="5" s="1"/>
  <c r="AA704" i="5" s="1"/>
  <c r="AA705" i="5" s="1"/>
  <c r="AA706" i="5" s="1"/>
  <c r="AA707" i="5" s="1"/>
  <c r="AA708" i="5" s="1"/>
  <c r="AA709" i="5" s="1"/>
  <c r="AA710" i="5" s="1"/>
  <c r="AA711" i="5" s="1"/>
  <c r="AA712" i="5" s="1"/>
  <c r="AA713" i="5" s="1"/>
  <c r="AA714" i="5" s="1"/>
  <c r="AA715" i="5" s="1"/>
  <c r="AA716" i="5" s="1"/>
  <c r="AA717" i="5" s="1"/>
  <c r="AA718" i="5" s="1"/>
  <c r="AA719" i="5" s="1"/>
  <c r="AA720" i="5" s="1"/>
  <c r="AA721" i="5" s="1"/>
  <c r="AA722" i="5" s="1"/>
  <c r="AA723" i="5" s="1"/>
  <c r="AA724" i="5" s="1"/>
  <c r="AA725" i="5" s="1"/>
  <c r="AA726" i="5" s="1"/>
  <c r="AA727" i="5" s="1"/>
  <c r="AA728" i="5" s="1"/>
  <c r="AA729" i="5" s="1"/>
  <c r="AA730" i="5" s="1"/>
  <c r="AA731" i="5" s="1"/>
  <c r="AA732" i="5" s="1"/>
  <c r="AA733" i="5" s="1"/>
  <c r="AA734" i="5" s="1"/>
  <c r="AA735" i="5" s="1"/>
  <c r="AA736" i="5" s="1"/>
  <c r="AA737" i="5" s="1"/>
  <c r="AA738" i="5" s="1"/>
  <c r="AA739" i="5" s="1"/>
  <c r="AA740" i="5" s="1"/>
  <c r="AA741" i="5" s="1"/>
  <c r="AA742" i="5" s="1"/>
  <c r="AA743" i="5" s="1"/>
  <c r="AA744" i="5" s="1"/>
  <c r="AA745" i="5" s="1"/>
  <c r="AA746" i="5" s="1"/>
  <c r="AA747" i="5" s="1"/>
  <c r="AA748" i="5" s="1"/>
  <c r="AA749" i="5" s="1"/>
  <c r="AA750" i="5" s="1"/>
  <c r="AA751" i="5" s="1"/>
  <c r="AA752" i="5" s="1"/>
  <c r="AA753" i="5" s="1"/>
  <c r="AA754" i="5" s="1"/>
  <c r="AA755" i="5" s="1"/>
  <c r="AA756" i="5" s="1"/>
  <c r="AA757" i="5" s="1"/>
  <c r="AA758" i="5" s="1"/>
  <c r="AA759" i="5" s="1"/>
  <c r="AA760" i="5" s="1"/>
  <c r="AA761" i="5" s="1"/>
  <c r="AA762" i="5" s="1"/>
  <c r="AA763" i="5" s="1"/>
  <c r="AA764" i="5" s="1"/>
  <c r="AA765" i="5" s="1"/>
  <c r="AA766" i="5" s="1"/>
  <c r="AA767" i="5" s="1"/>
  <c r="AA768" i="5" s="1"/>
  <c r="AA769" i="5" s="1"/>
  <c r="AA770" i="5" s="1"/>
  <c r="AA771" i="5" s="1"/>
  <c r="AA772" i="5" s="1"/>
  <c r="AA773" i="5" s="1"/>
  <c r="AA774" i="5" s="1"/>
  <c r="AA775" i="5" s="1"/>
  <c r="AA776" i="5" s="1"/>
  <c r="AA777" i="5" s="1"/>
  <c r="AA778" i="5" s="1"/>
  <c r="AA779" i="5" s="1"/>
  <c r="AA780" i="5" s="1"/>
  <c r="AA781" i="5" s="1"/>
  <c r="AA782" i="5" s="1"/>
  <c r="AA783" i="5" s="1"/>
  <c r="AA784" i="5" s="1"/>
  <c r="AA785" i="5" s="1"/>
  <c r="AA786" i="5" s="1"/>
  <c r="AA787" i="5" s="1"/>
  <c r="AA788" i="5" s="1"/>
  <c r="AA789" i="5" s="1"/>
  <c r="AA790" i="5" s="1"/>
  <c r="AA791" i="5" s="1"/>
  <c r="AA792" i="5" s="1"/>
  <c r="AA793" i="5" s="1"/>
  <c r="AA794" i="5" s="1"/>
  <c r="AA795" i="5" s="1"/>
  <c r="AA796" i="5" s="1"/>
  <c r="AA797" i="5" s="1"/>
  <c r="AA798" i="5" s="1"/>
  <c r="AA799" i="5" s="1"/>
  <c r="AA800" i="5" s="1"/>
  <c r="AA801" i="5" s="1"/>
  <c r="AA802" i="5" s="1"/>
  <c r="AA803" i="5" s="1"/>
  <c r="AA804" i="5" s="1"/>
  <c r="AA805" i="5" s="1"/>
  <c r="AA806" i="5" s="1"/>
  <c r="AA807" i="5" s="1"/>
  <c r="AA808" i="5" s="1"/>
  <c r="AA809" i="5" s="1"/>
  <c r="AA810" i="5" s="1"/>
  <c r="AA811" i="5" s="1"/>
  <c r="AA812" i="5" s="1"/>
  <c r="AA813" i="5" s="1"/>
  <c r="AA814" i="5" s="1"/>
  <c r="AA815" i="5" s="1"/>
  <c r="AA816" i="5" s="1"/>
  <c r="AA817" i="5" s="1"/>
  <c r="AA818" i="5" s="1"/>
  <c r="AA819" i="5" s="1"/>
  <c r="AA820" i="5" s="1"/>
  <c r="AA821" i="5" s="1"/>
  <c r="AA822" i="5" s="1"/>
  <c r="AA823" i="5" s="1"/>
  <c r="AA824" i="5" s="1"/>
  <c r="AA825" i="5" s="1"/>
  <c r="AA826" i="5" s="1"/>
  <c r="AA827" i="5" s="1"/>
  <c r="AA828" i="5" s="1"/>
  <c r="AA829" i="5" s="1"/>
  <c r="AA830" i="5" s="1"/>
  <c r="AA831" i="5" s="1"/>
  <c r="AA832" i="5" s="1"/>
  <c r="AA833" i="5" s="1"/>
  <c r="AA834" i="5" s="1"/>
  <c r="AA835" i="5" s="1"/>
  <c r="AA836" i="5" s="1"/>
  <c r="AA837" i="5" s="1"/>
  <c r="AA838" i="5" s="1"/>
  <c r="AA839" i="5" s="1"/>
  <c r="AA840" i="5" s="1"/>
  <c r="AA841" i="5" s="1"/>
  <c r="AA842" i="5" s="1"/>
  <c r="AA843" i="5" s="1"/>
  <c r="AA844" i="5" s="1"/>
  <c r="AA845" i="5" s="1"/>
  <c r="AA846" i="5" s="1"/>
  <c r="AA847" i="5" s="1"/>
  <c r="AA848" i="5" s="1"/>
  <c r="AA849" i="5" s="1"/>
  <c r="AA850" i="5" s="1"/>
  <c r="AA851" i="5" s="1"/>
  <c r="AA852" i="5" s="1"/>
  <c r="AA853" i="5" s="1"/>
  <c r="AA854" i="5" s="1"/>
  <c r="AA855" i="5" s="1"/>
  <c r="AA856" i="5" s="1"/>
  <c r="AA857" i="5" s="1"/>
  <c r="AA858" i="5" s="1"/>
  <c r="AA859" i="5" s="1"/>
  <c r="AA860" i="5" s="1"/>
  <c r="AA861" i="5" s="1"/>
  <c r="AA862" i="5" s="1"/>
  <c r="AA863" i="5" s="1"/>
  <c r="AA864" i="5" s="1"/>
  <c r="AA865" i="5" s="1"/>
  <c r="AA866" i="5" s="1"/>
  <c r="AA867" i="5" s="1"/>
  <c r="AA868" i="5" s="1"/>
  <c r="AA869" i="5" s="1"/>
  <c r="AA870" i="5" s="1"/>
  <c r="AA871" i="5" s="1"/>
  <c r="AA872" i="5" s="1"/>
  <c r="AA873" i="5" s="1"/>
  <c r="AA874" i="5" s="1"/>
  <c r="AA875" i="5" s="1"/>
  <c r="AA876" i="5" s="1"/>
  <c r="AA877" i="5" s="1"/>
  <c r="AA878" i="5" s="1"/>
  <c r="AA879" i="5" s="1"/>
  <c r="AA880" i="5" s="1"/>
  <c r="AA881" i="5" s="1"/>
  <c r="AA882" i="5" s="1"/>
  <c r="AA883" i="5" s="1"/>
  <c r="AA884" i="5" s="1"/>
  <c r="AA885" i="5" s="1"/>
  <c r="AA886" i="5" s="1"/>
  <c r="AA887" i="5" s="1"/>
  <c r="AA888" i="5" s="1"/>
  <c r="AA889" i="5" s="1"/>
  <c r="AA890" i="5" s="1"/>
  <c r="AA891" i="5" s="1"/>
  <c r="AA892" i="5" s="1"/>
  <c r="AA893" i="5" s="1"/>
  <c r="AA894" i="5" s="1"/>
  <c r="AA895" i="5" s="1"/>
  <c r="AA896" i="5" s="1"/>
  <c r="AA897" i="5" s="1"/>
  <c r="AA898" i="5" s="1"/>
  <c r="AA899" i="5" s="1"/>
  <c r="AA900" i="5" s="1"/>
  <c r="AA901" i="5" s="1"/>
  <c r="AA902" i="5" s="1"/>
  <c r="AA903" i="5" s="1"/>
  <c r="AA904" i="5" s="1"/>
  <c r="AA905" i="5" s="1"/>
  <c r="AA906" i="5" s="1"/>
  <c r="AA907" i="5" s="1"/>
  <c r="AA908" i="5" s="1"/>
  <c r="AA909" i="5" s="1"/>
  <c r="AA910" i="5" s="1"/>
  <c r="AA911" i="5" s="1"/>
  <c r="AA912" i="5" s="1"/>
  <c r="AA913" i="5" s="1"/>
  <c r="AA914" i="5" s="1"/>
  <c r="AA915" i="5" s="1"/>
  <c r="AA916" i="5" s="1"/>
  <c r="AA917" i="5" s="1"/>
  <c r="AA918" i="5" s="1"/>
  <c r="AA919" i="5" s="1"/>
  <c r="AA920" i="5" s="1"/>
  <c r="AA921" i="5" s="1"/>
  <c r="AA922" i="5" s="1"/>
  <c r="AA923" i="5" s="1"/>
  <c r="AA924" i="5" s="1"/>
  <c r="AA925" i="5" s="1"/>
  <c r="AA926" i="5" s="1"/>
  <c r="AA927" i="5" s="1"/>
  <c r="AA928" i="5" s="1"/>
  <c r="AA929" i="5" s="1"/>
  <c r="AA930" i="5" s="1"/>
  <c r="AA931" i="5" s="1"/>
  <c r="AA932" i="5" s="1"/>
  <c r="AA933" i="5" s="1"/>
  <c r="AA934" i="5" s="1"/>
  <c r="AA935" i="5" s="1"/>
  <c r="AA936" i="5" s="1"/>
  <c r="AA937" i="5" s="1"/>
  <c r="AA938" i="5" s="1"/>
  <c r="AA939" i="5" s="1"/>
  <c r="AA940" i="5" s="1"/>
  <c r="AA941" i="5" s="1"/>
  <c r="AA942" i="5" s="1"/>
  <c r="AA943" i="5" s="1"/>
  <c r="AA944" i="5" s="1"/>
  <c r="AA945" i="5" s="1"/>
  <c r="AA946" i="5" s="1"/>
  <c r="AA947" i="5" s="1"/>
  <c r="AA948" i="5" s="1"/>
  <c r="AA949" i="5" s="1"/>
  <c r="AA950" i="5" s="1"/>
  <c r="AA951" i="5" s="1"/>
  <c r="AA952" i="5" s="1"/>
  <c r="AA953" i="5" s="1"/>
  <c r="AA954" i="5" s="1"/>
  <c r="AA955" i="5" s="1"/>
  <c r="AA956" i="5" s="1"/>
  <c r="AA957" i="5" s="1"/>
  <c r="AA958" i="5" s="1"/>
  <c r="AA959" i="5" s="1"/>
  <c r="AA960" i="5" s="1"/>
  <c r="AA961" i="5" s="1"/>
  <c r="AA962" i="5" s="1"/>
  <c r="AA963" i="5" s="1"/>
  <c r="AA964" i="5" s="1"/>
  <c r="AA965" i="5" s="1"/>
  <c r="AA966" i="5" s="1"/>
  <c r="AA967" i="5" s="1"/>
  <c r="AA968" i="5" s="1"/>
  <c r="AA969" i="5" s="1"/>
  <c r="AA970" i="5" s="1"/>
  <c r="AA971" i="5" s="1"/>
  <c r="AA972" i="5" s="1"/>
  <c r="AA973" i="5" s="1"/>
  <c r="AA974" i="5" s="1"/>
  <c r="AA975" i="5" s="1"/>
  <c r="AA976" i="5" s="1"/>
  <c r="AA977" i="5" s="1"/>
  <c r="AA978" i="5" s="1"/>
  <c r="AA979" i="5" s="1"/>
  <c r="AA980" i="5" s="1"/>
  <c r="AA981" i="5" s="1"/>
  <c r="AA982" i="5" s="1"/>
  <c r="AA983" i="5" s="1"/>
  <c r="AA984" i="5" s="1"/>
  <c r="AA985" i="5" s="1"/>
  <c r="AA986" i="5" s="1"/>
  <c r="AA987" i="5" s="1"/>
  <c r="AA988" i="5" s="1"/>
  <c r="AA989" i="5" s="1"/>
  <c r="AA990" i="5" s="1"/>
  <c r="AA991" i="5" s="1"/>
  <c r="AA992" i="5" s="1"/>
  <c r="AA993" i="5" s="1"/>
  <c r="AA994" i="5" s="1"/>
  <c r="AA995" i="5" s="1"/>
  <c r="AA996" i="5" s="1"/>
  <c r="AA997" i="5" s="1"/>
  <c r="AA998" i="5" s="1"/>
  <c r="AA999" i="5" s="1"/>
  <c r="AA1000" i="5" s="1"/>
  <c r="AA1001" i="5" s="1"/>
  <c r="AA1002" i="5" s="1"/>
  <c r="AA1003" i="5" s="1"/>
  <c r="AA1004" i="5" s="1"/>
  <c r="AA1005" i="5" s="1"/>
  <c r="AA1006" i="5" s="1"/>
  <c r="AA1007" i="5" s="1"/>
  <c r="AA1008" i="5" s="1"/>
  <c r="AA1009" i="5" s="1"/>
  <c r="AA1010" i="5" s="1"/>
  <c r="AA1011" i="5" s="1"/>
  <c r="AA1012" i="5" s="1"/>
  <c r="AA1013" i="5" s="1"/>
  <c r="AA1014" i="5" s="1"/>
  <c r="AA1015" i="5" s="1"/>
  <c r="AA1016" i="5" s="1"/>
  <c r="AA1017" i="5" s="1"/>
  <c r="AA1018" i="5" s="1"/>
  <c r="AA1019" i="5" s="1"/>
  <c r="AA1020" i="5" s="1"/>
  <c r="AA1021" i="5" s="1"/>
  <c r="AA1022" i="5" s="1"/>
  <c r="AA1023" i="5" s="1"/>
  <c r="AA1024" i="5" s="1"/>
  <c r="AA1025" i="5" s="1"/>
  <c r="AA1026" i="5" s="1"/>
  <c r="AA1027" i="5" s="1"/>
  <c r="AA1028" i="5" s="1"/>
  <c r="AA1029" i="5" s="1"/>
  <c r="AA1030" i="5" s="1"/>
  <c r="AA1031" i="5" s="1"/>
  <c r="AA1032" i="5" s="1"/>
  <c r="AA1033" i="5" s="1"/>
  <c r="AA1034" i="5" s="1"/>
  <c r="AA1035" i="5" s="1"/>
  <c r="AA1036" i="5" s="1"/>
  <c r="AA1037" i="5" s="1"/>
  <c r="AA1038" i="5" s="1"/>
  <c r="AA1039" i="5" s="1"/>
  <c r="AA1040" i="5" s="1"/>
  <c r="AA1041" i="5" s="1"/>
  <c r="AA1042" i="5" s="1"/>
  <c r="AA1043" i="5" s="1"/>
  <c r="AA1044" i="5" s="1"/>
  <c r="AA1045" i="5" s="1"/>
  <c r="AA1046" i="5" s="1"/>
  <c r="AA1047" i="5" s="1"/>
  <c r="AA1048" i="5" s="1"/>
  <c r="AA1049" i="5" s="1"/>
  <c r="AA1050" i="5" s="1"/>
  <c r="AA1051" i="5" s="1"/>
  <c r="AA1052" i="5" s="1"/>
  <c r="AA1053" i="5" s="1"/>
  <c r="AA1054" i="5" s="1"/>
  <c r="AA1055" i="5" s="1"/>
  <c r="AA1056" i="5" s="1"/>
  <c r="AA1057" i="5" s="1"/>
  <c r="AA1058" i="5" s="1"/>
  <c r="AA1059" i="5" s="1"/>
  <c r="AA1060" i="5" s="1"/>
  <c r="AA1061" i="5" s="1"/>
  <c r="AA1062" i="5" s="1"/>
  <c r="AA1063" i="5" s="1"/>
  <c r="AA1064" i="5" s="1"/>
  <c r="AA1065" i="5" s="1"/>
  <c r="AA1066" i="5" s="1"/>
  <c r="AA1067" i="5" s="1"/>
  <c r="AA1068" i="5" s="1"/>
  <c r="AA1069" i="5" s="1"/>
  <c r="AA1070" i="5" s="1"/>
  <c r="AA1071" i="5" s="1"/>
  <c r="AA1072" i="5" s="1"/>
  <c r="AA1073" i="5" s="1"/>
  <c r="AA1074" i="5" s="1"/>
  <c r="AA1075" i="5" s="1"/>
  <c r="AA1076" i="5" s="1"/>
  <c r="AA1077" i="5" s="1"/>
  <c r="AA1078" i="5" s="1"/>
  <c r="AA1079" i="5" s="1"/>
  <c r="AA1080" i="5" s="1"/>
  <c r="AA1081" i="5" s="1"/>
  <c r="AA1082" i="5" s="1"/>
  <c r="AA1083" i="5" s="1"/>
  <c r="AA1084" i="5" s="1"/>
  <c r="AA1085" i="5" s="1"/>
  <c r="AA1086" i="5" s="1"/>
  <c r="AA1087" i="5" s="1"/>
  <c r="AA1088" i="5" s="1"/>
  <c r="AA1089" i="5" s="1"/>
  <c r="AA1090" i="5" s="1"/>
  <c r="AA1091" i="5" s="1"/>
  <c r="AA1092" i="5" s="1"/>
  <c r="AA1093" i="5" s="1"/>
  <c r="AA1094" i="5" s="1"/>
  <c r="AA1095" i="5" s="1"/>
  <c r="AA1096" i="5" s="1"/>
  <c r="AA1097" i="5" s="1"/>
  <c r="AA1098" i="5" s="1"/>
  <c r="AA1099" i="5" s="1"/>
  <c r="AA1100" i="5" s="1"/>
  <c r="AA1101" i="5" s="1"/>
  <c r="AA1102" i="5" s="1"/>
  <c r="AA1103" i="5" s="1"/>
  <c r="AA1104" i="5" s="1"/>
  <c r="AA1105" i="5" s="1"/>
  <c r="AA1106" i="5" s="1"/>
  <c r="AA1107" i="5" s="1"/>
  <c r="AA1108" i="5" s="1"/>
  <c r="AA1109" i="5" s="1"/>
  <c r="AA1110" i="5" s="1"/>
  <c r="AA1111" i="5" s="1"/>
  <c r="AA1112" i="5" s="1"/>
  <c r="AA1113" i="5" s="1"/>
  <c r="AA1114" i="5" s="1"/>
  <c r="AA1115" i="5" s="1"/>
  <c r="AA1116" i="5" s="1"/>
  <c r="AA1117" i="5" s="1"/>
  <c r="AA1118" i="5" s="1"/>
  <c r="AA1119" i="5" s="1"/>
  <c r="AA1120" i="5" s="1"/>
  <c r="AA1121" i="5" s="1"/>
  <c r="AA1122" i="5" s="1"/>
  <c r="AA1123" i="5" s="1"/>
  <c r="AA1124" i="5" s="1"/>
  <c r="AA1125" i="5" s="1"/>
  <c r="AA1126" i="5" s="1"/>
  <c r="AA1127" i="5" s="1"/>
  <c r="AA1128" i="5" s="1"/>
  <c r="AA1129" i="5" s="1"/>
  <c r="AA1130" i="5" s="1"/>
  <c r="AA1131" i="5" s="1"/>
  <c r="AA1132" i="5" s="1"/>
  <c r="AA1133" i="5" s="1"/>
  <c r="AA1134" i="5" s="1"/>
  <c r="AA1135" i="5" s="1"/>
  <c r="AA1136" i="5" s="1"/>
  <c r="AA1137" i="5" s="1"/>
  <c r="AA1138" i="5" s="1"/>
  <c r="AA1139" i="5" s="1"/>
  <c r="AA1140" i="5" s="1"/>
  <c r="AA1141" i="5" s="1"/>
  <c r="AA1142" i="5" s="1"/>
  <c r="AA1143" i="5" s="1"/>
  <c r="AA1144" i="5" s="1"/>
  <c r="AA1145" i="5" s="1"/>
  <c r="AA1146" i="5" s="1"/>
  <c r="AA1147" i="5" s="1"/>
  <c r="AA1148" i="5" s="1"/>
  <c r="AA1149" i="5" s="1"/>
  <c r="AA1150" i="5" s="1"/>
  <c r="AA1151" i="5" s="1"/>
  <c r="AA1152" i="5" s="1"/>
  <c r="AA1153" i="5" s="1"/>
  <c r="AA1154" i="5" s="1"/>
  <c r="AA1155" i="5" s="1"/>
  <c r="AA1156" i="5" s="1"/>
  <c r="AA1157" i="5" s="1"/>
  <c r="AA1158" i="5" s="1"/>
  <c r="AA1159" i="5" s="1"/>
  <c r="AA1160" i="5" s="1"/>
  <c r="AA1161" i="5" s="1"/>
  <c r="AA1162" i="5" s="1"/>
  <c r="AA1163" i="5" s="1"/>
  <c r="AA1164" i="5" s="1"/>
  <c r="AA1165" i="5" s="1"/>
  <c r="AA1166" i="5" s="1"/>
  <c r="AA1167" i="5" s="1"/>
  <c r="AA1168" i="5" s="1"/>
  <c r="AA1169" i="5" s="1"/>
  <c r="AA1170" i="5" s="1"/>
  <c r="AA1171" i="5" s="1"/>
  <c r="AA1172" i="5" s="1"/>
  <c r="AA1173" i="5" s="1"/>
  <c r="AA1174" i="5" s="1"/>
  <c r="AA1175" i="5" s="1"/>
  <c r="AA1176" i="5" s="1"/>
  <c r="AA1177" i="5" s="1"/>
  <c r="AA1178" i="5" s="1"/>
  <c r="AA1179" i="5" s="1"/>
  <c r="AA1180" i="5" s="1"/>
  <c r="AA1181" i="5" s="1"/>
  <c r="AA1182" i="5" s="1"/>
  <c r="AA1183" i="5" s="1"/>
  <c r="AA1184" i="5" s="1"/>
  <c r="AA1185" i="5" s="1"/>
  <c r="AA1186" i="5" s="1"/>
  <c r="AA1187" i="5" s="1"/>
  <c r="AA1188" i="5" s="1"/>
  <c r="AA1189" i="5" s="1"/>
  <c r="AA1190" i="5" s="1"/>
  <c r="AA1191" i="5" s="1"/>
  <c r="AA1192" i="5" s="1"/>
  <c r="AA1193" i="5" s="1"/>
  <c r="AA1194" i="5" s="1"/>
  <c r="AA1195" i="5" s="1"/>
  <c r="AA1196" i="5" s="1"/>
  <c r="AA1197" i="5" s="1"/>
  <c r="AA1198" i="5" s="1"/>
  <c r="AA1199" i="5" s="1"/>
  <c r="AA1200" i="5" s="1"/>
  <c r="AA1201" i="5" s="1"/>
  <c r="AA1202" i="5" s="1"/>
  <c r="AA1203" i="5" s="1"/>
  <c r="AA1204" i="5" s="1"/>
  <c r="AA1205" i="5" s="1"/>
  <c r="AA1206" i="5" s="1"/>
  <c r="AA1207" i="5" s="1"/>
  <c r="AA1208" i="5" s="1"/>
  <c r="AA1209" i="5" s="1"/>
  <c r="AA1210" i="5" s="1"/>
  <c r="AA1211" i="5" s="1"/>
  <c r="AA1212" i="5" s="1"/>
  <c r="AA1213" i="5" s="1"/>
  <c r="AA1214" i="5" s="1"/>
  <c r="AA1215" i="5" s="1"/>
  <c r="AA1216" i="5" s="1"/>
  <c r="AA1217" i="5" s="1"/>
  <c r="AA1218" i="5" s="1"/>
  <c r="AA1219" i="5" s="1"/>
  <c r="AA1220" i="5" s="1"/>
  <c r="AA1221" i="5" s="1"/>
  <c r="AA1222" i="5" s="1"/>
  <c r="AA1223" i="5" s="1"/>
  <c r="AA1224" i="5" s="1"/>
  <c r="AA1225" i="5" s="1"/>
  <c r="AA1226" i="5" s="1"/>
  <c r="AA1227" i="5" s="1"/>
  <c r="AA1228" i="5" s="1"/>
  <c r="AA1229" i="5" s="1"/>
  <c r="AA1230" i="5" s="1"/>
  <c r="AA1231" i="5" s="1"/>
  <c r="AA1232" i="5" s="1"/>
  <c r="AA1233" i="5" s="1"/>
  <c r="AA1234" i="5" s="1"/>
  <c r="AA1235" i="5" s="1"/>
  <c r="AA1236" i="5" s="1"/>
  <c r="AA1237" i="5" s="1"/>
  <c r="AA1238" i="5" s="1"/>
  <c r="AA1239" i="5" s="1"/>
  <c r="AA1240" i="5" s="1"/>
  <c r="AA1241" i="5" s="1"/>
  <c r="AA1242" i="5" s="1"/>
  <c r="AA1243" i="5" s="1"/>
  <c r="AA1244" i="5" s="1"/>
  <c r="AA1245" i="5" s="1"/>
  <c r="AA1246" i="5" s="1"/>
  <c r="AA1247" i="5" s="1"/>
  <c r="AA1248" i="5" s="1"/>
  <c r="AA1249" i="5" s="1"/>
  <c r="AA1250" i="5" s="1"/>
  <c r="AA1251" i="5" s="1"/>
  <c r="AA1252" i="5" s="1"/>
  <c r="AA1253" i="5" s="1"/>
  <c r="AA1254" i="5" s="1"/>
  <c r="AA1255" i="5" s="1"/>
  <c r="AA1256" i="5" s="1"/>
  <c r="AA1257" i="5" s="1"/>
  <c r="AA1258" i="5" s="1"/>
  <c r="AA1259" i="5" s="1"/>
  <c r="AA1260" i="5" s="1"/>
  <c r="AA1261" i="5" s="1"/>
  <c r="AA1262" i="5" s="1"/>
  <c r="AA1263" i="5" s="1"/>
  <c r="AA1264" i="5" s="1"/>
  <c r="AA1265" i="5" s="1"/>
  <c r="AA1266" i="5" s="1"/>
  <c r="AA1267" i="5" s="1"/>
  <c r="AA1268" i="5" s="1"/>
  <c r="AA1269" i="5" s="1"/>
  <c r="AA1270" i="5" s="1"/>
  <c r="AA1271" i="5" s="1"/>
  <c r="AA1272" i="5" s="1"/>
  <c r="AA1273" i="5" s="1"/>
  <c r="AA1274" i="5" s="1"/>
  <c r="AA1275" i="5" s="1"/>
  <c r="AA1276" i="5" s="1"/>
  <c r="AA1277" i="5" s="1"/>
  <c r="AA1278" i="5" s="1"/>
  <c r="AA1279" i="5" s="1"/>
  <c r="AA1280" i="5" s="1"/>
  <c r="AA1281" i="5" s="1"/>
  <c r="AA1282" i="5" s="1"/>
  <c r="AA1283" i="5" s="1"/>
  <c r="AA1284" i="5" s="1"/>
  <c r="AA1285" i="5" s="1"/>
  <c r="AA1286" i="5" s="1"/>
  <c r="AA1287" i="5" s="1"/>
  <c r="AA1288" i="5" s="1"/>
  <c r="AA1289" i="5" s="1"/>
  <c r="AA1290" i="5" s="1"/>
  <c r="AA1291" i="5" s="1"/>
  <c r="AA1292" i="5" s="1"/>
  <c r="AA1293" i="5" s="1"/>
  <c r="AA1294" i="5" s="1"/>
  <c r="AA1295" i="5" s="1"/>
  <c r="AA1296" i="5" s="1"/>
  <c r="AA1297" i="5" s="1"/>
  <c r="AA1298" i="5" s="1"/>
  <c r="AA1299" i="5" s="1"/>
  <c r="AA1300" i="5" s="1"/>
  <c r="AA1301" i="5" s="1"/>
  <c r="AA1302" i="5" s="1"/>
  <c r="AA1303" i="5" s="1"/>
  <c r="AA1304" i="5" s="1"/>
  <c r="AA1305" i="5" s="1"/>
  <c r="AA1306" i="5" s="1"/>
  <c r="AA1307" i="5" s="1"/>
  <c r="AA1308" i="5" s="1"/>
  <c r="AA1309" i="5" s="1"/>
  <c r="AA1310" i="5" s="1"/>
  <c r="AA1311" i="5" s="1"/>
  <c r="AA1312" i="5" s="1"/>
  <c r="AA1313" i="5" s="1"/>
  <c r="AA1314" i="5" s="1"/>
  <c r="AA1315" i="5" s="1"/>
  <c r="AA1316" i="5" s="1"/>
  <c r="AA1317" i="5" s="1"/>
  <c r="AA1318" i="5" s="1"/>
  <c r="AA1319" i="5" s="1"/>
  <c r="AA1320" i="5" s="1"/>
  <c r="AA1321" i="5" s="1"/>
  <c r="AA1322" i="5" s="1"/>
  <c r="AA1323" i="5" s="1"/>
  <c r="AA1324" i="5" s="1"/>
  <c r="AA1325" i="5" s="1"/>
  <c r="AA1326" i="5" s="1"/>
  <c r="AA1327" i="5" s="1"/>
  <c r="AA1328" i="5" s="1"/>
  <c r="AA1329" i="5" s="1"/>
  <c r="AA1330" i="5" s="1"/>
  <c r="AA1331" i="5" s="1"/>
  <c r="AA1332" i="5" s="1"/>
  <c r="AA1333" i="5" s="1"/>
  <c r="AA1334" i="5" s="1"/>
  <c r="AA1335" i="5" s="1"/>
  <c r="AA1336" i="5" s="1"/>
  <c r="AA1337" i="5" s="1"/>
  <c r="AA1338" i="5" s="1"/>
  <c r="AA1339" i="5" s="1"/>
  <c r="AA1340" i="5" s="1"/>
  <c r="AA1341" i="5" s="1"/>
  <c r="AA1342" i="5" s="1"/>
  <c r="AA1343" i="5" s="1"/>
  <c r="AA1344" i="5" s="1"/>
  <c r="AA1345" i="5" s="1"/>
  <c r="AA1346" i="5" s="1"/>
  <c r="AA1347" i="5" s="1"/>
  <c r="AA1348" i="5" s="1"/>
  <c r="AA1349" i="5" s="1"/>
  <c r="AA1350" i="5" s="1"/>
  <c r="AA1351" i="5" s="1"/>
  <c r="AA1352" i="5" s="1"/>
  <c r="AA1353" i="5" s="1"/>
  <c r="AA1354" i="5" s="1"/>
  <c r="AA1355" i="5" s="1"/>
  <c r="AA1356" i="5" s="1"/>
  <c r="AA1357" i="5" s="1"/>
  <c r="AA1358" i="5" s="1"/>
  <c r="AA1359" i="5" s="1"/>
  <c r="AA1360" i="5" s="1"/>
  <c r="AA1361" i="5" s="1"/>
  <c r="AA1362" i="5" s="1"/>
  <c r="AA1363" i="5" s="1"/>
  <c r="AA1364" i="5" s="1"/>
  <c r="AA1365" i="5" s="1"/>
  <c r="AA1366" i="5" s="1"/>
  <c r="AA1367" i="5" s="1"/>
  <c r="AA1368" i="5" s="1"/>
  <c r="AA1369" i="5" s="1"/>
  <c r="AA1370" i="5" s="1"/>
  <c r="AA1371" i="5" s="1"/>
  <c r="AA1372" i="5" s="1"/>
  <c r="AA1373" i="5" s="1"/>
  <c r="AA1374" i="5" s="1"/>
  <c r="AA1375" i="5" s="1"/>
  <c r="AA1376" i="5" s="1"/>
  <c r="AA1377" i="5" s="1"/>
  <c r="AA1378" i="5" s="1"/>
  <c r="AA1379" i="5" s="1"/>
  <c r="AA1380" i="5" s="1"/>
  <c r="AA1381" i="5" s="1"/>
  <c r="AA1382" i="5" s="1"/>
  <c r="AA1383" i="5" s="1"/>
  <c r="AA1384" i="5" s="1"/>
  <c r="AA1385" i="5" s="1"/>
  <c r="AA1386" i="5" s="1"/>
  <c r="AA1387" i="5" s="1"/>
  <c r="AA1388" i="5" s="1"/>
  <c r="AA1389" i="5" s="1"/>
  <c r="AA1390" i="5" s="1"/>
  <c r="AA1391" i="5" s="1"/>
  <c r="AA1392" i="5" s="1"/>
  <c r="AA1393" i="5" s="1"/>
  <c r="AA1394" i="5" s="1"/>
  <c r="AA1395" i="5" s="1"/>
  <c r="AA1396" i="5" s="1"/>
  <c r="AA1397" i="5" s="1"/>
  <c r="AA1398" i="5" s="1"/>
  <c r="AA1399" i="5" s="1"/>
  <c r="AA1400" i="5" s="1"/>
  <c r="AA1401" i="5" s="1"/>
  <c r="AA1402" i="5" s="1"/>
  <c r="AA1403" i="5" s="1"/>
  <c r="AA1404" i="5" s="1"/>
  <c r="AA1405" i="5" s="1"/>
  <c r="AA1406" i="5" s="1"/>
  <c r="AA1407" i="5" s="1"/>
  <c r="AA1408" i="5" s="1"/>
  <c r="AA1409" i="5" s="1"/>
  <c r="AA1410" i="5" s="1"/>
  <c r="AA1411" i="5" s="1"/>
  <c r="AA1412" i="5" s="1"/>
  <c r="AA1413" i="5" s="1"/>
  <c r="AA1414" i="5" s="1"/>
  <c r="AA1415" i="5" s="1"/>
  <c r="AA1416" i="5" s="1"/>
  <c r="AA1417" i="5" s="1"/>
  <c r="AA1418" i="5" s="1"/>
  <c r="AA1419" i="5" s="1"/>
  <c r="AA1420" i="5" s="1"/>
  <c r="AA1421" i="5" s="1"/>
  <c r="AA1422" i="5" s="1"/>
  <c r="AA1423" i="5" s="1"/>
  <c r="AA1424" i="5" s="1"/>
  <c r="AA1425" i="5" s="1"/>
  <c r="AA1426" i="5" s="1"/>
  <c r="AA1427" i="5" s="1"/>
  <c r="AA1428" i="5" s="1"/>
  <c r="AA1429" i="5" s="1"/>
  <c r="AA1430" i="5" s="1"/>
  <c r="AA1431" i="5" s="1"/>
  <c r="AA1432" i="5" s="1"/>
  <c r="AA1433" i="5" s="1"/>
  <c r="AA1434" i="5" s="1"/>
  <c r="AA1435" i="5" s="1"/>
  <c r="AA1436" i="5" s="1"/>
  <c r="AA1437" i="5" s="1"/>
  <c r="AA1438" i="5" s="1"/>
  <c r="AA1439" i="5" s="1"/>
  <c r="AA1440" i="5" s="1"/>
  <c r="AA1441" i="5" s="1"/>
  <c r="AA1442" i="5" s="1"/>
  <c r="AA1443" i="5" s="1"/>
  <c r="AA1444" i="5" s="1"/>
  <c r="AA1445" i="5" s="1"/>
  <c r="AA1446" i="5" s="1"/>
  <c r="AA1447" i="5" s="1"/>
  <c r="AA1448" i="5" s="1"/>
  <c r="AA1449" i="5" s="1"/>
  <c r="AA1450" i="5" s="1"/>
  <c r="AA1451" i="5" s="1"/>
  <c r="AA1452" i="5" s="1"/>
  <c r="AA1453" i="5" s="1"/>
  <c r="AA1454" i="5" s="1"/>
  <c r="AA1455" i="5" s="1"/>
  <c r="AA1456" i="5" s="1"/>
  <c r="AA1457" i="5" s="1"/>
  <c r="AA1458" i="5" s="1"/>
  <c r="AA1459" i="5" s="1"/>
  <c r="AA1460" i="5" s="1"/>
  <c r="AA1461" i="5" s="1"/>
  <c r="AA1462" i="5" s="1"/>
  <c r="AA1463" i="5" s="1"/>
  <c r="AA1464" i="5" s="1"/>
  <c r="AA1465" i="5" s="1"/>
  <c r="AA1466" i="5" s="1"/>
  <c r="AA1467" i="5" s="1"/>
  <c r="AA1468" i="5" s="1"/>
  <c r="AA1469" i="5" s="1"/>
  <c r="AA1470" i="5" s="1"/>
  <c r="AA1471" i="5" s="1"/>
  <c r="AA1472" i="5" s="1"/>
  <c r="AA1473" i="5" s="1"/>
  <c r="AA1474" i="5" s="1"/>
  <c r="AA1475" i="5" s="1"/>
  <c r="AA60" i="5"/>
  <c r="Z1029" i="5"/>
  <c r="Z1030" i="5"/>
  <c r="Z1031" i="5"/>
  <c r="Z1032" i="5"/>
  <c r="Z1033" i="5"/>
  <c r="Z1034" i="5"/>
  <c r="Z1035" i="5"/>
  <c r="Z1036" i="5"/>
  <c r="Z1037" i="5"/>
  <c r="Z1038" i="5"/>
  <c r="Z1039" i="5"/>
  <c r="Z1040" i="5"/>
  <c r="Z1041" i="5"/>
  <c r="Z1042" i="5"/>
  <c r="Z1043" i="5"/>
  <c r="Z1044" i="5"/>
  <c r="Z1045" i="5"/>
  <c r="Z1046" i="5"/>
  <c r="Z1047" i="5"/>
  <c r="Z1048" i="5"/>
  <c r="Z1049" i="5"/>
  <c r="Z1050" i="5"/>
  <c r="Z1051" i="5"/>
  <c r="Z1052" i="5"/>
  <c r="Z1053" i="5"/>
  <c r="Z1054" i="5"/>
  <c r="Z1055" i="5"/>
  <c r="Z1056" i="5"/>
  <c r="Z1057" i="5"/>
  <c r="Z1058" i="5"/>
  <c r="Z1059" i="5"/>
  <c r="Z1060" i="5"/>
  <c r="Z1061" i="5"/>
  <c r="Z1062" i="5"/>
  <c r="Z1063" i="5"/>
  <c r="Z1064" i="5"/>
  <c r="Z1065" i="5"/>
  <c r="Z1066" i="5"/>
  <c r="Z1067" i="5"/>
  <c r="Z1068" i="5"/>
  <c r="Z1069" i="5"/>
  <c r="Z1070" i="5"/>
  <c r="Z1071" i="5"/>
  <c r="Z1072" i="5"/>
  <c r="Z1073" i="5"/>
  <c r="Z1074" i="5"/>
  <c r="Z1075" i="5"/>
  <c r="Z1076" i="5"/>
  <c r="Z1077" i="5"/>
  <c r="Z1078" i="5"/>
  <c r="Z1079" i="5"/>
  <c r="Z1080" i="5"/>
  <c r="Z1081" i="5"/>
  <c r="Z1082" i="5"/>
  <c r="Z1083" i="5"/>
  <c r="Z1084" i="5"/>
  <c r="Z1085" i="5"/>
  <c r="Z1086" i="5"/>
  <c r="Z1087" i="5"/>
  <c r="Z1088" i="5"/>
  <c r="Z1089" i="5"/>
  <c r="Z1090" i="5"/>
  <c r="Z1091" i="5"/>
  <c r="Z1092" i="5"/>
  <c r="Z1093" i="5"/>
  <c r="Z1094" i="5"/>
  <c r="Z1095" i="5"/>
  <c r="Z1096" i="5"/>
  <c r="Z1097" i="5"/>
  <c r="Z1098" i="5"/>
  <c r="Z1099" i="5"/>
  <c r="Z1100" i="5"/>
  <c r="Z1101" i="5"/>
  <c r="Z1102" i="5"/>
  <c r="Z1103" i="5"/>
  <c r="Z1104" i="5"/>
  <c r="Z1105" i="5"/>
  <c r="Z1106" i="5"/>
  <c r="Z1107" i="5"/>
  <c r="Z1108" i="5"/>
  <c r="Z1109" i="5"/>
  <c r="Z1110" i="5"/>
  <c r="Z1111" i="5"/>
  <c r="Z1112" i="5"/>
  <c r="Z1113" i="5"/>
  <c r="Z1114" i="5"/>
  <c r="Z1115" i="5"/>
  <c r="Z1116" i="5"/>
  <c r="Z1117" i="5"/>
  <c r="Z1118" i="5"/>
  <c r="Z1119" i="5"/>
  <c r="Z1120" i="5"/>
  <c r="Z1121" i="5"/>
  <c r="Z1122" i="5"/>
  <c r="Z1123" i="5"/>
  <c r="Z1124" i="5"/>
  <c r="Z1125" i="5"/>
  <c r="Z1126" i="5"/>
  <c r="Z1127" i="5"/>
  <c r="Z1128" i="5"/>
  <c r="Z1129" i="5"/>
  <c r="Z1130" i="5"/>
  <c r="Z1131" i="5"/>
  <c r="Z1132" i="5"/>
  <c r="Z1133" i="5"/>
  <c r="Z1134" i="5"/>
  <c r="Z1135" i="5"/>
  <c r="Z1136" i="5"/>
  <c r="Z1137" i="5"/>
  <c r="Z1138" i="5"/>
  <c r="Z1139" i="5"/>
  <c r="Z1140" i="5"/>
  <c r="Z1141" i="5"/>
  <c r="Z1142" i="5"/>
  <c r="Z1143" i="5"/>
  <c r="Z1144" i="5"/>
  <c r="Z1145" i="5"/>
  <c r="Z1146" i="5"/>
  <c r="Z1147" i="5"/>
  <c r="Z1148" i="5"/>
  <c r="Z1149" i="5"/>
  <c r="Z1150" i="5"/>
  <c r="Z1151" i="5"/>
  <c r="Z1152" i="5"/>
  <c r="Z1153" i="5"/>
  <c r="Z1154" i="5"/>
  <c r="Z1155" i="5"/>
  <c r="Z1156" i="5"/>
  <c r="Z1157" i="5"/>
  <c r="Z1158" i="5"/>
  <c r="Z1159" i="5"/>
  <c r="Z1160" i="5"/>
  <c r="Z1161" i="5"/>
  <c r="Z1162" i="5"/>
  <c r="Z1163" i="5"/>
  <c r="Z1164" i="5"/>
  <c r="Z1165" i="5"/>
  <c r="Z1166" i="5"/>
  <c r="Z1167" i="5"/>
  <c r="Z1168" i="5"/>
  <c r="Z1169" i="5"/>
  <c r="Z1170" i="5"/>
  <c r="Z1171" i="5"/>
  <c r="Z1172" i="5"/>
  <c r="Z1173" i="5"/>
  <c r="Z1174" i="5"/>
  <c r="Z1175" i="5"/>
  <c r="Z1176" i="5"/>
  <c r="Z1177" i="5"/>
  <c r="Z1178" i="5"/>
  <c r="Z1179" i="5"/>
  <c r="Z1180" i="5"/>
  <c r="Z1181" i="5"/>
  <c r="Z1182" i="5"/>
  <c r="Z1183" i="5"/>
  <c r="Z1184" i="5"/>
  <c r="Z1185" i="5"/>
  <c r="Z1186" i="5"/>
  <c r="Z1187" i="5"/>
  <c r="Z1188" i="5"/>
  <c r="Z1189" i="5"/>
  <c r="Z1190" i="5"/>
  <c r="Z1191" i="5"/>
  <c r="Z1192" i="5"/>
  <c r="Z1193" i="5"/>
  <c r="Z1194" i="5"/>
  <c r="Z1195" i="5"/>
  <c r="Z1196" i="5"/>
  <c r="Z1197" i="5"/>
  <c r="Z1198" i="5"/>
  <c r="Z1199" i="5"/>
  <c r="Z1200" i="5"/>
  <c r="Z1201" i="5"/>
  <c r="Z1202" i="5"/>
  <c r="Z1203" i="5"/>
  <c r="Z1204" i="5"/>
  <c r="Z1205" i="5"/>
  <c r="Z1206" i="5"/>
  <c r="Z1207" i="5"/>
  <c r="Z1208" i="5"/>
  <c r="Z1209" i="5"/>
  <c r="Z1210" i="5"/>
  <c r="Z1211" i="5"/>
  <c r="Z1212" i="5"/>
  <c r="Z1213" i="5"/>
  <c r="Z1214" i="5"/>
  <c r="Z1215" i="5"/>
  <c r="Z1216" i="5"/>
  <c r="Z1217" i="5"/>
  <c r="Z1218" i="5"/>
  <c r="Z1219" i="5"/>
  <c r="Z1220" i="5"/>
  <c r="Z1221" i="5"/>
  <c r="Z1222" i="5"/>
  <c r="Z1223" i="5"/>
  <c r="Z1224" i="5"/>
  <c r="Z1225" i="5"/>
  <c r="Z1226" i="5"/>
  <c r="Z1227" i="5"/>
  <c r="Z1228" i="5"/>
  <c r="Z1229" i="5"/>
  <c r="Z1230" i="5"/>
  <c r="Z1231" i="5"/>
  <c r="Z1232" i="5"/>
  <c r="Z1233" i="5"/>
  <c r="Z1234" i="5"/>
  <c r="Z1235" i="5"/>
  <c r="Z1236" i="5"/>
  <c r="Z1237" i="5"/>
  <c r="Z1238" i="5"/>
  <c r="Z1239" i="5"/>
  <c r="Z1240" i="5"/>
  <c r="Z1241" i="5"/>
  <c r="Z1242" i="5"/>
  <c r="Z1243" i="5"/>
  <c r="Z1244" i="5"/>
  <c r="Z1245" i="5"/>
  <c r="Z1246" i="5"/>
  <c r="Z1247" i="5"/>
  <c r="Z1248" i="5"/>
  <c r="Z1249" i="5"/>
  <c r="Z1250" i="5"/>
  <c r="Z1251" i="5"/>
  <c r="Z1252" i="5"/>
  <c r="Z1253" i="5"/>
  <c r="Z1254" i="5"/>
  <c r="Z1255" i="5"/>
  <c r="Z1256" i="5"/>
  <c r="Z1257" i="5"/>
  <c r="Z1258" i="5"/>
  <c r="Z1259" i="5"/>
  <c r="Z1260" i="5"/>
  <c r="Z1261" i="5"/>
  <c r="Z1262" i="5"/>
  <c r="Z1263" i="5"/>
  <c r="Z1264" i="5"/>
  <c r="Z1265" i="5"/>
  <c r="Z1266" i="5"/>
  <c r="Z1267" i="5"/>
  <c r="Z1268" i="5"/>
  <c r="Z1269" i="5"/>
  <c r="Z1270" i="5"/>
  <c r="Z1271" i="5"/>
  <c r="Z1272" i="5"/>
  <c r="Z1273" i="5"/>
  <c r="Z1274" i="5"/>
  <c r="Z1275" i="5"/>
  <c r="Z1276" i="5"/>
  <c r="Z1277" i="5"/>
  <c r="Z1278" i="5"/>
  <c r="Z1279" i="5"/>
  <c r="Z1280" i="5"/>
  <c r="Z1281" i="5"/>
  <c r="Z1282" i="5"/>
  <c r="Z1283" i="5"/>
  <c r="Z1284" i="5"/>
  <c r="Z1285" i="5"/>
  <c r="Z1286" i="5"/>
  <c r="Z1287" i="5"/>
  <c r="Z1288" i="5"/>
  <c r="Z1289" i="5"/>
  <c r="Z1290" i="5"/>
  <c r="Z1291" i="5"/>
  <c r="Z1292" i="5"/>
  <c r="Z1293" i="5"/>
  <c r="Z1294" i="5"/>
  <c r="Z1295" i="5"/>
  <c r="Z1296" i="5"/>
  <c r="Z1297" i="5"/>
  <c r="Z1298" i="5"/>
  <c r="Z1299" i="5"/>
  <c r="Z1300" i="5"/>
  <c r="Z1301" i="5"/>
  <c r="Z1302" i="5"/>
  <c r="Z1303" i="5"/>
  <c r="Z1304" i="5"/>
  <c r="Z1305" i="5"/>
  <c r="Z1306" i="5"/>
  <c r="Z1307" i="5"/>
  <c r="Z1308" i="5"/>
  <c r="Z1309" i="5"/>
  <c r="Z1310" i="5"/>
  <c r="Z1311" i="5"/>
  <c r="Z1312" i="5"/>
  <c r="Z1313" i="5"/>
  <c r="Z1314" i="5"/>
  <c r="Z1315" i="5"/>
  <c r="Z1316" i="5"/>
  <c r="Z1317" i="5"/>
  <c r="Z1318" i="5"/>
  <c r="Z1319" i="5"/>
  <c r="Z1320" i="5"/>
  <c r="Z1321" i="5"/>
  <c r="Z1322" i="5"/>
  <c r="Z1323" i="5"/>
  <c r="Z1324" i="5"/>
  <c r="Z1325" i="5"/>
  <c r="Z1326" i="5"/>
  <c r="Z1327" i="5"/>
  <c r="Z1328" i="5"/>
  <c r="Z1329" i="5"/>
  <c r="Z1330" i="5"/>
  <c r="Z1331" i="5"/>
  <c r="Z1332" i="5"/>
  <c r="Z1333" i="5"/>
  <c r="Z1334" i="5"/>
  <c r="Z1335" i="5"/>
  <c r="Z1336" i="5"/>
  <c r="Z1337" i="5"/>
  <c r="Z1338" i="5"/>
  <c r="Z1339" i="5"/>
  <c r="Z1340" i="5"/>
  <c r="Z1341" i="5"/>
  <c r="Z1342" i="5"/>
  <c r="Z1343" i="5"/>
  <c r="Z1344" i="5"/>
  <c r="Z1345" i="5"/>
  <c r="Z1346" i="5"/>
  <c r="Z1347" i="5"/>
  <c r="Z1348" i="5"/>
  <c r="Z1349" i="5"/>
  <c r="Z1350" i="5"/>
  <c r="Z1351" i="5"/>
  <c r="Z1352" i="5"/>
  <c r="Z1353" i="5"/>
  <c r="Z1354" i="5"/>
  <c r="Z1355" i="5"/>
  <c r="Z1356" i="5"/>
  <c r="Z1357" i="5"/>
  <c r="Z1358" i="5"/>
  <c r="Z1359" i="5"/>
  <c r="Z1360" i="5"/>
  <c r="Z1361" i="5"/>
  <c r="Z1362" i="5"/>
  <c r="Z1363" i="5"/>
  <c r="Z1364" i="5"/>
  <c r="Z1365" i="5"/>
  <c r="Z1366" i="5"/>
  <c r="Z1367" i="5"/>
  <c r="Z1368" i="5"/>
  <c r="Z1369" i="5"/>
  <c r="Z1370" i="5"/>
  <c r="Z1371" i="5"/>
  <c r="Z1372" i="5"/>
  <c r="Z1373" i="5"/>
  <c r="Z1374" i="5"/>
  <c r="Z1375" i="5"/>
  <c r="Z1376" i="5"/>
  <c r="Z1377" i="5"/>
  <c r="Z1378" i="5"/>
  <c r="Z1379" i="5"/>
  <c r="Z1380" i="5"/>
  <c r="Z1381" i="5"/>
  <c r="Z1382" i="5"/>
  <c r="Z1383" i="5"/>
  <c r="Z1384" i="5"/>
  <c r="Z1385" i="5"/>
  <c r="Z1386" i="5"/>
  <c r="Z1387" i="5"/>
  <c r="Z1388" i="5"/>
  <c r="Z1389" i="5"/>
  <c r="Z1390" i="5"/>
  <c r="Z1391" i="5"/>
  <c r="Z1392" i="5"/>
  <c r="Z1393" i="5"/>
  <c r="Z1394" i="5"/>
  <c r="Z1395" i="5"/>
  <c r="Z1396" i="5"/>
  <c r="Z1397" i="5"/>
  <c r="Z1398" i="5"/>
  <c r="Z1399" i="5"/>
  <c r="Z1400" i="5"/>
  <c r="Z1401" i="5"/>
  <c r="Z1402" i="5"/>
  <c r="Z1403" i="5"/>
  <c r="Z1404" i="5"/>
  <c r="Z1405" i="5"/>
  <c r="Z1406" i="5"/>
  <c r="Z1407" i="5"/>
  <c r="Z1408" i="5"/>
  <c r="Z1409" i="5"/>
  <c r="Z1410" i="5"/>
  <c r="Z1411" i="5"/>
  <c r="Z1412" i="5"/>
  <c r="Z1413" i="5"/>
  <c r="Z1414" i="5"/>
  <c r="Z1415" i="5"/>
  <c r="Z1416" i="5"/>
  <c r="Z1417" i="5"/>
  <c r="Z1418" i="5"/>
  <c r="Z1419" i="5"/>
  <c r="Z1420" i="5"/>
  <c r="Z1421" i="5"/>
  <c r="Z1422" i="5"/>
  <c r="Z1423" i="5"/>
  <c r="Z1424" i="5"/>
  <c r="Z1425" i="5"/>
  <c r="Z1426" i="5"/>
  <c r="Z1427" i="5"/>
  <c r="Z1428" i="5"/>
  <c r="Z1429" i="5"/>
  <c r="Z1430" i="5"/>
  <c r="Z1431" i="5"/>
  <c r="Z1432" i="5"/>
  <c r="Z1433" i="5"/>
  <c r="Z1434" i="5"/>
  <c r="Z1435" i="5"/>
  <c r="Z1436" i="5"/>
  <c r="Z1437" i="5"/>
  <c r="Z1438" i="5"/>
  <c r="Z1439" i="5"/>
  <c r="Z1440" i="5"/>
  <c r="Z1441" i="5"/>
  <c r="Z1442" i="5"/>
  <c r="Z1443" i="5"/>
  <c r="Z1444" i="5"/>
  <c r="Z1445" i="5"/>
  <c r="Z1446" i="5"/>
  <c r="Z1447" i="5"/>
  <c r="Z1448" i="5"/>
  <c r="Z1449" i="5"/>
  <c r="Z1450" i="5"/>
  <c r="Z1451" i="5"/>
  <c r="Z1452" i="5"/>
  <c r="Z1453" i="5"/>
  <c r="Z1454" i="5"/>
  <c r="Z1455" i="5"/>
  <c r="Z1456" i="5"/>
  <c r="Z1457" i="5"/>
  <c r="Z1458" i="5"/>
  <c r="Z1459" i="5"/>
  <c r="Z1460" i="5"/>
  <c r="Z1461" i="5"/>
  <c r="Z1462" i="5"/>
  <c r="Z1463" i="5"/>
  <c r="Z1464" i="5"/>
  <c r="Z1465" i="5"/>
  <c r="Z1466" i="5"/>
  <c r="Z1467" i="5"/>
  <c r="Z1468" i="5"/>
  <c r="Z1469" i="5"/>
  <c r="Z1470" i="5"/>
  <c r="Z1471" i="5"/>
  <c r="Z1472" i="5"/>
  <c r="Z1473" i="5"/>
  <c r="Z1474" i="5"/>
  <c r="Z1475" i="5"/>
  <c r="Y1029" i="5"/>
  <c r="Y1030" i="5" s="1"/>
  <c r="Y1031" i="5" s="1"/>
  <c r="Y1032" i="5"/>
  <c r="Y1033" i="5"/>
  <c r="Y1034" i="5"/>
  <c r="Y1035" i="5"/>
  <c r="Y1036" i="5"/>
  <c r="Y1037" i="5"/>
  <c r="Y1038" i="5"/>
  <c r="Y1039" i="5"/>
  <c r="Y1040" i="5"/>
  <c r="Y1041" i="5"/>
  <c r="Y1042" i="5"/>
  <c r="Y1043" i="5"/>
  <c r="Y1044" i="5"/>
  <c r="Y1045" i="5" s="1"/>
  <c r="Y1046" i="5" s="1"/>
  <c r="Y1047" i="5" s="1"/>
  <c r="Y1048" i="5"/>
  <c r="Y1049" i="5"/>
  <c r="Y1050" i="5" s="1"/>
  <c r="Y1051" i="5" s="1"/>
  <c r="Y1052" i="5" s="1"/>
  <c r="Y1053" i="5" s="1"/>
  <c r="Y1054" i="5" s="1"/>
  <c r="Y1055" i="5" s="1"/>
  <c r="Y1056" i="5" s="1"/>
  <c r="Y1057" i="5" s="1"/>
  <c r="Y1058" i="5" s="1"/>
  <c r="Y1059" i="5" s="1"/>
  <c r="Y1060" i="5" s="1"/>
  <c r="Y1061" i="5" s="1"/>
  <c r="Y1062" i="5" s="1"/>
  <c r="Y1063" i="5" s="1"/>
  <c r="Y1064" i="5" s="1"/>
  <c r="Y1065" i="5" s="1"/>
  <c r="Y1066" i="5" s="1"/>
  <c r="Y1067" i="5" s="1"/>
  <c r="Y1068" i="5" s="1"/>
  <c r="Y1069" i="5" s="1"/>
  <c r="Y1070" i="5" s="1"/>
  <c r="Y1071" i="5" s="1"/>
  <c r="Y1072" i="5" s="1"/>
  <c r="Y1073" i="5" s="1"/>
  <c r="Y1074" i="5" s="1"/>
  <c r="Y1075" i="5" s="1"/>
  <c r="Y1076" i="5" s="1"/>
  <c r="Y1077" i="5" s="1"/>
  <c r="Y1078" i="5" s="1"/>
  <c r="Y1079" i="5" s="1"/>
  <c r="Y1080" i="5" s="1"/>
  <c r="Y1081" i="5" s="1"/>
  <c r="Y1082" i="5" s="1"/>
  <c r="Y1083" i="5" s="1"/>
  <c r="Y1084" i="5" s="1"/>
  <c r="Y1085" i="5" s="1"/>
  <c r="Y1086" i="5" s="1"/>
  <c r="Y1087" i="5" s="1"/>
  <c r="Y1088" i="5" s="1"/>
  <c r="Y1089" i="5" s="1"/>
  <c r="Y1090" i="5" s="1"/>
  <c r="Y1091" i="5" s="1"/>
  <c r="Y1092" i="5" s="1"/>
  <c r="Y1093" i="5" s="1"/>
  <c r="Y1094" i="5" s="1"/>
  <c r="Y1095" i="5" s="1"/>
  <c r="Y1096" i="5" s="1"/>
  <c r="Y1097" i="5" s="1"/>
  <c r="Y1098" i="5" s="1"/>
  <c r="Y1099" i="5" s="1"/>
  <c r="Y1100" i="5" s="1"/>
  <c r="Y1101" i="5" s="1"/>
  <c r="Y1102" i="5" s="1"/>
  <c r="Y1103" i="5" s="1"/>
  <c r="Y1104" i="5" s="1"/>
  <c r="Y1105" i="5" s="1"/>
  <c r="Y1106" i="5" s="1"/>
  <c r="Y1107" i="5" s="1"/>
  <c r="Y1108" i="5" s="1"/>
  <c r="Y1109" i="5" s="1"/>
  <c r="Y1110" i="5" s="1"/>
  <c r="Y1111" i="5" s="1"/>
  <c r="Y1112" i="5" s="1"/>
  <c r="Y1113" i="5" s="1"/>
  <c r="Y1114" i="5" s="1"/>
  <c r="Y1115" i="5" s="1"/>
  <c r="Y1116" i="5" s="1"/>
  <c r="Y1117" i="5" s="1"/>
  <c r="Y1118" i="5" s="1"/>
  <c r="Y1119" i="5" s="1"/>
  <c r="Y1120" i="5" s="1"/>
  <c r="Y1121" i="5" s="1"/>
  <c r="Y1122" i="5" s="1"/>
  <c r="Y1123" i="5" s="1"/>
  <c r="Y1124" i="5" s="1"/>
  <c r="Y1125" i="5" s="1"/>
  <c r="Y1126" i="5" s="1"/>
  <c r="Y1127" i="5" s="1"/>
  <c r="Y1128" i="5" s="1"/>
  <c r="Y1129" i="5" s="1"/>
  <c r="Y1130" i="5" s="1"/>
  <c r="Y1131" i="5" s="1"/>
  <c r="Y1132" i="5" s="1"/>
  <c r="Y1133" i="5" s="1"/>
  <c r="Y1134" i="5" s="1"/>
  <c r="Y1135" i="5" s="1"/>
  <c r="Y1136" i="5" s="1"/>
  <c r="Y1137" i="5" s="1"/>
  <c r="Y1138" i="5" s="1"/>
  <c r="Y1139" i="5" s="1"/>
  <c r="Y1140" i="5" s="1"/>
  <c r="Y1141" i="5" s="1"/>
  <c r="Y1142" i="5" s="1"/>
  <c r="Y1143" i="5" s="1"/>
  <c r="Y1144" i="5" s="1"/>
  <c r="Y1145" i="5" s="1"/>
  <c r="Y1146" i="5" s="1"/>
  <c r="Y1147" i="5" s="1"/>
  <c r="Y1148" i="5" s="1"/>
  <c r="Y1149" i="5" s="1"/>
  <c r="Y1150" i="5" s="1"/>
  <c r="Y1151" i="5" s="1"/>
  <c r="Y1152" i="5" s="1"/>
  <c r="Y1153" i="5" s="1"/>
  <c r="Y1154" i="5" s="1"/>
  <c r="Y1155" i="5" s="1"/>
  <c r="Y1156" i="5" s="1"/>
  <c r="Y1157" i="5" s="1"/>
  <c r="Y1158" i="5" s="1"/>
  <c r="Y1159" i="5" s="1"/>
  <c r="Y1160" i="5" s="1"/>
  <c r="Y1161" i="5" s="1"/>
  <c r="Y1162" i="5" s="1"/>
  <c r="Y1163" i="5" s="1"/>
  <c r="Y1164" i="5" s="1"/>
  <c r="Y1165" i="5" s="1"/>
  <c r="Y1166" i="5" s="1"/>
  <c r="Y1167" i="5" s="1"/>
  <c r="Y1168" i="5" s="1"/>
  <c r="Y1169" i="5" s="1"/>
  <c r="Y1170" i="5" s="1"/>
  <c r="Y1171" i="5" s="1"/>
  <c r="Y1172" i="5" s="1"/>
  <c r="Y1173" i="5" s="1"/>
  <c r="Y1174" i="5" s="1"/>
  <c r="Y1175" i="5" s="1"/>
  <c r="Y1176" i="5" s="1"/>
  <c r="Y1177" i="5" s="1"/>
  <c r="Y1178" i="5" s="1"/>
  <c r="Y1179" i="5" s="1"/>
  <c r="Y1180" i="5" s="1"/>
  <c r="Y1181" i="5" s="1"/>
  <c r="Y1182" i="5" s="1"/>
  <c r="Y1183" i="5" s="1"/>
  <c r="Y1184" i="5" s="1"/>
  <c r="Y1185" i="5" s="1"/>
  <c r="Y1186" i="5" s="1"/>
  <c r="Y1187" i="5" s="1"/>
  <c r="Y1188" i="5" s="1"/>
  <c r="Y1189" i="5" s="1"/>
  <c r="Y1190" i="5" s="1"/>
  <c r="Y1191" i="5" s="1"/>
  <c r="Y1192" i="5" s="1"/>
  <c r="Y1193" i="5" s="1"/>
  <c r="Y1194" i="5" s="1"/>
  <c r="Y1195" i="5" s="1"/>
  <c r="Y1196" i="5" s="1"/>
  <c r="Y1197" i="5" s="1"/>
  <c r="Y1198" i="5" s="1"/>
  <c r="Y1199" i="5" s="1"/>
  <c r="Y1200" i="5" s="1"/>
  <c r="Y1201" i="5" s="1"/>
  <c r="Y1202" i="5" s="1"/>
  <c r="Y1203" i="5" s="1"/>
  <c r="Y1204" i="5" s="1"/>
  <c r="Y1205" i="5" s="1"/>
  <c r="Y1206" i="5" s="1"/>
  <c r="Y1207" i="5" s="1"/>
  <c r="Y1208" i="5" s="1"/>
  <c r="Y1209" i="5" s="1"/>
  <c r="Y1210" i="5" s="1"/>
  <c r="Y1211" i="5" s="1"/>
  <c r="Y1212" i="5" s="1"/>
  <c r="Y1213" i="5" s="1"/>
  <c r="Y1214" i="5" s="1"/>
  <c r="Y1215" i="5" s="1"/>
  <c r="Y1216" i="5" s="1"/>
  <c r="Y1217" i="5" s="1"/>
  <c r="Y1218" i="5" s="1"/>
  <c r="Y1219" i="5" s="1"/>
  <c r="Y1220" i="5" s="1"/>
  <c r="Y1221" i="5" s="1"/>
  <c r="Y1222" i="5" s="1"/>
  <c r="Y1223" i="5" s="1"/>
  <c r="Y1224" i="5" s="1"/>
  <c r="Y1225" i="5" s="1"/>
  <c r="Y1226" i="5" s="1"/>
  <c r="Y1227" i="5" s="1"/>
  <c r="Y1228" i="5" s="1"/>
  <c r="Y1229" i="5" s="1"/>
  <c r="Y1230" i="5" s="1"/>
  <c r="Y1231" i="5" s="1"/>
  <c r="Y1232" i="5" s="1"/>
  <c r="Y1233" i="5" s="1"/>
  <c r="Y1234" i="5" s="1"/>
  <c r="Y1235" i="5" s="1"/>
  <c r="Y1236" i="5" s="1"/>
  <c r="Y1237" i="5" s="1"/>
  <c r="Y1238" i="5" s="1"/>
  <c r="Y1239" i="5" s="1"/>
  <c r="Y1240" i="5" s="1"/>
  <c r="Y1241" i="5" s="1"/>
  <c r="Y1242" i="5" s="1"/>
  <c r="Y1243" i="5" s="1"/>
  <c r="Y1244" i="5" s="1"/>
  <c r="Y1245" i="5" s="1"/>
  <c r="Y1246" i="5" s="1"/>
  <c r="Y1247" i="5" s="1"/>
  <c r="Y1248" i="5" s="1"/>
  <c r="Y1249" i="5" s="1"/>
  <c r="Y1250" i="5" s="1"/>
  <c r="Y1251" i="5" s="1"/>
  <c r="Y1252" i="5" s="1"/>
  <c r="Y1253" i="5" s="1"/>
  <c r="Y1254" i="5" s="1"/>
  <c r="Y1255" i="5" s="1"/>
  <c r="Y1256" i="5" s="1"/>
  <c r="Y1257" i="5" s="1"/>
  <c r="Y1258" i="5" s="1"/>
  <c r="Y1259" i="5" s="1"/>
  <c r="Y1260" i="5" s="1"/>
  <c r="Y1261" i="5" s="1"/>
  <c r="Y1262" i="5" s="1"/>
  <c r="Y1263" i="5" s="1"/>
  <c r="Y1264" i="5" s="1"/>
  <c r="Y1265" i="5" s="1"/>
  <c r="Y1266" i="5" s="1"/>
  <c r="Y1267" i="5" s="1"/>
  <c r="Y1268" i="5" s="1"/>
  <c r="Y1269" i="5" s="1"/>
  <c r="Y1270" i="5" s="1"/>
  <c r="Y1271" i="5" s="1"/>
  <c r="Y1272" i="5" s="1"/>
  <c r="Y1273" i="5" s="1"/>
  <c r="Y1274" i="5" s="1"/>
  <c r="Y1275" i="5" s="1"/>
  <c r="Y1276" i="5" s="1"/>
  <c r="Y1277" i="5" s="1"/>
  <c r="Y1278" i="5" s="1"/>
  <c r="Y1279" i="5" s="1"/>
  <c r="Y1280" i="5" s="1"/>
  <c r="Y1281" i="5" s="1"/>
  <c r="Y1282" i="5" s="1"/>
  <c r="Y1283" i="5" s="1"/>
  <c r="Y1284" i="5" s="1"/>
  <c r="Y1285" i="5" s="1"/>
  <c r="Y1286" i="5" s="1"/>
  <c r="Y1287" i="5" s="1"/>
  <c r="Y1288" i="5" s="1"/>
  <c r="Y1289" i="5" s="1"/>
  <c r="Y1290" i="5" s="1"/>
  <c r="Y1291" i="5" s="1"/>
  <c r="Y1292" i="5" s="1"/>
  <c r="Y1293" i="5" s="1"/>
  <c r="Y1294" i="5" s="1"/>
  <c r="Y1295" i="5" s="1"/>
  <c r="Y1296" i="5" s="1"/>
  <c r="Y1297" i="5" s="1"/>
  <c r="Y1298" i="5" s="1"/>
  <c r="Y1299" i="5" s="1"/>
  <c r="Y1300" i="5" s="1"/>
  <c r="Y1301" i="5" s="1"/>
  <c r="Y1302" i="5" s="1"/>
  <c r="Y1303" i="5" s="1"/>
  <c r="Y1304" i="5" s="1"/>
  <c r="Y1305" i="5" s="1"/>
  <c r="Y1306" i="5" s="1"/>
  <c r="Y1307" i="5" s="1"/>
  <c r="Y1308" i="5" s="1"/>
  <c r="Y1309" i="5" s="1"/>
  <c r="Y1310" i="5" s="1"/>
  <c r="Y1311" i="5" s="1"/>
  <c r="Y1312" i="5" s="1"/>
  <c r="Y1313" i="5" s="1"/>
  <c r="Y1314" i="5" s="1"/>
  <c r="Y1315" i="5" s="1"/>
  <c r="Y1316" i="5" s="1"/>
  <c r="Y1317" i="5" s="1"/>
  <c r="Y1318" i="5" s="1"/>
  <c r="Y1319" i="5" s="1"/>
  <c r="Y1320" i="5" s="1"/>
  <c r="Y1321" i="5" s="1"/>
  <c r="Y1322" i="5" s="1"/>
  <c r="Y1323" i="5" s="1"/>
  <c r="Y1324" i="5" s="1"/>
  <c r="Y1325" i="5" s="1"/>
  <c r="Y1326" i="5" s="1"/>
  <c r="Y1327" i="5" s="1"/>
  <c r="Y1328" i="5" s="1"/>
  <c r="Y1329" i="5" s="1"/>
  <c r="Y1330" i="5" s="1"/>
  <c r="Y1331" i="5" s="1"/>
  <c r="Y1332" i="5" s="1"/>
  <c r="Y1333" i="5" s="1"/>
  <c r="Y1334" i="5" s="1"/>
  <c r="Y1335" i="5" s="1"/>
  <c r="Y1336" i="5" s="1"/>
  <c r="Y1337" i="5" s="1"/>
  <c r="Y1338" i="5" s="1"/>
  <c r="Y1339" i="5" s="1"/>
  <c r="Y1340" i="5" s="1"/>
  <c r="Y1341" i="5" s="1"/>
  <c r="Y1342" i="5" s="1"/>
  <c r="Y1343" i="5" s="1"/>
  <c r="Y1344" i="5" s="1"/>
  <c r="Y1345" i="5" s="1"/>
  <c r="Y1346" i="5" s="1"/>
  <c r="Y1347" i="5" s="1"/>
  <c r="Y1348" i="5" s="1"/>
  <c r="Y1349" i="5" s="1"/>
  <c r="Y1350" i="5" s="1"/>
  <c r="Y1351" i="5" s="1"/>
  <c r="Y1352" i="5" s="1"/>
  <c r="Y1353" i="5" s="1"/>
  <c r="Y1354" i="5" s="1"/>
  <c r="Y1355" i="5" s="1"/>
  <c r="Y1356" i="5" s="1"/>
  <c r="Y1357" i="5" s="1"/>
  <c r="Y1358" i="5" s="1"/>
  <c r="Y1359" i="5" s="1"/>
  <c r="Y1360" i="5" s="1"/>
  <c r="Y1361" i="5" s="1"/>
  <c r="Y1362" i="5" s="1"/>
  <c r="Y1363" i="5" s="1"/>
  <c r="Y1364" i="5" s="1"/>
  <c r="Y1365" i="5" s="1"/>
  <c r="Y1366" i="5" s="1"/>
  <c r="Y1367" i="5" s="1"/>
  <c r="Y1368" i="5" s="1"/>
  <c r="Y1369" i="5" s="1"/>
  <c r="Y1370" i="5" s="1"/>
  <c r="Y1371" i="5" s="1"/>
  <c r="Y1372" i="5" s="1"/>
  <c r="Y1373" i="5" s="1"/>
  <c r="Y1374" i="5" s="1"/>
  <c r="Y1375" i="5" s="1"/>
  <c r="Y1376" i="5" s="1"/>
  <c r="Y1377" i="5" s="1"/>
  <c r="Y1378" i="5" s="1"/>
  <c r="Y1379" i="5" s="1"/>
  <c r="Y1380" i="5" s="1"/>
  <c r="Y1381" i="5" s="1"/>
  <c r="Y1382" i="5" s="1"/>
  <c r="Y1383" i="5" s="1"/>
  <c r="Y1384" i="5" s="1"/>
  <c r="Y1385" i="5" s="1"/>
  <c r="Y1386" i="5" s="1"/>
  <c r="Y1387" i="5" s="1"/>
  <c r="Y1388" i="5" s="1"/>
  <c r="Y1389" i="5" s="1"/>
  <c r="Y1390" i="5" s="1"/>
  <c r="Y1391" i="5" s="1"/>
  <c r="Y1392" i="5" s="1"/>
  <c r="Y1393" i="5" s="1"/>
  <c r="Y1394" i="5" s="1"/>
  <c r="Y1395" i="5" s="1"/>
  <c r="Y1396" i="5" s="1"/>
  <c r="Y1397" i="5" s="1"/>
  <c r="Y1398" i="5" s="1"/>
  <c r="Y1399" i="5" s="1"/>
  <c r="Y1400" i="5" s="1"/>
  <c r="Y1401" i="5" s="1"/>
  <c r="Y1402" i="5" s="1"/>
  <c r="Y1403" i="5" s="1"/>
  <c r="Y1404" i="5" s="1"/>
  <c r="Y1405" i="5" s="1"/>
  <c r="Y1406" i="5" s="1"/>
  <c r="Y1407" i="5" s="1"/>
  <c r="Y1408" i="5" s="1"/>
  <c r="Y1409" i="5" s="1"/>
  <c r="Y1410" i="5" s="1"/>
  <c r="Y1411" i="5" s="1"/>
  <c r="Y1412" i="5" s="1"/>
  <c r="Y1413" i="5" s="1"/>
  <c r="Y1414" i="5" s="1"/>
  <c r="Y1415" i="5" s="1"/>
  <c r="Y1416" i="5" s="1"/>
  <c r="Y1417" i="5" s="1"/>
  <c r="Y1418" i="5" s="1"/>
  <c r="Y1419" i="5" s="1"/>
  <c r="Y1420" i="5" s="1"/>
  <c r="Y1421" i="5" s="1"/>
  <c r="Y1422" i="5" s="1"/>
  <c r="Y1423" i="5" s="1"/>
  <c r="Y1424" i="5" s="1"/>
  <c r="Y1425" i="5" s="1"/>
  <c r="Y1426" i="5" s="1"/>
  <c r="Y1427" i="5" s="1"/>
  <c r="Y1428" i="5" s="1"/>
  <c r="Y1429" i="5" s="1"/>
  <c r="Y1430" i="5" s="1"/>
  <c r="Y1431" i="5" s="1"/>
  <c r="Y1432" i="5" s="1"/>
  <c r="Y1433" i="5" s="1"/>
  <c r="Y1434" i="5" s="1"/>
  <c r="Y1435" i="5" s="1"/>
  <c r="Y1436" i="5" s="1"/>
  <c r="Y1437" i="5" s="1"/>
  <c r="Y1438" i="5" s="1"/>
  <c r="Y1439" i="5" s="1"/>
  <c r="Y1440" i="5" s="1"/>
  <c r="Y1441" i="5" s="1"/>
  <c r="Y1442" i="5" s="1"/>
  <c r="Y1443" i="5" s="1"/>
  <c r="Y1444" i="5" s="1"/>
  <c r="Y1445" i="5" s="1"/>
  <c r="Y1446" i="5" s="1"/>
  <c r="Y1447" i="5" s="1"/>
  <c r="Y1448" i="5" s="1"/>
  <c r="Y1449" i="5" s="1"/>
  <c r="Y1450" i="5" s="1"/>
  <c r="Y1451" i="5" s="1"/>
  <c r="Y1452" i="5" s="1"/>
  <c r="Y1453" i="5" s="1"/>
  <c r="Y1454" i="5" s="1"/>
  <c r="Y1455" i="5" s="1"/>
  <c r="Y1456" i="5" s="1"/>
  <c r="Y1457" i="5" s="1"/>
  <c r="Y1458" i="5" s="1"/>
  <c r="Y1459" i="5" s="1"/>
  <c r="Y1460" i="5" s="1"/>
  <c r="Y1461" i="5" s="1"/>
  <c r="Y1462" i="5" s="1"/>
  <c r="Y1463" i="5" s="1"/>
  <c r="Y1464" i="5" s="1"/>
  <c r="Y1465" i="5" s="1"/>
  <c r="Y1466" i="5" s="1"/>
  <c r="Y1467" i="5" s="1"/>
  <c r="Y1468" i="5" s="1"/>
  <c r="Y1469" i="5" s="1"/>
  <c r="Y1470" i="5" s="1"/>
  <c r="Y1471" i="5" s="1"/>
  <c r="Y1472" i="5" s="1"/>
  <c r="Y1473" i="5" s="1"/>
  <c r="Y1474" i="5" s="1"/>
  <c r="Y1475" i="5" s="1"/>
  <c r="Z578" i="5"/>
  <c r="Z579" i="5"/>
  <c r="Z580" i="5"/>
  <c r="Z581" i="5"/>
  <c r="Z582" i="5"/>
  <c r="Z583" i="5"/>
  <c r="Z584" i="5"/>
  <c r="Z585" i="5"/>
  <c r="Z586" i="5"/>
  <c r="Z587" i="5"/>
  <c r="Z588" i="5"/>
  <c r="Z589" i="5"/>
  <c r="Z590" i="5"/>
  <c r="Z591" i="5"/>
  <c r="Z592" i="5"/>
  <c r="Z593" i="5"/>
  <c r="Z594" i="5"/>
  <c r="Z595" i="5"/>
  <c r="Z596" i="5"/>
  <c r="Z597" i="5"/>
  <c r="Z598" i="5"/>
  <c r="Z599" i="5"/>
  <c r="Z600" i="5"/>
  <c r="Z601" i="5"/>
  <c r="Z602" i="5"/>
  <c r="Z603" i="5"/>
  <c r="Z604" i="5"/>
  <c r="Z605" i="5"/>
  <c r="Z606" i="5"/>
  <c r="Z607" i="5"/>
  <c r="Z608" i="5"/>
  <c r="Z609" i="5"/>
  <c r="Z610" i="5"/>
  <c r="Z611" i="5"/>
  <c r="Z612" i="5"/>
  <c r="Z613" i="5"/>
  <c r="Z614" i="5"/>
  <c r="Z615" i="5"/>
  <c r="Z616" i="5"/>
  <c r="Z617" i="5"/>
  <c r="Z618" i="5"/>
  <c r="Z619" i="5"/>
  <c r="Z620" i="5"/>
  <c r="Z621" i="5"/>
  <c r="Z622" i="5"/>
  <c r="Z623" i="5"/>
  <c r="Z624" i="5"/>
  <c r="Z625" i="5"/>
  <c r="Z626" i="5"/>
  <c r="Z627" i="5"/>
  <c r="Z628" i="5"/>
  <c r="Z629" i="5"/>
  <c r="Z630" i="5"/>
  <c r="Z631" i="5"/>
  <c r="Z632" i="5"/>
  <c r="Z633" i="5"/>
  <c r="Z634" i="5"/>
  <c r="Z635" i="5"/>
  <c r="Z636" i="5"/>
  <c r="Z637" i="5"/>
  <c r="Z638" i="5"/>
  <c r="Z639" i="5"/>
  <c r="Z640" i="5"/>
  <c r="Z641" i="5"/>
  <c r="Z642" i="5"/>
  <c r="Z643" i="5"/>
  <c r="Z644" i="5"/>
  <c r="Z645" i="5"/>
  <c r="Z646" i="5"/>
  <c r="Z647" i="5"/>
  <c r="Z648" i="5"/>
  <c r="Z649" i="5"/>
  <c r="Z650" i="5"/>
  <c r="Z651" i="5"/>
  <c r="Z652" i="5"/>
  <c r="Z653" i="5"/>
  <c r="Z654" i="5"/>
  <c r="Z655" i="5"/>
  <c r="Z656" i="5"/>
  <c r="Z657" i="5"/>
  <c r="Z658" i="5"/>
  <c r="Z659" i="5"/>
  <c r="Z660" i="5"/>
  <c r="Z661" i="5"/>
  <c r="Z662" i="5"/>
  <c r="Z663" i="5"/>
  <c r="Z664" i="5"/>
  <c r="Z665" i="5"/>
  <c r="Z666" i="5"/>
  <c r="Z667" i="5"/>
  <c r="Z668" i="5"/>
  <c r="Z669" i="5"/>
  <c r="Z670" i="5"/>
  <c r="Z671" i="5"/>
  <c r="Z672" i="5"/>
  <c r="Z673" i="5"/>
  <c r="Z674" i="5"/>
  <c r="Z675" i="5"/>
  <c r="Z676" i="5"/>
  <c r="Z677" i="5"/>
  <c r="Z678" i="5"/>
  <c r="Z679" i="5"/>
  <c r="Z680" i="5"/>
  <c r="Z681" i="5"/>
  <c r="Z682" i="5"/>
  <c r="Z683" i="5"/>
  <c r="Z684" i="5"/>
  <c r="Z685" i="5"/>
  <c r="Z686" i="5"/>
  <c r="Z687" i="5"/>
  <c r="Z688" i="5"/>
  <c r="Z689" i="5"/>
  <c r="Z690" i="5"/>
  <c r="Z691" i="5"/>
  <c r="Z692" i="5"/>
  <c r="Z693" i="5"/>
  <c r="Z694" i="5"/>
  <c r="Z695" i="5"/>
  <c r="Z696" i="5"/>
  <c r="Z697" i="5"/>
  <c r="Z698" i="5"/>
  <c r="Z699" i="5"/>
  <c r="Z700" i="5"/>
  <c r="Z701" i="5"/>
  <c r="Z702" i="5"/>
  <c r="Z703" i="5"/>
  <c r="Z704" i="5"/>
  <c r="Z705" i="5"/>
  <c r="Z706" i="5"/>
  <c r="Z707" i="5"/>
  <c r="Z708" i="5"/>
  <c r="Z709" i="5"/>
  <c r="Z710" i="5"/>
  <c r="Z711" i="5"/>
  <c r="Z712" i="5"/>
  <c r="Z713" i="5"/>
  <c r="Z714" i="5"/>
  <c r="Z715" i="5"/>
  <c r="Z716" i="5"/>
  <c r="Z717" i="5"/>
  <c r="Z718" i="5"/>
  <c r="Z719" i="5"/>
  <c r="Z720" i="5"/>
  <c r="Z721" i="5"/>
  <c r="Z722" i="5"/>
  <c r="Z723" i="5"/>
  <c r="Z724" i="5"/>
  <c r="Z725" i="5"/>
  <c r="Z726" i="5"/>
  <c r="Z727" i="5"/>
  <c r="Z728" i="5"/>
  <c r="Z729" i="5"/>
  <c r="Z730" i="5"/>
  <c r="Z731" i="5"/>
  <c r="Z732" i="5"/>
  <c r="Z733" i="5"/>
  <c r="Z734" i="5"/>
  <c r="Z735" i="5"/>
  <c r="Z736" i="5"/>
  <c r="Z737" i="5"/>
  <c r="Z738" i="5"/>
  <c r="Z739" i="5"/>
  <c r="Z740" i="5"/>
  <c r="Z741" i="5"/>
  <c r="Z742" i="5"/>
  <c r="Z743" i="5"/>
  <c r="Z744" i="5"/>
  <c r="Z745" i="5"/>
  <c r="Z746" i="5"/>
  <c r="Z747" i="5"/>
  <c r="Z748" i="5"/>
  <c r="Z749" i="5"/>
  <c r="Z750" i="5"/>
  <c r="Z751" i="5"/>
  <c r="Z752" i="5"/>
  <c r="Z753" i="5"/>
  <c r="Z754" i="5"/>
  <c r="Z755" i="5"/>
  <c r="Z756" i="5"/>
  <c r="Z757" i="5"/>
  <c r="Z758" i="5"/>
  <c r="Z759" i="5"/>
  <c r="Z760" i="5"/>
  <c r="Z761" i="5"/>
  <c r="Z762" i="5"/>
  <c r="Z763" i="5"/>
  <c r="Z764" i="5"/>
  <c r="Z765" i="5"/>
  <c r="Z766" i="5"/>
  <c r="Z767" i="5"/>
  <c r="Z768" i="5"/>
  <c r="Z769" i="5"/>
  <c r="Z770" i="5"/>
  <c r="Z771" i="5"/>
  <c r="Z772" i="5"/>
  <c r="Z773" i="5"/>
  <c r="Z774" i="5"/>
  <c r="Z775" i="5"/>
  <c r="Z776" i="5"/>
  <c r="Z777" i="5"/>
  <c r="Z778" i="5"/>
  <c r="Z779" i="5"/>
  <c r="Z780" i="5"/>
  <c r="Z781" i="5"/>
  <c r="Z782" i="5"/>
  <c r="Z783" i="5"/>
  <c r="Z784" i="5"/>
  <c r="Z785" i="5"/>
  <c r="Z786" i="5"/>
  <c r="Z787" i="5"/>
  <c r="Z788" i="5"/>
  <c r="Z789" i="5"/>
  <c r="Z790" i="5"/>
  <c r="Z791" i="5"/>
  <c r="Z792" i="5"/>
  <c r="Z793" i="5"/>
  <c r="Z794" i="5"/>
  <c r="Z795" i="5"/>
  <c r="Z796" i="5"/>
  <c r="Z797" i="5"/>
  <c r="Z798" i="5"/>
  <c r="Z799" i="5"/>
  <c r="Z800" i="5"/>
  <c r="Z801" i="5"/>
  <c r="Z802" i="5"/>
  <c r="Z803" i="5"/>
  <c r="Z804" i="5"/>
  <c r="Z805" i="5"/>
  <c r="Z806" i="5"/>
  <c r="Z807" i="5"/>
  <c r="Z808" i="5"/>
  <c r="Z809" i="5"/>
  <c r="Z810" i="5"/>
  <c r="Z811" i="5"/>
  <c r="Z812" i="5"/>
  <c r="Z813" i="5"/>
  <c r="Z814" i="5"/>
  <c r="Z815" i="5"/>
  <c r="Z816" i="5"/>
  <c r="Z817" i="5"/>
  <c r="Z818" i="5"/>
  <c r="Z819" i="5"/>
  <c r="Z820" i="5"/>
  <c r="Z821" i="5"/>
  <c r="Z822" i="5"/>
  <c r="Z823" i="5"/>
  <c r="Z824" i="5"/>
  <c r="Z825" i="5"/>
  <c r="Z826" i="5"/>
  <c r="Z827" i="5"/>
  <c r="Z828" i="5"/>
  <c r="Z829" i="5"/>
  <c r="Z830" i="5"/>
  <c r="Z831" i="5"/>
  <c r="Z832" i="5"/>
  <c r="Z833" i="5"/>
  <c r="Z834" i="5"/>
  <c r="Z835" i="5"/>
  <c r="Z836" i="5"/>
  <c r="Z837" i="5"/>
  <c r="Z838" i="5"/>
  <c r="Z839" i="5"/>
  <c r="Z840" i="5"/>
  <c r="Z841" i="5"/>
  <c r="Z842" i="5"/>
  <c r="Z843" i="5"/>
  <c r="Z844" i="5"/>
  <c r="Z845" i="5"/>
  <c r="Z846" i="5"/>
  <c r="Z847" i="5"/>
  <c r="Z848" i="5"/>
  <c r="Z849" i="5"/>
  <c r="Z850" i="5"/>
  <c r="Z851" i="5"/>
  <c r="Z852" i="5"/>
  <c r="Z853" i="5"/>
  <c r="Z854" i="5"/>
  <c r="Z855" i="5"/>
  <c r="Z856" i="5"/>
  <c r="Z857" i="5"/>
  <c r="Z858" i="5"/>
  <c r="Z859" i="5"/>
  <c r="Z860" i="5"/>
  <c r="Z861" i="5"/>
  <c r="Z862" i="5"/>
  <c r="Z863" i="5"/>
  <c r="Z864" i="5"/>
  <c r="Z865" i="5"/>
  <c r="Z866" i="5"/>
  <c r="Z867" i="5"/>
  <c r="Z868" i="5"/>
  <c r="Z869" i="5"/>
  <c r="Z870" i="5"/>
  <c r="Z871" i="5"/>
  <c r="Z872" i="5"/>
  <c r="Z873" i="5"/>
  <c r="Z874" i="5"/>
  <c r="Z875" i="5"/>
  <c r="Z876" i="5"/>
  <c r="Z877" i="5"/>
  <c r="Z878" i="5"/>
  <c r="Z879" i="5"/>
  <c r="Z880" i="5"/>
  <c r="Z881" i="5"/>
  <c r="Z882" i="5"/>
  <c r="Z883" i="5"/>
  <c r="Z884" i="5"/>
  <c r="Z885" i="5"/>
  <c r="Z886" i="5"/>
  <c r="Z887" i="5"/>
  <c r="Z888" i="5"/>
  <c r="Z889" i="5"/>
  <c r="Z890" i="5"/>
  <c r="Z891" i="5"/>
  <c r="Z892" i="5"/>
  <c r="Z893" i="5"/>
  <c r="Z894" i="5"/>
  <c r="Z895" i="5"/>
  <c r="Z896" i="5"/>
  <c r="Z897" i="5"/>
  <c r="Z898" i="5"/>
  <c r="Z899" i="5"/>
  <c r="Z900" i="5"/>
  <c r="Z901" i="5"/>
  <c r="Z902" i="5"/>
  <c r="Z903" i="5"/>
  <c r="Z904" i="5"/>
  <c r="Z905" i="5"/>
  <c r="Z906" i="5"/>
  <c r="Z907" i="5"/>
  <c r="Z908" i="5"/>
  <c r="Z909" i="5"/>
  <c r="Z910" i="5"/>
  <c r="Z911" i="5"/>
  <c r="Z912" i="5"/>
  <c r="Z913" i="5"/>
  <c r="Z914" i="5"/>
  <c r="Z915" i="5"/>
  <c r="Z916" i="5"/>
  <c r="Z917" i="5"/>
  <c r="Z918" i="5"/>
  <c r="Z919" i="5"/>
  <c r="Z920" i="5"/>
  <c r="Z921" i="5"/>
  <c r="Z922" i="5"/>
  <c r="Z923" i="5"/>
  <c r="Z924" i="5"/>
  <c r="Z925" i="5"/>
  <c r="Z926" i="5"/>
  <c r="Z927" i="5"/>
  <c r="Z928" i="5"/>
  <c r="Z929" i="5"/>
  <c r="Z930" i="5"/>
  <c r="Z931" i="5"/>
  <c r="Z932" i="5"/>
  <c r="Z933" i="5"/>
  <c r="Z934" i="5"/>
  <c r="Z935" i="5"/>
  <c r="Z936" i="5"/>
  <c r="Z937" i="5"/>
  <c r="Z938" i="5"/>
  <c r="Z939" i="5"/>
  <c r="Z940" i="5"/>
  <c r="Z941" i="5"/>
  <c r="Z942" i="5"/>
  <c r="Z943" i="5"/>
  <c r="Z944" i="5"/>
  <c r="Z945" i="5"/>
  <c r="Z946" i="5"/>
  <c r="Z947" i="5"/>
  <c r="Z948" i="5"/>
  <c r="Z949" i="5"/>
  <c r="Z950" i="5"/>
  <c r="Z951" i="5"/>
  <c r="Z952" i="5"/>
  <c r="Z953" i="5"/>
  <c r="Z954" i="5"/>
  <c r="Z955" i="5"/>
  <c r="Z956" i="5"/>
  <c r="Z957" i="5"/>
  <c r="Z958" i="5"/>
  <c r="Z959" i="5"/>
  <c r="Z960" i="5"/>
  <c r="Z961" i="5"/>
  <c r="Z962" i="5"/>
  <c r="Z963" i="5"/>
  <c r="Z964" i="5"/>
  <c r="Z965" i="5"/>
  <c r="Z966" i="5"/>
  <c r="Z967" i="5"/>
  <c r="Z968" i="5"/>
  <c r="Z969" i="5"/>
  <c r="Z970" i="5"/>
  <c r="Z971" i="5"/>
  <c r="Z972" i="5"/>
  <c r="Z973" i="5"/>
  <c r="Z974" i="5"/>
  <c r="Z975" i="5"/>
  <c r="Z976" i="5"/>
  <c r="Z977" i="5"/>
  <c r="Z978" i="5"/>
  <c r="Z979" i="5"/>
  <c r="Z980" i="5"/>
  <c r="Z981" i="5"/>
  <c r="Z982" i="5"/>
  <c r="Z983" i="5"/>
  <c r="Z984" i="5"/>
  <c r="Z985" i="5"/>
  <c r="Z986" i="5"/>
  <c r="Z987" i="5"/>
  <c r="Z988" i="5"/>
  <c r="Z989" i="5"/>
  <c r="Z990" i="5"/>
  <c r="Z991" i="5"/>
  <c r="Z992" i="5"/>
  <c r="Z993" i="5"/>
  <c r="Z994" i="5"/>
  <c r="Z995" i="5"/>
  <c r="Z996" i="5"/>
  <c r="Z997" i="5"/>
  <c r="Z998" i="5"/>
  <c r="Z999" i="5"/>
  <c r="Z1000" i="5"/>
  <c r="Z1001" i="5"/>
  <c r="Z1002" i="5"/>
  <c r="Z1003" i="5"/>
  <c r="Z1004" i="5"/>
  <c r="Z1005" i="5"/>
  <c r="Z1006" i="5"/>
  <c r="Z1007" i="5"/>
  <c r="Z1008" i="5"/>
  <c r="Z1009" i="5"/>
  <c r="Z1010" i="5"/>
  <c r="Z1011" i="5"/>
  <c r="Z1012" i="5"/>
  <c r="Z1013" i="5"/>
  <c r="Z1014" i="5"/>
  <c r="Z1015" i="5"/>
  <c r="Z1016" i="5"/>
  <c r="Z1017" i="5"/>
  <c r="Z1018" i="5"/>
  <c r="Z1019" i="5"/>
  <c r="Z1020" i="5"/>
  <c r="Z1021" i="5"/>
  <c r="Z1022" i="5"/>
  <c r="Z1023" i="5"/>
  <c r="Z1024" i="5"/>
  <c r="Z1025" i="5"/>
  <c r="Z1026" i="5"/>
  <c r="Z1027" i="5"/>
  <c r="Z1028" i="5"/>
  <c r="Y578" i="5"/>
  <c r="Y579" i="5" s="1"/>
  <c r="Y580" i="5" s="1"/>
  <c r="Y581" i="5" s="1"/>
  <c r="Y582" i="5"/>
  <c r="Y583" i="5"/>
  <c r="Y584" i="5"/>
  <c r="Y585" i="5"/>
  <c r="Y586" i="5"/>
  <c r="Y587" i="5"/>
  <c r="Y588" i="5"/>
  <c r="Y589" i="5"/>
  <c r="Y590" i="5"/>
  <c r="Y591" i="5"/>
  <c r="Y592" i="5"/>
  <c r="Y593" i="5"/>
  <c r="Y594" i="5" s="1"/>
  <c r="Y595" i="5" s="1"/>
  <c r="Y596" i="5" s="1"/>
  <c r="Y597" i="5" s="1"/>
  <c r="Y598" i="5"/>
  <c r="Y599" i="5"/>
  <c r="Y600" i="5"/>
  <c r="Y601" i="5" s="1"/>
  <c r="Y602" i="5" s="1"/>
  <c r="Y603" i="5" s="1"/>
  <c r="Y604" i="5" s="1"/>
  <c r="Y605" i="5" s="1"/>
  <c r="Y606" i="5" s="1"/>
  <c r="Y607" i="5" s="1"/>
  <c r="Y608" i="5" s="1"/>
  <c r="Y609" i="5" s="1"/>
  <c r="Y610" i="5" s="1"/>
  <c r="Y611" i="5" s="1"/>
  <c r="Y612" i="5" s="1"/>
  <c r="Y613" i="5" s="1"/>
  <c r="Y614" i="5" s="1"/>
  <c r="Y615" i="5" s="1"/>
  <c r="Y616" i="5" s="1"/>
  <c r="Y617" i="5" s="1"/>
  <c r="Y618" i="5" s="1"/>
  <c r="Y619" i="5" s="1"/>
  <c r="Y620" i="5" s="1"/>
  <c r="Y621" i="5" s="1"/>
  <c r="Y622" i="5" s="1"/>
  <c r="Y623" i="5" s="1"/>
  <c r="Y624" i="5" s="1"/>
  <c r="Y625" i="5" s="1"/>
  <c r="Y626" i="5" s="1"/>
  <c r="Y627" i="5" s="1"/>
  <c r="Y628" i="5" s="1"/>
  <c r="Y629" i="5" s="1"/>
  <c r="Y630" i="5" s="1"/>
  <c r="Y631" i="5" s="1"/>
  <c r="Y632" i="5" s="1"/>
  <c r="Y633" i="5" s="1"/>
  <c r="Y634" i="5" s="1"/>
  <c r="Y635" i="5" s="1"/>
  <c r="Y636" i="5" s="1"/>
  <c r="Y637" i="5" s="1"/>
  <c r="Y638" i="5" s="1"/>
  <c r="Y639" i="5" s="1"/>
  <c r="Y640" i="5" s="1"/>
  <c r="Y641" i="5" s="1"/>
  <c r="Y642" i="5" s="1"/>
  <c r="Y643" i="5" s="1"/>
  <c r="Y644" i="5" s="1"/>
  <c r="Y645" i="5" s="1"/>
  <c r="Y646" i="5" s="1"/>
  <c r="Y647" i="5" s="1"/>
  <c r="Y648" i="5" s="1"/>
  <c r="Y649" i="5" s="1"/>
  <c r="Y650" i="5" s="1"/>
  <c r="Y651" i="5" s="1"/>
  <c r="Y652" i="5" s="1"/>
  <c r="Y653" i="5" s="1"/>
  <c r="Y654" i="5" s="1"/>
  <c r="Y655" i="5" s="1"/>
  <c r="Y656" i="5" s="1"/>
  <c r="Y657" i="5" s="1"/>
  <c r="Y658" i="5" s="1"/>
  <c r="Y659" i="5" s="1"/>
  <c r="Y660" i="5" s="1"/>
  <c r="Y661" i="5" s="1"/>
  <c r="Y662" i="5" s="1"/>
  <c r="Y663" i="5" s="1"/>
  <c r="Y664" i="5" s="1"/>
  <c r="Y665" i="5" s="1"/>
  <c r="Y666" i="5" s="1"/>
  <c r="Y667" i="5" s="1"/>
  <c r="Y668" i="5" s="1"/>
  <c r="Y669" i="5" s="1"/>
  <c r="Y670" i="5" s="1"/>
  <c r="Y671" i="5" s="1"/>
  <c r="Y672" i="5" s="1"/>
  <c r="Y673" i="5" s="1"/>
  <c r="Y674" i="5" s="1"/>
  <c r="Y675" i="5" s="1"/>
  <c r="Y676" i="5" s="1"/>
  <c r="Y677" i="5" s="1"/>
  <c r="Y678" i="5" s="1"/>
  <c r="Y679" i="5" s="1"/>
  <c r="Y680" i="5" s="1"/>
  <c r="Y681" i="5" s="1"/>
  <c r="Y682" i="5" s="1"/>
  <c r="Y683" i="5" s="1"/>
  <c r="Y684" i="5" s="1"/>
  <c r="Y685" i="5" s="1"/>
  <c r="Y686" i="5" s="1"/>
  <c r="Y687" i="5" s="1"/>
  <c r="Y688" i="5" s="1"/>
  <c r="Y689" i="5" s="1"/>
  <c r="Y690" i="5" s="1"/>
  <c r="Y691" i="5" s="1"/>
  <c r="Y692" i="5" s="1"/>
  <c r="Y693" i="5" s="1"/>
  <c r="Y694" i="5" s="1"/>
  <c r="Y695" i="5" s="1"/>
  <c r="Y696" i="5" s="1"/>
  <c r="Y697" i="5" s="1"/>
  <c r="Y698" i="5" s="1"/>
  <c r="Y699" i="5" s="1"/>
  <c r="Y700" i="5" s="1"/>
  <c r="Y701" i="5" s="1"/>
  <c r="Y702" i="5" s="1"/>
  <c r="Y703" i="5" s="1"/>
  <c r="Y704" i="5" s="1"/>
  <c r="Y705" i="5" s="1"/>
  <c r="Y706" i="5" s="1"/>
  <c r="Y707" i="5" s="1"/>
  <c r="Y708" i="5" s="1"/>
  <c r="Y709" i="5" s="1"/>
  <c r="Y710" i="5" s="1"/>
  <c r="Y711" i="5" s="1"/>
  <c r="Y712" i="5" s="1"/>
  <c r="Y713" i="5" s="1"/>
  <c r="Y714" i="5" s="1"/>
  <c r="Y715" i="5" s="1"/>
  <c r="Y716" i="5" s="1"/>
  <c r="Y717" i="5" s="1"/>
  <c r="Y718" i="5" s="1"/>
  <c r="Y719" i="5" s="1"/>
  <c r="Y720" i="5" s="1"/>
  <c r="Y721" i="5" s="1"/>
  <c r="Y722" i="5" s="1"/>
  <c r="Y723" i="5" s="1"/>
  <c r="Y724" i="5" s="1"/>
  <c r="Y725" i="5" s="1"/>
  <c r="Y726" i="5" s="1"/>
  <c r="Y727" i="5" s="1"/>
  <c r="Y728" i="5" s="1"/>
  <c r="Y729" i="5" s="1"/>
  <c r="Y730" i="5" s="1"/>
  <c r="Y731" i="5" s="1"/>
  <c r="Y732" i="5" s="1"/>
  <c r="Y733" i="5" s="1"/>
  <c r="Y734" i="5" s="1"/>
  <c r="Y735" i="5" s="1"/>
  <c r="Y736" i="5" s="1"/>
  <c r="Y737" i="5" s="1"/>
  <c r="Y738" i="5" s="1"/>
  <c r="Y739" i="5" s="1"/>
  <c r="Y740" i="5" s="1"/>
  <c r="Y741" i="5" s="1"/>
  <c r="Y742" i="5" s="1"/>
  <c r="Y743" i="5" s="1"/>
  <c r="Y744" i="5" s="1"/>
  <c r="Y745" i="5" s="1"/>
  <c r="Y746" i="5" s="1"/>
  <c r="Y747" i="5" s="1"/>
  <c r="Y748" i="5" s="1"/>
  <c r="Y749" i="5" s="1"/>
  <c r="Y750" i="5" s="1"/>
  <c r="Y751" i="5" s="1"/>
  <c r="Y752" i="5" s="1"/>
  <c r="Y753" i="5" s="1"/>
  <c r="Y754" i="5" s="1"/>
  <c r="Y755" i="5" s="1"/>
  <c r="Y756" i="5" s="1"/>
  <c r="Y757" i="5" s="1"/>
  <c r="Y758" i="5" s="1"/>
  <c r="Y759" i="5" s="1"/>
  <c r="Y760" i="5" s="1"/>
  <c r="Y761" i="5" s="1"/>
  <c r="Y762" i="5" s="1"/>
  <c r="Y763" i="5" s="1"/>
  <c r="Y764" i="5" s="1"/>
  <c r="Y765" i="5" s="1"/>
  <c r="Y766" i="5" s="1"/>
  <c r="Y767" i="5" s="1"/>
  <c r="Y768" i="5" s="1"/>
  <c r="Y769" i="5" s="1"/>
  <c r="Y770" i="5" s="1"/>
  <c r="Y771" i="5" s="1"/>
  <c r="Y772" i="5" s="1"/>
  <c r="Y773" i="5" s="1"/>
  <c r="Y774" i="5" s="1"/>
  <c r="Y775" i="5" s="1"/>
  <c r="Y776" i="5" s="1"/>
  <c r="Y777" i="5" s="1"/>
  <c r="Y778" i="5" s="1"/>
  <c r="Y779" i="5" s="1"/>
  <c r="Y780" i="5" s="1"/>
  <c r="Y781" i="5" s="1"/>
  <c r="Y782" i="5" s="1"/>
  <c r="Y783" i="5" s="1"/>
  <c r="Y784" i="5" s="1"/>
  <c r="Y785" i="5" s="1"/>
  <c r="Y786" i="5" s="1"/>
  <c r="Y787" i="5" s="1"/>
  <c r="Y788" i="5" s="1"/>
  <c r="Y789" i="5" s="1"/>
  <c r="Y790" i="5" s="1"/>
  <c r="Y791" i="5" s="1"/>
  <c r="Y792" i="5" s="1"/>
  <c r="Y793" i="5" s="1"/>
  <c r="Y794" i="5" s="1"/>
  <c r="Y795" i="5" s="1"/>
  <c r="Y796" i="5" s="1"/>
  <c r="Y797" i="5" s="1"/>
  <c r="Y798" i="5" s="1"/>
  <c r="Y799" i="5" s="1"/>
  <c r="Y800" i="5" s="1"/>
  <c r="Y801" i="5" s="1"/>
  <c r="Y802" i="5" s="1"/>
  <c r="Y803" i="5" s="1"/>
  <c r="Y804" i="5" s="1"/>
  <c r="Y805" i="5" s="1"/>
  <c r="Y806" i="5" s="1"/>
  <c r="Y807" i="5" s="1"/>
  <c r="Y808" i="5" s="1"/>
  <c r="Y809" i="5" s="1"/>
  <c r="Y810" i="5" s="1"/>
  <c r="Y811" i="5" s="1"/>
  <c r="Y812" i="5" s="1"/>
  <c r="Y813" i="5" s="1"/>
  <c r="Y814" i="5" s="1"/>
  <c r="Y815" i="5" s="1"/>
  <c r="Y816" i="5" s="1"/>
  <c r="Y817" i="5" s="1"/>
  <c r="Y818" i="5" s="1"/>
  <c r="Y819" i="5" s="1"/>
  <c r="Y820" i="5" s="1"/>
  <c r="Y821" i="5" s="1"/>
  <c r="Y822" i="5" s="1"/>
  <c r="Y823" i="5" s="1"/>
  <c r="Y824" i="5" s="1"/>
  <c r="Y825" i="5" s="1"/>
  <c r="Y826" i="5" s="1"/>
  <c r="Y827" i="5" s="1"/>
  <c r="Y828" i="5" s="1"/>
  <c r="Y829" i="5" s="1"/>
  <c r="Y830" i="5" s="1"/>
  <c r="Y831" i="5" s="1"/>
  <c r="Y832" i="5" s="1"/>
  <c r="Y833" i="5" s="1"/>
  <c r="Y834" i="5" s="1"/>
  <c r="Y835" i="5" s="1"/>
  <c r="Y836" i="5" s="1"/>
  <c r="Y837" i="5" s="1"/>
  <c r="Y838" i="5" s="1"/>
  <c r="Y839" i="5" s="1"/>
  <c r="Y840" i="5" s="1"/>
  <c r="Y841" i="5" s="1"/>
  <c r="Y842" i="5" s="1"/>
  <c r="Y843" i="5" s="1"/>
  <c r="Y844" i="5" s="1"/>
  <c r="Y845" i="5" s="1"/>
  <c r="Y846" i="5" s="1"/>
  <c r="Y847" i="5" s="1"/>
  <c r="Y848" i="5" s="1"/>
  <c r="Y849" i="5" s="1"/>
  <c r="Y850" i="5" s="1"/>
  <c r="Y851" i="5" s="1"/>
  <c r="Y852" i="5" s="1"/>
  <c r="Y853" i="5" s="1"/>
  <c r="Y854" i="5" s="1"/>
  <c r="Y855" i="5" s="1"/>
  <c r="Y856" i="5" s="1"/>
  <c r="Y857" i="5" s="1"/>
  <c r="Y858" i="5" s="1"/>
  <c r="Y859" i="5" s="1"/>
  <c r="Y860" i="5" s="1"/>
  <c r="Y861" i="5" s="1"/>
  <c r="Y862" i="5" s="1"/>
  <c r="Y863" i="5" s="1"/>
  <c r="Y864" i="5" s="1"/>
  <c r="Y865" i="5" s="1"/>
  <c r="Y866" i="5" s="1"/>
  <c r="Y867" i="5" s="1"/>
  <c r="Y868" i="5" s="1"/>
  <c r="Y869" i="5" s="1"/>
  <c r="Y870" i="5" s="1"/>
  <c r="Y871" i="5" s="1"/>
  <c r="Y872" i="5" s="1"/>
  <c r="Y873" i="5" s="1"/>
  <c r="Y874" i="5" s="1"/>
  <c r="Y875" i="5" s="1"/>
  <c r="Y876" i="5" s="1"/>
  <c r="Y877" i="5" s="1"/>
  <c r="Y878" i="5" s="1"/>
  <c r="Y879" i="5" s="1"/>
  <c r="Y880" i="5" s="1"/>
  <c r="Y881" i="5" s="1"/>
  <c r="Y882" i="5" s="1"/>
  <c r="Y883" i="5" s="1"/>
  <c r="Y884" i="5" s="1"/>
  <c r="Y885" i="5" s="1"/>
  <c r="Y886" i="5" s="1"/>
  <c r="Y887" i="5" s="1"/>
  <c r="Y888" i="5" s="1"/>
  <c r="Y889" i="5" s="1"/>
  <c r="Y890" i="5" s="1"/>
  <c r="Y891" i="5" s="1"/>
  <c r="Y892" i="5" s="1"/>
  <c r="Y893" i="5" s="1"/>
  <c r="Y894" i="5" s="1"/>
  <c r="Y895" i="5" s="1"/>
  <c r="Y896" i="5" s="1"/>
  <c r="Y897" i="5" s="1"/>
  <c r="Y898" i="5" s="1"/>
  <c r="Y899" i="5" s="1"/>
  <c r="Y900" i="5" s="1"/>
  <c r="Y901" i="5" s="1"/>
  <c r="Y902" i="5" s="1"/>
  <c r="Y903" i="5" s="1"/>
  <c r="Y904" i="5" s="1"/>
  <c r="Y905" i="5" s="1"/>
  <c r="Y906" i="5" s="1"/>
  <c r="Y907" i="5" s="1"/>
  <c r="Y908" i="5" s="1"/>
  <c r="Y909" i="5" s="1"/>
  <c r="Y910" i="5" s="1"/>
  <c r="Y911" i="5" s="1"/>
  <c r="Y912" i="5" s="1"/>
  <c r="Y913" i="5" s="1"/>
  <c r="Y914" i="5" s="1"/>
  <c r="Y915" i="5" s="1"/>
  <c r="Y916" i="5" s="1"/>
  <c r="Y917" i="5" s="1"/>
  <c r="Y918" i="5" s="1"/>
  <c r="Y919" i="5" s="1"/>
  <c r="Y920" i="5" s="1"/>
  <c r="Y921" i="5" s="1"/>
  <c r="Y922" i="5" s="1"/>
  <c r="Y923" i="5" s="1"/>
  <c r="Y924" i="5" s="1"/>
  <c r="Y925" i="5" s="1"/>
  <c r="Y926" i="5" s="1"/>
  <c r="Y927" i="5" s="1"/>
  <c r="Y928" i="5" s="1"/>
  <c r="Y929" i="5" s="1"/>
  <c r="Y930" i="5" s="1"/>
  <c r="Y931" i="5" s="1"/>
  <c r="Y932" i="5" s="1"/>
  <c r="Y933" i="5" s="1"/>
  <c r="Y934" i="5" s="1"/>
  <c r="Y935" i="5" s="1"/>
  <c r="Y936" i="5" s="1"/>
  <c r="Y937" i="5" s="1"/>
  <c r="Y938" i="5" s="1"/>
  <c r="Y939" i="5" s="1"/>
  <c r="Y940" i="5" s="1"/>
  <c r="Y941" i="5" s="1"/>
  <c r="Y942" i="5" s="1"/>
  <c r="Y943" i="5" s="1"/>
  <c r="Y944" i="5" s="1"/>
  <c r="Y945" i="5" s="1"/>
  <c r="Y946" i="5" s="1"/>
  <c r="Y947" i="5" s="1"/>
  <c r="Y948" i="5" s="1"/>
  <c r="Y949" i="5" s="1"/>
  <c r="Y950" i="5" s="1"/>
  <c r="Y951" i="5" s="1"/>
  <c r="Y952" i="5" s="1"/>
  <c r="Y953" i="5" s="1"/>
  <c r="Y954" i="5" s="1"/>
  <c r="Y955" i="5" s="1"/>
  <c r="Y956" i="5" s="1"/>
  <c r="Y957" i="5" s="1"/>
  <c r="Y958" i="5" s="1"/>
  <c r="Y959" i="5" s="1"/>
  <c r="Y960" i="5" s="1"/>
  <c r="Y961" i="5" s="1"/>
  <c r="Y962" i="5" s="1"/>
  <c r="Y963" i="5" s="1"/>
  <c r="Y964" i="5" s="1"/>
  <c r="Y965" i="5" s="1"/>
  <c r="Y966" i="5" s="1"/>
  <c r="Y967" i="5" s="1"/>
  <c r="Y968" i="5" s="1"/>
  <c r="Y969" i="5" s="1"/>
  <c r="Y970" i="5" s="1"/>
  <c r="Y971" i="5" s="1"/>
  <c r="Y972" i="5" s="1"/>
  <c r="Y973" i="5" s="1"/>
  <c r="Y974" i="5" s="1"/>
  <c r="Y975" i="5" s="1"/>
  <c r="Y976" i="5" s="1"/>
  <c r="Y977" i="5" s="1"/>
  <c r="Y978" i="5" s="1"/>
  <c r="Y979" i="5" s="1"/>
  <c r="Y980" i="5" s="1"/>
  <c r="Y981" i="5" s="1"/>
  <c r="Y982" i="5" s="1"/>
  <c r="Y983" i="5" s="1"/>
  <c r="Y984" i="5" s="1"/>
  <c r="Y985" i="5" s="1"/>
  <c r="Y986" i="5" s="1"/>
  <c r="Y987" i="5" s="1"/>
  <c r="Y988" i="5" s="1"/>
  <c r="Y989" i="5" s="1"/>
  <c r="Y990" i="5" s="1"/>
  <c r="Y991" i="5" s="1"/>
  <c r="Y992" i="5" s="1"/>
  <c r="Y993" i="5" s="1"/>
  <c r="Y994" i="5" s="1"/>
  <c r="Y995" i="5" s="1"/>
  <c r="Y996" i="5" s="1"/>
  <c r="Y997" i="5" s="1"/>
  <c r="Y998" i="5" s="1"/>
  <c r="Y999" i="5" s="1"/>
  <c r="Y1000" i="5" s="1"/>
  <c r="Y1001" i="5" s="1"/>
  <c r="Y1002" i="5" s="1"/>
  <c r="Y1003" i="5" s="1"/>
  <c r="Y1004" i="5" s="1"/>
  <c r="Y1005" i="5" s="1"/>
  <c r="Y1006" i="5" s="1"/>
  <c r="Y1007" i="5" s="1"/>
  <c r="Y1008" i="5" s="1"/>
  <c r="Y1009" i="5" s="1"/>
  <c r="Y1010" i="5" s="1"/>
  <c r="Y1011" i="5" s="1"/>
  <c r="Y1012" i="5" s="1"/>
  <c r="Y1013" i="5" s="1"/>
  <c r="Y1014" i="5" s="1"/>
  <c r="Y1015" i="5" s="1"/>
  <c r="Y1016" i="5" s="1"/>
  <c r="Y1017" i="5" s="1"/>
  <c r="Y1018" i="5" s="1"/>
  <c r="Y1019" i="5" s="1"/>
  <c r="Y1020" i="5" s="1"/>
  <c r="Y1021" i="5" s="1"/>
  <c r="Y1022" i="5" s="1"/>
  <c r="Y1023" i="5" s="1"/>
  <c r="Y1024" i="5" s="1"/>
  <c r="Y1025" i="5" s="1"/>
  <c r="Y1026" i="5" s="1"/>
  <c r="Y1027" i="5" s="1"/>
  <c r="Y1028" i="5" s="1"/>
  <c r="Z275" i="5"/>
  <c r="Z276" i="5"/>
  <c r="Z277" i="5"/>
  <c r="Z278" i="5"/>
  <c r="Z279" i="5"/>
  <c r="Z280" i="5"/>
  <c r="Z281" i="5"/>
  <c r="Z282" i="5"/>
  <c r="Z283" i="5"/>
  <c r="Z284" i="5"/>
  <c r="Z285" i="5"/>
  <c r="Z286" i="5"/>
  <c r="Z287" i="5"/>
  <c r="Z288" i="5"/>
  <c r="Z289" i="5"/>
  <c r="Z290" i="5"/>
  <c r="Z291" i="5"/>
  <c r="Z292" i="5"/>
  <c r="Z293" i="5"/>
  <c r="Z294" i="5"/>
  <c r="Z295" i="5"/>
  <c r="Z296" i="5"/>
  <c r="Z297" i="5"/>
  <c r="Z298" i="5"/>
  <c r="Z299" i="5"/>
  <c r="Z300" i="5"/>
  <c r="Z301" i="5"/>
  <c r="Z302" i="5"/>
  <c r="Z303" i="5"/>
  <c r="Z304" i="5"/>
  <c r="Z305" i="5"/>
  <c r="Z306" i="5"/>
  <c r="Z307" i="5"/>
  <c r="Z308" i="5"/>
  <c r="Z309" i="5"/>
  <c r="Z310" i="5"/>
  <c r="Z311" i="5"/>
  <c r="Z312" i="5"/>
  <c r="Z313" i="5"/>
  <c r="Z314" i="5"/>
  <c r="Z315" i="5"/>
  <c r="Z316" i="5"/>
  <c r="Z317" i="5"/>
  <c r="Z318" i="5"/>
  <c r="Z319" i="5"/>
  <c r="Z320" i="5"/>
  <c r="Z321" i="5"/>
  <c r="Z322" i="5"/>
  <c r="Z323" i="5"/>
  <c r="Z324" i="5"/>
  <c r="Z325" i="5"/>
  <c r="Z326" i="5"/>
  <c r="Z327" i="5"/>
  <c r="Z328" i="5"/>
  <c r="Z329" i="5"/>
  <c r="Z330" i="5"/>
  <c r="Z331" i="5"/>
  <c r="Z332" i="5"/>
  <c r="Z333" i="5"/>
  <c r="Z334" i="5"/>
  <c r="Z335" i="5"/>
  <c r="Z336" i="5"/>
  <c r="Z337" i="5"/>
  <c r="Z338" i="5"/>
  <c r="Z339" i="5"/>
  <c r="Z340" i="5"/>
  <c r="Z341" i="5"/>
  <c r="Z342" i="5"/>
  <c r="Z343" i="5"/>
  <c r="Z344" i="5"/>
  <c r="Z345" i="5"/>
  <c r="Z346" i="5"/>
  <c r="Z347" i="5"/>
  <c r="Z348" i="5"/>
  <c r="Z349" i="5"/>
  <c r="Z350" i="5"/>
  <c r="Z351" i="5"/>
  <c r="Z352" i="5"/>
  <c r="Z353" i="5"/>
  <c r="Z354" i="5"/>
  <c r="Z355" i="5"/>
  <c r="Z356" i="5"/>
  <c r="Z357" i="5"/>
  <c r="Z358" i="5"/>
  <c r="Z359" i="5"/>
  <c r="Z360" i="5"/>
  <c r="Z361" i="5"/>
  <c r="Z362" i="5"/>
  <c r="Z363" i="5"/>
  <c r="Z364" i="5"/>
  <c r="Z365" i="5"/>
  <c r="Z366" i="5"/>
  <c r="Z367" i="5"/>
  <c r="Z368" i="5"/>
  <c r="Z369" i="5"/>
  <c r="Z370" i="5"/>
  <c r="Z371" i="5"/>
  <c r="Z372" i="5"/>
  <c r="Z373" i="5"/>
  <c r="Z374" i="5"/>
  <c r="Z375" i="5"/>
  <c r="Z376" i="5"/>
  <c r="Z377" i="5"/>
  <c r="Z378" i="5"/>
  <c r="Z379" i="5"/>
  <c r="Z380" i="5"/>
  <c r="Z381" i="5"/>
  <c r="Z382" i="5"/>
  <c r="Z383" i="5"/>
  <c r="Z384" i="5"/>
  <c r="Z385" i="5"/>
  <c r="Z386" i="5"/>
  <c r="Z387" i="5"/>
  <c r="Z388" i="5"/>
  <c r="Z389" i="5"/>
  <c r="Z390" i="5"/>
  <c r="Z391" i="5"/>
  <c r="Z392" i="5"/>
  <c r="Z393" i="5"/>
  <c r="Z394" i="5"/>
  <c r="Z395" i="5"/>
  <c r="Z396" i="5"/>
  <c r="Z397" i="5"/>
  <c r="Z398" i="5"/>
  <c r="Z399" i="5"/>
  <c r="Z400" i="5"/>
  <c r="Z401" i="5"/>
  <c r="Z402" i="5"/>
  <c r="Z403" i="5"/>
  <c r="Z404" i="5"/>
  <c r="Z405" i="5"/>
  <c r="Z406" i="5"/>
  <c r="Z407" i="5"/>
  <c r="Z408" i="5"/>
  <c r="Z409" i="5"/>
  <c r="Z410" i="5"/>
  <c r="Z411" i="5"/>
  <c r="Z412" i="5"/>
  <c r="Z413" i="5"/>
  <c r="Z414" i="5"/>
  <c r="Z415" i="5"/>
  <c r="Z416" i="5"/>
  <c r="Z417" i="5"/>
  <c r="Z418" i="5"/>
  <c r="Z419" i="5"/>
  <c r="Z420" i="5"/>
  <c r="Z421" i="5"/>
  <c r="Z422" i="5"/>
  <c r="Z423" i="5"/>
  <c r="Z424" i="5"/>
  <c r="Z425" i="5"/>
  <c r="Z426" i="5"/>
  <c r="Z427" i="5"/>
  <c r="Z428" i="5"/>
  <c r="Z429" i="5"/>
  <c r="Z430" i="5"/>
  <c r="Z431" i="5"/>
  <c r="Z432" i="5"/>
  <c r="Z433" i="5"/>
  <c r="Z434" i="5"/>
  <c r="Z435" i="5"/>
  <c r="Z436" i="5"/>
  <c r="Z437" i="5"/>
  <c r="Z438" i="5"/>
  <c r="Z439" i="5"/>
  <c r="Z440" i="5"/>
  <c r="Z441" i="5"/>
  <c r="Z442" i="5"/>
  <c r="Z443" i="5"/>
  <c r="Z444" i="5"/>
  <c r="Z445" i="5"/>
  <c r="Z446" i="5"/>
  <c r="Z447" i="5"/>
  <c r="Z448" i="5"/>
  <c r="Z449" i="5"/>
  <c r="Z450" i="5"/>
  <c r="Z451" i="5"/>
  <c r="Z452" i="5"/>
  <c r="Z453" i="5"/>
  <c r="Z454" i="5"/>
  <c r="Z455" i="5"/>
  <c r="Z456" i="5"/>
  <c r="Z457" i="5"/>
  <c r="Z458" i="5"/>
  <c r="Z459" i="5"/>
  <c r="Z460" i="5"/>
  <c r="Z461" i="5"/>
  <c r="Z462" i="5"/>
  <c r="Z463" i="5"/>
  <c r="Z464" i="5"/>
  <c r="Z465" i="5"/>
  <c r="Z466" i="5"/>
  <c r="Z467" i="5"/>
  <c r="Z468" i="5"/>
  <c r="Z469" i="5"/>
  <c r="Z470" i="5"/>
  <c r="Z471" i="5"/>
  <c r="Z472" i="5"/>
  <c r="Z473" i="5"/>
  <c r="Z474" i="5"/>
  <c r="Z475" i="5"/>
  <c r="Z476" i="5"/>
  <c r="Z477" i="5"/>
  <c r="Z478" i="5"/>
  <c r="Z479" i="5"/>
  <c r="Z480" i="5"/>
  <c r="Z481" i="5"/>
  <c r="Z482" i="5"/>
  <c r="Z483" i="5"/>
  <c r="Z484" i="5"/>
  <c r="Z485" i="5"/>
  <c r="Z486" i="5"/>
  <c r="Z487" i="5"/>
  <c r="Z488" i="5"/>
  <c r="Z489" i="5"/>
  <c r="Z490" i="5"/>
  <c r="Z491" i="5"/>
  <c r="Z492" i="5"/>
  <c r="Z493" i="5"/>
  <c r="Z494" i="5"/>
  <c r="Z495" i="5"/>
  <c r="Z496" i="5"/>
  <c r="Z497" i="5"/>
  <c r="Z498" i="5"/>
  <c r="Z499" i="5"/>
  <c r="Z500" i="5"/>
  <c r="Z501" i="5"/>
  <c r="Z502" i="5"/>
  <c r="Z503" i="5"/>
  <c r="Z504" i="5"/>
  <c r="Z505" i="5"/>
  <c r="Z506" i="5"/>
  <c r="Z507" i="5"/>
  <c r="Z508" i="5"/>
  <c r="Z509" i="5"/>
  <c r="Z510" i="5"/>
  <c r="Z511" i="5"/>
  <c r="Z512" i="5"/>
  <c r="Z513" i="5"/>
  <c r="Z514" i="5"/>
  <c r="Z515" i="5"/>
  <c r="Z516" i="5"/>
  <c r="Z517" i="5"/>
  <c r="Z518" i="5"/>
  <c r="Z519" i="5"/>
  <c r="Z520" i="5"/>
  <c r="Z521" i="5"/>
  <c r="Z522" i="5"/>
  <c r="Z523" i="5"/>
  <c r="Z524" i="5"/>
  <c r="Z525" i="5"/>
  <c r="Z526" i="5"/>
  <c r="Z527" i="5"/>
  <c r="Z528" i="5"/>
  <c r="Z529" i="5"/>
  <c r="Z530" i="5"/>
  <c r="Z531" i="5"/>
  <c r="Z532" i="5"/>
  <c r="Z533" i="5"/>
  <c r="Z534" i="5"/>
  <c r="Z535" i="5"/>
  <c r="Z536" i="5"/>
  <c r="Z537" i="5"/>
  <c r="Z538" i="5"/>
  <c r="Z539" i="5"/>
  <c r="Z540" i="5"/>
  <c r="Z541" i="5"/>
  <c r="Z542" i="5"/>
  <c r="Z543" i="5"/>
  <c r="Z544" i="5"/>
  <c r="Z545" i="5"/>
  <c r="Z546" i="5"/>
  <c r="Z547" i="5"/>
  <c r="Z548" i="5"/>
  <c r="Z549" i="5"/>
  <c r="Z550" i="5"/>
  <c r="Z551" i="5"/>
  <c r="Z552" i="5"/>
  <c r="Z553" i="5"/>
  <c r="Z554" i="5"/>
  <c r="Z555" i="5"/>
  <c r="Z556" i="5"/>
  <c r="Z557" i="5"/>
  <c r="Z558" i="5"/>
  <c r="Z559" i="5"/>
  <c r="Z560" i="5"/>
  <c r="Z561" i="5"/>
  <c r="Z562" i="5"/>
  <c r="Z563" i="5"/>
  <c r="Z564" i="5"/>
  <c r="Z565" i="5"/>
  <c r="Z566" i="5"/>
  <c r="Z567" i="5"/>
  <c r="Z568" i="5"/>
  <c r="Z569" i="5"/>
  <c r="Z570" i="5"/>
  <c r="Z571" i="5"/>
  <c r="Z572" i="5"/>
  <c r="Z573" i="5"/>
  <c r="Z574" i="5"/>
  <c r="Z575" i="5"/>
  <c r="Z576" i="5"/>
  <c r="Z577" i="5"/>
  <c r="Y275" i="5"/>
  <c r="Y276" i="5" s="1"/>
  <c r="Y277" i="5" s="1"/>
  <c r="Y278" i="5" s="1"/>
  <c r="Y279" i="5" s="1"/>
  <c r="Y280" i="5" s="1"/>
  <c r="Y281" i="5" s="1"/>
  <c r="Y282" i="5"/>
  <c r="Y283" i="5"/>
  <c r="Y284" i="5"/>
  <c r="Y285" i="5"/>
  <c r="Y286" i="5"/>
  <c r="Y287" i="5"/>
  <c r="Y288" i="5"/>
  <c r="Y289" i="5"/>
  <c r="Y290" i="5"/>
  <c r="Y291" i="5" s="1"/>
  <c r="Y292" i="5" s="1"/>
  <c r="Y293" i="5" s="1"/>
  <c r="Y294" i="5" s="1"/>
  <c r="Y295" i="5"/>
  <c r="Y296" i="5" s="1"/>
  <c r="Y297" i="5"/>
  <c r="Y298" i="5"/>
  <c r="Y299" i="5"/>
  <c r="Y300" i="5"/>
  <c r="Y301" i="5"/>
  <c r="Y302" i="5" s="1"/>
  <c r="Y303" i="5" s="1"/>
  <c r="Y304" i="5" s="1"/>
  <c r="Y305" i="5" s="1"/>
  <c r="Y306" i="5" s="1"/>
  <c r="Y307" i="5" s="1"/>
  <c r="Y308" i="5" s="1"/>
  <c r="Y309" i="5" s="1"/>
  <c r="Y310" i="5" s="1"/>
  <c r="Y311" i="5" s="1"/>
  <c r="Y312" i="5" s="1"/>
  <c r="Y313" i="5" s="1"/>
  <c r="Y314" i="5" s="1"/>
  <c r="Y315" i="5" s="1"/>
  <c r="Y316" i="5" s="1"/>
  <c r="Y317" i="5" s="1"/>
  <c r="Y318" i="5" s="1"/>
  <c r="Y319" i="5" s="1"/>
  <c r="Y320" i="5" s="1"/>
  <c r="Y321" i="5" s="1"/>
  <c r="Y322" i="5" s="1"/>
  <c r="Y323" i="5" s="1"/>
  <c r="Y324" i="5" s="1"/>
  <c r="Y325" i="5" s="1"/>
  <c r="Y326" i="5" s="1"/>
  <c r="Y327" i="5" s="1"/>
  <c r="Y328" i="5" s="1"/>
  <c r="Y329" i="5" s="1"/>
  <c r="Y330" i="5" s="1"/>
  <c r="Y331" i="5" s="1"/>
  <c r="Y332" i="5" s="1"/>
  <c r="Y333" i="5" s="1"/>
  <c r="Y334" i="5" s="1"/>
  <c r="Y335" i="5" s="1"/>
  <c r="Y336" i="5" s="1"/>
  <c r="Y337" i="5" s="1"/>
  <c r="Y338" i="5" s="1"/>
  <c r="Y339" i="5" s="1"/>
  <c r="Y340" i="5" s="1"/>
  <c r="Y341" i="5" s="1"/>
  <c r="Y342" i="5" s="1"/>
  <c r="Y343" i="5" s="1"/>
  <c r="Y344" i="5" s="1"/>
  <c r="Y345" i="5" s="1"/>
  <c r="Y346" i="5" s="1"/>
  <c r="Y347" i="5" s="1"/>
  <c r="Y348" i="5" s="1"/>
  <c r="Y349" i="5" s="1"/>
  <c r="Y350" i="5" s="1"/>
  <c r="Y351" i="5" s="1"/>
  <c r="Y352" i="5" s="1"/>
  <c r="Y353" i="5" s="1"/>
  <c r="Y354" i="5" s="1"/>
  <c r="Y355" i="5" s="1"/>
  <c r="Y356" i="5" s="1"/>
  <c r="Y357" i="5" s="1"/>
  <c r="Y358" i="5" s="1"/>
  <c r="Y359" i="5" s="1"/>
  <c r="Y360" i="5" s="1"/>
  <c r="Y361" i="5" s="1"/>
  <c r="Y362" i="5" s="1"/>
  <c r="Y363" i="5" s="1"/>
  <c r="Y364" i="5" s="1"/>
  <c r="Y365" i="5" s="1"/>
  <c r="Y366" i="5" s="1"/>
  <c r="Y367" i="5" s="1"/>
  <c r="Y368" i="5" s="1"/>
  <c r="Y369" i="5" s="1"/>
  <c r="Y370" i="5" s="1"/>
  <c r="Y371" i="5" s="1"/>
  <c r="Y372" i="5" s="1"/>
  <c r="Y373" i="5" s="1"/>
  <c r="Y374" i="5" s="1"/>
  <c r="Y375" i="5" s="1"/>
  <c r="Y376" i="5" s="1"/>
  <c r="Y377" i="5" s="1"/>
  <c r="Y378" i="5" s="1"/>
  <c r="Y379" i="5" s="1"/>
  <c r="Y380" i="5" s="1"/>
  <c r="Y381" i="5" s="1"/>
  <c r="Y382" i="5" s="1"/>
  <c r="Y383" i="5" s="1"/>
  <c r="Y384" i="5" s="1"/>
  <c r="Y385" i="5" s="1"/>
  <c r="Y386" i="5" s="1"/>
  <c r="Y387" i="5" s="1"/>
  <c r="Y388" i="5" s="1"/>
  <c r="Y389" i="5" s="1"/>
  <c r="Y390" i="5" s="1"/>
  <c r="Y391" i="5" s="1"/>
  <c r="Y392" i="5" s="1"/>
  <c r="Y393" i="5" s="1"/>
  <c r="Y394" i="5" s="1"/>
  <c r="Y395" i="5" s="1"/>
  <c r="Y396" i="5" s="1"/>
  <c r="Y397" i="5" s="1"/>
  <c r="Y398" i="5" s="1"/>
  <c r="Y399" i="5" s="1"/>
  <c r="Y400" i="5" s="1"/>
  <c r="Y401" i="5" s="1"/>
  <c r="Y402" i="5" s="1"/>
  <c r="Y403" i="5" s="1"/>
  <c r="Y404" i="5" s="1"/>
  <c r="Y405" i="5" s="1"/>
  <c r="Y406" i="5" s="1"/>
  <c r="Y407" i="5" s="1"/>
  <c r="Y408" i="5" s="1"/>
  <c r="Y409" i="5" s="1"/>
  <c r="Y410" i="5" s="1"/>
  <c r="Y411" i="5" s="1"/>
  <c r="Y412" i="5" s="1"/>
  <c r="Y413" i="5" s="1"/>
  <c r="Y414" i="5" s="1"/>
  <c r="Y415" i="5" s="1"/>
  <c r="Y416" i="5" s="1"/>
  <c r="Y417" i="5" s="1"/>
  <c r="Y418" i="5" s="1"/>
  <c r="Y419" i="5" s="1"/>
  <c r="Y420" i="5" s="1"/>
  <c r="Y421" i="5" s="1"/>
  <c r="Y422" i="5" s="1"/>
  <c r="Y423" i="5" s="1"/>
  <c r="Y424" i="5" s="1"/>
  <c r="Y425" i="5" s="1"/>
  <c r="Y426" i="5" s="1"/>
  <c r="Y427" i="5" s="1"/>
  <c r="Y428" i="5" s="1"/>
  <c r="Y429" i="5" s="1"/>
  <c r="Y430" i="5" s="1"/>
  <c r="Y431" i="5" s="1"/>
  <c r="Y432" i="5" s="1"/>
  <c r="Y433" i="5" s="1"/>
  <c r="Y434" i="5" s="1"/>
  <c r="Y435" i="5" s="1"/>
  <c r="Y436" i="5" s="1"/>
  <c r="Y437" i="5" s="1"/>
  <c r="Y438" i="5" s="1"/>
  <c r="Y439" i="5" s="1"/>
  <c r="Y440" i="5" s="1"/>
  <c r="Y441" i="5" s="1"/>
  <c r="Y442" i="5" s="1"/>
  <c r="Y443" i="5" s="1"/>
  <c r="Y444" i="5" s="1"/>
  <c r="Y445" i="5" s="1"/>
  <c r="Y446" i="5" s="1"/>
  <c r="Y447" i="5" s="1"/>
  <c r="Y448" i="5" s="1"/>
  <c r="Y449" i="5" s="1"/>
  <c r="Y450" i="5" s="1"/>
  <c r="Y451" i="5" s="1"/>
  <c r="Y452" i="5" s="1"/>
  <c r="Y453" i="5" s="1"/>
  <c r="Y454" i="5" s="1"/>
  <c r="Y455" i="5" s="1"/>
  <c r="Y456" i="5" s="1"/>
  <c r="Y457" i="5" s="1"/>
  <c r="Y458" i="5" s="1"/>
  <c r="Y459" i="5" s="1"/>
  <c r="Y460" i="5" s="1"/>
  <c r="Y461" i="5" s="1"/>
  <c r="Y462" i="5" s="1"/>
  <c r="Y463" i="5" s="1"/>
  <c r="Y464" i="5" s="1"/>
  <c r="Y465" i="5" s="1"/>
  <c r="Y466" i="5" s="1"/>
  <c r="Y467" i="5" s="1"/>
  <c r="Y468" i="5" s="1"/>
  <c r="Y469" i="5" s="1"/>
  <c r="Y470" i="5" s="1"/>
  <c r="Y471" i="5" s="1"/>
  <c r="Y472" i="5" s="1"/>
  <c r="Y473" i="5" s="1"/>
  <c r="Y474" i="5" s="1"/>
  <c r="Y475" i="5" s="1"/>
  <c r="Y476" i="5" s="1"/>
  <c r="Y477" i="5" s="1"/>
  <c r="Y478" i="5" s="1"/>
  <c r="Y479" i="5" s="1"/>
  <c r="Y480" i="5" s="1"/>
  <c r="Y481" i="5" s="1"/>
  <c r="Y482" i="5" s="1"/>
  <c r="Y483" i="5" s="1"/>
  <c r="Y484" i="5" s="1"/>
  <c r="Y485" i="5" s="1"/>
  <c r="Y486" i="5" s="1"/>
  <c r="Y487" i="5" s="1"/>
  <c r="Y488" i="5" s="1"/>
  <c r="Y489" i="5" s="1"/>
  <c r="Y490" i="5" s="1"/>
  <c r="Y491" i="5" s="1"/>
  <c r="Y492" i="5" s="1"/>
  <c r="Y493" i="5" s="1"/>
  <c r="Y494" i="5" s="1"/>
  <c r="Y495" i="5" s="1"/>
  <c r="Y496" i="5" s="1"/>
  <c r="Y497" i="5" s="1"/>
  <c r="Y498" i="5" s="1"/>
  <c r="Y499" i="5" s="1"/>
  <c r="Y500" i="5" s="1"/>
  <c r="Y501" i="5" s="1"/>
  <c r="Y502" i="5" s="1"/>
  <c r="Y503" i="5" s="1"/>
  <c r="Y504" i="5" s="1"/>
  <c r="Y505" i="5" s="1"/>
  <c r="Y506" i="5" s="1"/>
  <c r="Y507" i="5" s="1"/>
  <c r="Y508" i="5" s="1"/>
  <c r="Y509" i="5" s="1"/>
  <c r="Y510" i="5" s="1"/>
  <c r="Y511" i="5" s="1"/>
  <c r="Y512" i="5" s="1"/>
  <c r="Y513" i="5" s="1"/>
  <c r="Y514" i="5" s="1"/>
  <c r="Y515" i="5" s="1"/>
  <c r="Y516" i="5" s="1"/>
  <c r="Y517" i="5" s="1"/>
  <c r="Y518" i="5" s="1"/>
  <c r="Y519" i="5" s="1"/>
  <c r="Y520" i="5" s="1"/>
  <c r="Y521" i="5" s="1"/>
  <c r="Y522" i="5" s="1"/>
  <c r="Y523" i="5" s="1"/>
  <c r="Y524" i="5" s="1"/>
  <c r="Y525" i="5" s="1"/>
  <c r="Y526" i="5" s="1"/>
  <c r="Y527" i="5" s="1"/>
  <c r="Y528" i="5" s="1"/>
  <c r="Y529" i="5" s="1"/>
  <c r="Y530" i="5" s="1"/>
  <c r="Y531" i="5" s="1"/>
  <c r="Y532" i="5" s="1"/>
  <c r="Y533" i="5" s="1"/>
  <c r="Y534" i="5" s="1"/>
  <c r="Y535" i="5" s="1"/>
  <c r="Y536" i="5" s="1"/>
  <c r="Y537" i="5" s="1"/>
  <c r="Y538" i="5" s="1"/>
  <c r="Y539" i="5" s="1"/>
  <c r="Y540" i="5" s="1"/>
  <c r="Y541" i="5" s="1"/>
  <c r="Y542" i="5" s="1"/>
  <c r="Y543" i="5" s="1"/>
  <c r="Y544" i="5" s="1"/>
  <c r="Y545" i="5" s="1"/>
  <c r="Y546" i="5" s="1"/>
  <c r="Y547" i="5" s="1"/>
  <c r="Y548" i="5" s="1"/>
  <c r="Y549" i="5" s="1"/>
  <c r="Y550" i="5" s="1"/>
  <c r="Y551" i="5" s="1"/>
  <c r="Y552" i="5" s="1"/>
  <c r="Y553" i="5" s="1"/>
  <c r="Y554" i="5" s="1"/>
  <c r="Y555" i="5" s="1"/>
  <c r="Y556" i="5" s="1"/>
  <c r="Y557" i="5" s="1"/>
  <c r="Y558" i="5" s="1"/>
  <c r="Y559" i="5" s="1"/>
  <c r="Y560" i="5" s="1"/>
  <c r="Y561" i="5" s="1"/>
  <c r="Y562" i="5" s="1"/>
  <c r="Y563" i="5" s="1"/>
  <c r="Y564" i="5" s="1"/>
  <c r="Y565" i="5" s="1"/>
  <c r="Y566" i="5" s="1"/>
  <c r="Y567" i="5" s="1"/>
  <c r="Y568" i="5" s="1"/>
  <c r="Y569" i="5" s="1"/>
  <c r="Y570" i="5" s="1"/>
  <c r="Y571" i="5" s="1"/>
  <c r="Y572" i="5" s="1"/>
  <c r="Y573" i="5" s="1"/>
  <c r="Y574" i="5" s="1"/>
  <c r="Y575" i="5" s="1"/>
  <c r="Y576" i="5" s="1"/>
  <c r="Y577" i="5" s="1"/>
  <c r="Z210" i="5"/>
  <c r="Z211" i="5"/>
  <c r="Z212" i="5"/>
  <c r="Z213" i="5"/>
  <c r="Z214" i="5"/>
  <c r="Z215" i="5"/>
  <c r="Z216" i="5"/>
  <c r="Z217" i="5"/>
  <c r="Z218" i="5"/>
  <c r="Z219" i="5"/>
  <c r="Z220" i="5"/>
  <c r="Z221" i="5"/>
  <c r="Z222" i="5"/>
  <c r="Z223" i="5"/>
  <c r="Z224" i="5"/>
  <c r="Z225" i="5"/>
  <c r="Z226" i="5"/>
  <c r="Z227" i="5"/>
  <c r="Z228" i="5"/>
  <c r="Z229" i="5"/>
  <c r="Z230" i="5"/>
  <c r="Z231" i="5"/>
  <c r="Z232" i="5"/>
  <c r="Z233" i="5"/>
  <c r="Z234" i="5"/>
  <c r="Z235" i="5"/>
  <c r="Z236" i="5"/>
  <c r="Z237" i="5"/>
  <c r="Z238" i="5"/>
  <c r="Z239" i="5"/>
  <c r="Z240" i="5"/>
  <c r="Z241" i="5"/>
  <c r="Z242" i="5"/>
  <c r="Z243" i="5"/>
  <c r="Z244" i="5"/>
  <c r="Z245" i="5"/>
  <c r="Z246" i="5"/>
  <c r="Z247" i="5"/>
  <c r="Z248" i="5"/>
  <c r="Z249" i="5"/>
  <c r="Z250" i="5"/>
  <c r="Z251" i="5"/>
  <c r="Z252" i="5"/>
  <c r="Z253" i="5"/>
  <c r="Z254" i="5"/>
  <c r="Z255" i="5"/>
  <c r="Z256" i="5"/>
  <c r="Z257" i="5"/>
  <c r="Z258" i="5"/>
  <c r="Z259" i="5"/>
  <c r="Z260" i="5"/>
  <c r="Z261" i="5"/>
  <c r="Z262" i="5"/>
  <c r="Z263" i="5"/>
  <c r="Z264" i="5"/>
  <c r="Z265" i="5"/>
  <c r="Z266" i="5"/>
  <c r="Z267" i="5"/>
  <c r="Z268" i="5"/>
  <c r="Z269" i="5"/>
  <c r="Z270" i="5"/>
  <c r="Z271" i="5"/>
  <c r="Z272" i="5"/>
  <c r="Z273" i="5"/>
  <c r="Z274" i="5"/>
  <c r="Y210" i="5"/>
  <c r="Y211" i="5"/>
  <c r="Y212" i="5"/>
  <c r="Y213" i="5"/>
  <c r="Y214" i="5"/>
  <c r="Y215" i="5"/>
  <c r="Y216" i="5"/>
  <c r="Y217" i="5"/>
  <c r="Y218" i="5"/>
  <c r="Y219" i="5"/>
  <c r="Y220" i="5"/>
  <c r="Y221" i="5"/>
  <c r="Y222" i="5"/>
  <c r="Y223" i="5"/>
  <c r="Y224" i="5"/>
  <c r="Y225" i="5"/>
  <c r="Y226" i="5" s="1"/>
  <c r="Y227" i="5" s="1"/>
  <c r="Y228" i="5" s="1"/>
  <c r="Y229" i="5" s="1"/>
  <c r="Y230" i="5" s="1"/>
  <c r="Y231" i="5" s="1"/>
  <c r="Y232" i="5" s="1"/>
  <c r="Y233" i="5" s="1"/>
  <c r="Y234" i="5" s="1"/>
  <c r="Y235" i="5" s="1"/>
  <c r="Y236" i="5" s="1"/>
  <c r="Y237" i="5" s="1"/>
  <c r="Y238" i="5" s="1"/>
  <c r="Y239" i="5" s="1"/>
  <c r="Y240" i="5" s="1"/>
  <c r="Y241" i="5" s="1"/>
  <c r="Y242" i="5" s="1"/>
  <c r="Y243" i="5" s="1"/>
  <c r="Y244" i="5" s="1"/>
  <c r="Y245" i="5" s="1"/>
  <c r="Y246" i="5" s="1"/>
  <c r="Y247" i="5" s="1"/>
  <c r="Y248" i="5" s="1"/>
  <c r="Y249" i="5" s="1"/>
  <c r="Y250" i="5" s="1"/>
  <c r="Y251" i="5" s="1"/>
  <c r="Y252" i="5" s="1"/>
  <c r="Y253" i="5" s="1"/>
  <c r="Y254" i="5" s="1"/>
  <c r="Y255" i="5" s="1"/>
  <c r="Y256" i="5" s="1"/>
  <c r="Y257" i="5" s="1"/>
  <c r="Y258" i="5" s="1"/>
  <c r="Y259" i="5" s="1"/>
  <c r="Y260" i="5" s="1"/>
  <c r="Y261" i="5" s="1"/>
  <c r="Y262" i="5" s="1"/>
  <c r="Y263" i="5" s="1"/>
  <c r="Y264" i="5" s="1"/>
  <c r="Y265" i="5" s="1"/>
  <c r="Y266" i="5" s="1"/>
  <c r="Y267" i="5" s="1"/>
  <c r="Y268" i="5" s="1"/>
  <c r="Y269" i="5" s="1"/>
  <c r="Y270" i="5" s="1"/>
  <c r="Y271" i="5" s="1"/>
  <c r="Y272" i="5" s="1"/>
  <c r="Y273" i="5" s="1"/>
  <c r="Y274" i="5" s="1"/>
  <c r="Z155" i="5"/>
  <c r="Z156" i="5"/>
  <c r="Z157" i="5"/>
  <c r="Z158" i="5"/>
  <c r="Z159" i="5"/>
  <c r="Z160" i="5"/>
  <c r="Z161" i="5"/>
  <c r="Z162" i="5"/>
  <c r="Z163" i="5"/>
  <c r="Z164" i="5"/>
  <c r="Z165" i="5"/>
  <c r="Z166" i="5"/>
  <c r="Z167" i="5"/>
  <c r="Z168" i="5"/>
  <c r="Z169" i="5"/>
  <c r="Z170" i="5"/>
  <c r="Z171" i="5"/>
  <c r="Z172" i="5"/>
  <c r="Z173" i="5"/>
  <c r="Z174" i="5"/>
  <c r="Z175" i="5"/>
  <c r="Z176" i="5"/>
  <c r="Z177" i="5"/>
  <c r="Z178" i="5"/>
  <c r="Z179" i="5"/>
  <c r="Z180" i="5"/>
  <c r="Z181" i="5"/>
  <c r="Z182" i="5"/>
  <c r="Z183" i="5"/>
  <c r="Z184" i="5"/>
  <c r="Z185" i="5"/>
  <c r="Z186" i="5"/>
  <c r="Z187" i="5"/>
  <c r="Z188" i="5"/>
  <c r="Z189" i="5"/>
  <c r="Z190" i="5"/>
  <c r="Z191" i="5"/>
  <c r="Z192" i="5"/>
  <c r="Z193" i="5"/>
  <c r="Z194" i="5"/>
  <c r="Z195" i="5"/>
  <c r="Z196" i="5"/>
  <c r="Z197" i="5"/>
  <c r="Z198" i="5"/>
  <c r="Z199" i="5"/>
  <c r="Z200" i="5"/>
  <c r="Z201" i="5"/>
  <c r="Z202" i="5"/>
  <c r="Z203" i="5"/>
  <c r="Z204" i="5"/>
  <c r="Z205" i="5"/>
  <c r="Z206" i="5"/>
  <c r="Z207" i="5"/>
  <c r="Z208" i="5"/>
  <c r="Z209" i="5"/>
  <c r="Y158" i="5"/>
  <c r="Y159" i="5"/>
  <c r="Y160" i="5" s="1"/>
  <c r="Y161" i="5" s="1"/>
  <c r="Y162" i="5" s="1"/>
  <c r="Y163" i="5" s="1"/>
  <c r="Y164" i="5" s="1"/>
  <c r="Y165" i="5" s="1"/>
  <c r="Y166" i="5" s="1"/>
  <c r="Y167" i="5" s="1"/>
  <c r="Y168" i="5" s="1"/>
  <c r="Y169" i="5" s="1"/>
  <c r="Y170" i="5" s="1"/>
  <c r="Y171" i="5" s="1"/>
  <c r="Y172" i="5" s="1"/>
  <c r="Y173" i="5" s="1"/>
  <c r="Y174" i="5" s="1"/>
  <c r="Y175" i="5" s="1"/>
  <c r="Y176" i="5" s="1"/>
  <c r="Y177" i="5" s="1"/>
  <c r="Y178" i="5" s="1"/>
  <c r="Y179" i="5" s="1"/>
  <c r="Y180" i="5" s="1"/>
  <c r="Y181" i="5" s="1"/>
  <c r="Y182" i="5" s="1"/>
  <c r="Y183" i="5" s="1"/>
  <c r="Y184" i="5" s="1"/>
  <c r="Y185" i="5" s="1"/>
  <c r="Y186" i="5" s="1"/>
  <c r="Y187" i="5" s="1"/>
  <c r="Y188" i="5" s="1"/>
  <c r="Y189" i="5" s="1"/>
  <c r="Y190" i="5" s="1"/>
  <c r="Y191" i="5" s="1"/>
  <c r="Y192" i="5" s="1"/>
  <c r="Y193" i="5" s="1"/>
  <c r="Y194" i="5" s="1"/>
  <c r="Y195" i="5" s="1"/>
  <c r="Y196" i="5" s="1"/>
  <c r="Y197" i="5" s="1"/>
  <c r="Y198" i="5" s="1"/>
  <c r="Y199" i="5" s="1"/>
  <c r="Y200" i="5" s="1"/>
  <c r="Y201" i="5" s="1"/>
  <c r="Y202" i="5" s="1"/>
  <c r="Y203" i="5" s="1"/>
  <c r="Y204" i="5" s="1"/>
  <c r="Y205" i="5" s="1"/>
  <c r="Y206" i="5" s="1"/>
  <c r="Y207" i="5" s="1"/>
  <c r="Y208" i="5" s="1"/>
  <c r="Y209" i="5" s="1"/>
  <c r="Z4" i="5"/>
  <c r="Z5" i="5"/>
  <c r="Z6" i="5"/>
  <c r="Z7" i="5"/>
  <c r="Z8" i="5"/>
  <c r="Z9" i="5"/>
  <c r="Z10" i="5"/>
  <c r="Z11" i="5"/>
  <c r="Z12" i="5"/>
  <c r="Z13" i="5"/>
  <c r="Z14" i="5"/>
  <c r="Z15" i="5"/>
  <c r="Z16" i="5"/>
  <c r="Z17" i="5"/>
  <c r="Z18" i="5"/>
  <c r="Z19" i="5"/>
  <c r="Z20" i="5"/>
  <c r="Z21" i="5"/>
  <c r="Z22" i="5"/>
  <c r="Z23" i="5"/>
  <c r="Z24" i="5"/>
  <c r="Z25" i="5"/>
  <c r="Z26" i="5"/>
  <c r="Z27" i="5"/>
  <c r="Z28" i="5"/>
  <c r="Z29" i="5"/>
  <c r="Z30" i="5"/>
  <c r="Z31" i="5"/>
  <c r="Z32" i="5"/>
  <c r="Z33" i="5"/>
  <c r="Z34" i="5"/>
  <c r="Z35" i="5"/>
  <c r="Z36" i="5"/>
  <c r="Z37" i="5"/>
  <c r="Z38" i="5"/>
  <c r="Z39" i="5"/>
  <c r="Z40" i="5"/>
  <c r="Z41" i="5"/>
  <c r="Z42" i="5"/>
  <c r="Z43" i="5"/>
  <c r="Z44" i="5"/>
  <c r="Z45" i="5"/>
  <c r="Z46" i="5"/>
  <c r="Z47" i="5"/>
  <c r="Z48" i="5"/>
  <c r="Z49" i="5"/>
  <c r="Z50" i="5"/>
  <c r="Z51" i="5"/>
  <c r="Z52" i="5"/>
  <c r="Z53" i="5"/>
  <c r="Z54" i="5"/>
  <c r="Z55" i="5"/>
  <c r="Z56" i="5"/>
  <c r="Z57" i="5"/>
  <c r="Z58" i="5"/>
  <c r="Z59" i="5"/>
  <c r="Z60" i="5"/>
  <c r="Z61" i="5"/>
  <c r="Z62" i="5"/>
  <c r="Z63" i="5"/>
  <c r="Z64" i="5"/>
  <c r="Z65" i="5"/>
  <c r="Z66" i="5"/>
  <c r="Z67" i="5"/>
  <c r="Z68" i="5"/>
  <c r="Z69" i="5"/>
  <c r="Z70" i="5"/>
  <c r="Z71" i="5"/>
  <c r="Z72" i="5"/>
  <c r="Z73" i="5"/>
  <c r="Z74" i="5"/>
  <c r="Z75" i="5"/>
  <c r="Z76" i="5"/>
  <c r="Z77" i="5"/>
  <c r="Z78" i="5"/>
  <c r="Z79" i="5"/>
  <c r="Z80" i="5"/>
  <c r="Z81" i="5"/>
  <c r="Z82" i="5"/>
  <c r="Z83" i="5"/>
  <c r="Z84" i="5"/>
  <c r="Z85" i="5"/>
  <c r="Z86" i="5"/>
  <c r="Z87" i="5"/>
  <c r="Z88" i="5"/>
  <c r="Z89" i="5"/>
  <c r="Z90" i="5"/>
  <c r="Z91" i="5"/>
  <c r="Z92" i="5"/>
  <c r="Z93" i="5"/>
  <c r="Z94" i="5"/>
  <c r="Z95" i="5"/>
  <c r="Z96" i="5"/>
  <c r="Z97" i="5"/>
  <c r="Z98" i="5"/>
  <c r="Z99" i="5"/>
  <c r="Z100" i="5"/>
  <c r="Z101" i="5"/>
  <c r="Z102" i="5"/>
  <c r="Z103" i="5"/>
  <c r="Z104" i="5"/>
  <c r="Z105" i="5"/>
  <c r="Z106" i="5"/>
  <c r="Z107" i="5"/>
  <c r="Z108" i="5"/>
  <c r="Z109" i="5"/>
  <c r="Z110" i="5"/>
  <c r="Z111" i="5"/>
  <c r="Z112" i="5"/>
  <c r="Z113" i="5"/>
  <c r="Z114" i="5"/>
  <c r="Z115" i="5"/>
  <c r="Z116" i="5"/>
  <c r="Z117" i="5"/>
  <c r="Z118" i="5"/>
  <c r="Z119" i="5"/>
  <c r="Z120" i="5"/>
  <c r="Z121" i="5"/>
  <c r="Z122" i="5"/>
  <c r="Z123" i="5"/>
  <c r="Z124" i="5"/>
  <c r="Z125" i="5"/>
  <c r="Z126" i="5"/>
  <c r="Z127" i="5"/>
  <c r="Z128" i="5"/>
  <c r="Z129" i="5"/>
  <c r="Z130" i="5"/>
  <c r="Z131" i="5"/>
  <c r="Z132" i="5"/>
  <c r="Z133" i="5"/>
  <c r="Z134" i="5"/>
  <c r="Z135" i="5"/>
  <c r="Z136" i="5"/>
  <c r="Z137" i="5"/>
  <c r="Z138" i="5"/>
  <c r="Z139" i="5"/>
  <c r="Z140" i="5"/>
  <c r="Z141" i="5"/>
  <c r="Z142" i="5"/>
  <c r="Z143" i="5"/>
  <c r="Z144" i="5"/>
  <c r="Z145" i="5"/>
  <c r="Z146" i="5"/>
  <c r="Z147" i="5"/>
  <c r="Z148" i="5"/>
  <c r="Z149" i="5"/>
  <c r="Z150" i="5"/>
  <c r="Z151" i="5"/>
  <c r="Z152" i="5"/>
  <c r="Z153" i="5"/>
  <c r="Z154" i="5"/>
  <c r="Z3" i="5"/>
  <c r="Y62" i="5"/>
  <c r="Y63" i="5" s="1"/>
  <c r="Y61" i="5"/>
  <c r="Y4" i="5"/>
  <c r="Y5" i="5"/>
  <c r="Y6" i="5"/>
  <c r="Y7" i="5"/>
  <c r="Y8" i="5"/>
  <c r="Y9" i="5"/>
  <c r="Y10" i="5"/>
  <c r="Y11" i="5"/>
  <c r="Y12" i="5"/>
  <c r="Y13" i="5"/>
  <c r="Y14" i="5"/>
  <c r="Y15" i="5"/>
  <c r="Y16" i="5"/>
  <c r="Y17" i="5"/>
  <c r="Y18" i="5"/>
  <c r="Y19" i="5"/>
  <c r="Y20" i="5"/>
  <c r="Y21" i="5"/>
  <c r="Y22" i="5"/>
  <c r="Y23" i="5"/>
  <c r="Y24" i="5"/>
  <c r="Y25" i="5"/>
  <c r="Y26" i="5"/>
  <c r="Y27" i="5"/>
  <c r="Y28" i="5"/>
  <c r="Y29" i="5"/>
  <c r="Y30" i="5"/>
  <c r="Y31" i="5"/>
  <c r="Y32" i="5"/>
  <c r="Y33" i="5"/>
  <c r="Y34" i="5"/>
  <c r="Y35" i="5"/>
  <c r="Y36" i="5"/>
  <c r="Y37" i="5"/>
  <c r="Y38" i="5"/>
  <c r="Y39" i="5"/>
  <c r="Y40" i="5"/>
  <c r="Y41" i="5"/>
  <c r="Y42" i="5"/>
  <c r="Y43" i="5"/>
  <c r="Y44" i="5"/>
  <c r="Y45" i="5"/>
  <c r="Y46" i="5"/>
  <c r="Y47" i="5"/>
  <c r="Y48" i="5"/>
  <c r="Y49" i="5"/>
  <c r="Y50" i="5"/>
  <c r="Y51" i="5"/>
  <c r="Y52" i="5"/>
  <c r="Y53" i="5"/>
  <c r="Y54" i="5"/>
  <c r="Y55" i="5"/>
  <c r="Y56" i="5"/>
  <c r="Y57" i="5"/>
  <c r="Y58" i="5"/>
  <c r="Y59" i="5"/>
  <c r="Y60" i="5"/>
  <c r="Y3" i="5"/>
  <c r="AI3" i="3"/>
  <c r="AA644" i="3"/>
  <c r="AC100" i="3"/>
  <c r="AC101" i="3"/>
  <c r="AC102" i="3"/>
  <c r="AC103" i="3"/>
  <c r="AC104" i="3"/>
  <c r="AC105" i="3" s="1"/>
  <c r="AC106" i="3" s="1"/>
  <c r="AC107" i="3" s="1"/>
  <c r="AC108" i="3" s="1"/>
  <c r="AC109" i="3" s="1"/>
  <c r="AC110" i="3" s="1"/>
  <c r="AC111" i="3" s="1"/>
  <c r="AC112" i="3" s="1"/>
  <c r="AC113" i="3" s="1"/>
  <c r="AC114" i="3" s="1"/>
  <c r="AC115" i="3" s="1"/>
  <c r="AC116" i="3" s="1"/>
  <c r="AC117" i="3" s="1"/>
  <c r="AC118" i="3" s="1"/>
  <c r="AC119" i="3" s="1"/>
  <c r="AC120" i="3" s="1"/>
  <c r="AC121" i="3" s="1"/>
  <c r="AC122" i="3" s="1"/>
  <c r="AC123" i="3" s="1"/>
  <c r="AC124" i="3" s="1"/>
  <c r="AC125" i="3" s="1"/>
  <c r="AC126" i="3" s="1"/>
  <c r="AC127" i="3" s="1"/>
  <c r="AC128" i="3" s="1"/>
  <c r="AC129" i="3" s="1"/>
  <c r="AC130" i="3" s="1"/>
  <c r="AC131" i="3" s="1"/>
  <c r="AC132" i="3" s="1"/>
  <c r="AC133" i="3" s="1"/>
  <c r="AC134" i="3" s="1"/>
  <c r="AC135" i="3" s="1"/>
  <c r="AC136" i="3" s="1"/>
  <c r="AC137" i="3" s="1"/>
  <c r="AC138" i="3" s="1"/>
  <c r="AC139" i="3" s="1"/>
  <c r="AC140" i="3" s="1"/>
  <c r="AC141" i="3" s="1"/>
  <c r="AC142" i="3" s="1"/>
  <c r="AC143" i="3" s="1"/>
  <c r="AC144" i="3" s="1"/>
  <c r="AC145" i="3" s="1"/>
  <c r="AC146" i="3" s="1"/>
  <c r="AC147" i="3" s="1"/>
  <c r="AC148" i="3" s="1"/>
  <c r="AC149" i="3" s="1"/>
  <c r="AC150" i="3" s="1"/>
  <c r="AC151" i="3" s="1"/>
  <c r="AC152" i="3" s="1"/>
  <c r="AC153" i="3" s="1"/>
  <c r="AC154" i="3" s="1"/>
  <c r="AC155" i="3" s="1"/>
  <c r="AC156" i="3" s="1"/>
  <c r="AC157" i="3" s="1"/>
  <c r="AC158" i="3" s="1"/>
  <c r="AC159" i="3" s="1"/>
  <c r="AC160" i="3" s="1"/>
  <c r="AC161" i="3" s="1"/>
  <c r="AC162" i="3" s="1"/>
  <c r="AC163" i="3" s="1"/>
  <c r="AC164" i="3" s="1"/>
  <c r="AC165" i="3" s="1"/>
  <c r="AC166" i="3" s="1"/>
  <c r="AC167" i="3" s="1"/>
  <c r="AC168" i="3" s="1"/>
  <c r="AC169" i="3" s="1"/>
  <c r="AC170" i="3" s="1"/>
  <c r="AC171" i="3" s="1"/>
  <c r="AC172" i="3" s="1"/>
  <c r="AC173" i="3" s="1"/>
  <c r="AC174" i="3" s="1"/>
  <c r="AC175" i="3" s="1"/>
  <c r="AC176" i="3" s="1"/>
  <c r="AC177" i="3" s="1"/>
  <c r="AC178" i="3" s="1"/>
  <c r="AC179" i="3" s="1"/>
  <c r="AC180" i="3" s="1"/>
  <c r="AC181" i="3" s="1"/>
  <c r="AC182" i="3" s="1"/>
  <c r="AC183" i="3" s="1"/>
  <c r="AC184" i="3" s="1"/>
  <c r="AC185" i="3" s="1"/>
  <c r="AC186" i="3" s="1"/>
  <c r="AC187" i="3" s="1"/>
  <c r="AC188" i="3" s="1"/>
  <c r="AC189" i="3" s="1"/>
  <c r="AC190" i="3" s="1"/>
  <c r="AC191" i="3" s="1"/>
  <c r="AC192" i="3" s="1"/>
  <c r="AC193" i="3" s="1"/>
  <c r="AC194" i="3" s="1"/>
  <c r="AC195" i="3" s="1"/>
  <c r="AC196" i="3" s="1"/>
  <c r="AC197" i="3" s="1"/>
  <c r="AC198" i="3" s="1"/>
  <c r="AC199" i="3" s="1"/>
  <c r="AC200" i="3" s="1"/>
  <c r="AC201" i="3" s="1"/>
  <c r="AC202" i="3" s="1"/>
  <c r="AC203" i="3" s="1"/>
  <c r="AC204" i="3" s="1"/>
  <c r="AC205" i="3" s="1"/>
  <c r="AC206" i="3" s="1"/>
  <c r="AC207" i="3" s="1"/>
  <c r="AC208" i="3" s="1"/>
  <c r="AC209" i="3" s="1"/>
  <c r="AC210" i="3" s="1"/>
  <c r="AC211" i="3" s="1"/>
  <c r="AC212" i="3" s="1"/>
  <c r="AC213" i="3" s="1"/>
  <c r="AC214" i="3" s="1"/>
  <c r="AC215" i="3" s="1"/>
  <c r="AC216" i="3" s="1"/>
  <c r="AC217" i="3" s="1"/>
  <c r="AC218" i="3" s="1"/>
  <c r="AC219" i="3" s="1"/>
  <c r="AC220" i="3" s="1"/>
  <c r="AC221" i="3" s="1"/>
  <c r="AC222" i="3" s="1"/>
  <c r="AC223" i="3" s="1"/>
  <c r="AC224" i="3" s="1"/>
  <c r="AC225" i="3" s="1"/>
  <c r="AC226" i="3" s="1"/>
  <c r="AC227" i="3" s="1"/>
  <c r="AC228" i="3" s="1"/>
  <c r="AC229" i="3" s="1"/>
  <c r="AC230" i="3" s="1"/>
  <c r="AC231" i="3" s="1"/>
  <c r="AC232" i="3" s="1"/>
  <c r="AC233" i="3" s="1"/>
  <c r="AC234" i="3" s="1"/>
  <c r="AC235" i="3" s="1"/>
  <c r="AC236" i="3" s="1"/>
  <c r="AC237" i="3" s="1"/>
  <c r="AC238" i="3" s="1"/>
  <c r="AC239" i="3" s="1"/>
  <c r="AC240" i="3" s="1"/>
  <c r="AC241" i="3" s="1"/>
  <c r="AC242" i="3" s="1"/>
  <c r="AC243" i="3" s="1"/>
  <c r="AC244" i="3" s="1"/>
  <c r="AC245" i="3" s="1"/>
  <c r="AC246" i="3" s="1"/>
  <c r="AC247" i="3" s="1"/>
  <c r="AC248" i="3" s="1"/>
  <c r="AC249" i="3" s="1"/>
  <c r="AC250" i="3" s="1"/>
  <c r="AC251" i="3" s="1"/>
  <c r="AC252" i="3" s="1"/>
  <c r="AC253" i="3" s="1"/>
  <c r="AC254" i="3" s="1"/>
  <c r="AC255" i="3" s="1"/>
  <c r="AC256" i="3" s="1"/>
  <c r="AC257" i="3" s="1"/>
  <c r="AC258" i="3" s="1"/>
  <c r="AC259" i="3" s="1"/>
  <c r="AC260" i="3" s="1"/>
  <c r="AC261" i="3" s="1"/>
  <c r="AC262" i="3" s="1"/>
  <c r="AC263" i="3" s="1"/>
  <c r="AC264" i="3" s="1"/>
  <c r="AC265" i="3" s="1"/>
  <c r="AC266" i="3" s="1"/>
  <c r="AC267" i="3" s="1"/>
  <c r="AC268" i="3" s="1"/>
  <c r="AC269" i="3" s="1"/>
  <c r="AC270" i="3" s="1"/>
  <c r="AC271" i="3" s="1"/>
  <c r="AC272" i="3" s="1"/>
  <c r="AC273" i="3" s="1"/>
  <c r="AC274" i="3" s="1"/>
  <c r="AC275" i="3" s="1"/>
  <c r="AC276" i="3" s="1"/>
  <c r="AC277" i="3" s="1"/>
  <c r="AC278" i="3" s="1"/>
  <c r="AC279" i="3" s="1"/>
  <c r="AC280" i="3" s="1"/>
  <c r="AC281" i="3" s="1"/>
  <c r="AC282" i="3" s="1"/>
  <c r="AC283" i="3" s="1"/>
  <c r="AC284" i="3" s="1"/>
  <c r="AC285" i="3" s="1"/>
  <c r="AC286" i="3" s="1"/>
  <c r="AC287" i="3" s="1"/>
  <c r="AC288" i="3" s="1"/>
  <c r="AC289" i="3" s="1"/>
  <c r="AC290" i="3" s="1"/>
  <c r="AC291" i="3" s="1"/>
  <c r="AC292" i="3" s="1"/>
  <c r="AC293" i="3" s="1"/>
  <c r="AC294" i="3" s="1"/>
  <c r="AC295" i="3" s="1"/>
  <c r="AC296" i="3" s="1"/>
  <c r="AC297" i="3" s="1"/>
  <c r="AC298" i="3" s="1"/>
  <c r="AC299" i="3" s="1"/>
  <c r="AC300" i="3" s="1"/>
  <c r="AC301" i="3" s="1"/>
  <c r="AC302" i="3" s="1"/>
  <c r="AC303" i="3" s="1"/>
  <c r="AC304" i="3" s="1"/>
  <c r="AC305" i="3" s="1"/>
  <c r="AC306" i="3" s="1"/>
  <c r="AC307" i="3" s="1"/>
  <c r="AC308" i="3" s="1"/>
  <c r="AC309" i="3" s="1"/>
  <c r="AC310" i="3" s="1"/>
  <c r="AC311" i="3" s="1"/>
  <c r="AC312" i="3" s="1"/>
  <c r="AC313" i="3" s="1"/>
  <c r="AC314" i="3" s="1"/>
  <c r="AC315" i="3" s="1"/>
  <c r="AC316" i="3" s="1"/>
  <c r="AC317" i="3" s="1"/>
  <c r="AC318" i="3" s="1"/>
  <c r="AC319" i="3" s="1"/>
  <c r="AC320" i="3" s="1"/>
  <c r="AC321" i="3" s="1"/>
  <c r="AC322" i="3" s="1"/>
  <c r="AC323" i="3" s="1"/>
  <c r="AC324" i="3" s="1"/>
  <c r="AC325" i="3" s="1"/>
  <c r="AC326" i="3" s="1"/>
  <c r="AC327" i="3" s="1"/>
  <c r="AC328" i="3" s="1"/>
  <c r="AC329" i="3" s="1"/>
  <c r="AC330" i="3" s="1"/>
  <c r="AC331" i="3" s="1"/>
  <c r="AC332" i="3" s="1"/>
  <c r="AC333" i="3" s="1"/>
  <c r="AC334" i="3" s="1"/>
  <c r="AC335" i="3" s="1"/>
  <c r="AC336" i="3" s="1"/>
  <c r="AC337" i="3" s="1"/>
  <c r="AC338" i="3" s="1"/>
  <c r="AC339" i="3" s="1"/>
  <c r="AC340" i="3" s="1"/>
  <c r="AC341" i="3" s="1"/>
  <c r="AC342" i="3" s="1"/>
  <c r="AC343" i="3" s="1"/>
  <c r="AC344" i="3" s="1"/>
  <c r="AC345" i="3" s="1"/>
  <c r="AC346" i="3" s="1"/>
  <c r="AC347" i="3" s="1"/>
  <c r="AC348" i="3" s="1"/>
  <c r="AC349" i="3" s="1"/>
  <c r="AC350" i="3" s="1"/>
  <c r="AC351" i="3" s="1"/>
  <c r="AC352" i="3" s="1"/>
  <c r="AC353" i="3" s="1"/>
  <c r="AC354" i="3" s="1"/>
  <c r="AC355" i="3" s="1"/>
  <c r="AC356" i="3" s="1"/>
  <c r="AC357" i="3" s="1"/>
  <c r="AC358" i="3" s="1"/>
  <c r="AC359" i="3" s="1"/>
  <c r="AC360" i="3" s="1"/>
  <c r="AC361" i="3" s="1"/>
  <c r="AC362" i="3" s="1"/>
  <c r="AC363" i="3" s="1"/>
  <c r="AC364" i="3" s="1"/>
  <c r="AC365" i="3" s="1"/>
  <c r="AC366" i="3" s="1"/>
  <c r="AC367" i="3" s="1"/>
  <c r="AC368" i="3" s="1"/>
  <c r="AC369" i="3" s="1"/>
  <c r="AC370" i="3" s="1"/>
  <c r="AC371" i="3" s="1"/>
  <c r="AC372" i="3" s="1"/>
  <c r="AC373" i="3" s="1"/>
  <c r="AC374" i="3" s="1"/>
  <c r="AC375" i="3" s="1"/>
  <c r="AC376" i="3" s="1"/>
  <c r="AC377" i="3" s="1"/>
  <c r="AC378" i="3" s="1"/>
  <c r="AC379" i="3" s="1"/>
  <c r="AC380" i="3" s="1"/>
  <c r="AC381" i="3" s="1"/>
  <c r="AC382" i="3" s="1"/>
  <c r="AC383" i="3" s="1"/>
  <c r="AC384" i="3" s="1"/>
  <c r="AC385" i="3" s="1"/>
  <c r="AC386" i="3" s="1"/>
  <c r="AC387" i="3" s="1"/>
  <c r="AC388" i="3" s="1"/>
  <c r="AC389" i="3" s="1"/>
  <c r="AC390" i="3" s="1"/>
  <c r="AC391" i="3" s="1"/>
  <c r="AC392" i="3" s="1"/>
  <c r="AC393" i="3" s="1"/>
  <c r="AC394" i="3" s="1"/>
  <c r="AC395" i="3" s="1"/>
  <c r="AC396" i="3" s="1"/>
  <c r="AC397" i="3" s="1"/>
  <c r="AC398" i="3" s="1"/>
  <c r="AC399" i="3" s="1"/>
  <c r="AC400" i="3" s="1"/>
  <c r="AC401" i="3" s="1"/>
  <c r="AC402" i="3" s="1"/>
  <c r="AC403" i="3" s="1"/>
  <c r="AC404" i="3" s="1"/>
  <c r="AC405" i="3" s="1"/>
  <c r="AC406" i="3" s="1"/>
  <c r="AC407" i="3" s="1"/>
  <c r="AC408" i="3" s="1"/>
  <c r="AC409" i="3" s="1"/>
  <c r="AC410" i="3" s="1"/>
  <c r="AC411" i="3" s="1"/>
  <c r="AC412" i="3" s="1"/>
  <c r="AC413" i="3" s="1"/>
  <c r="AC414" i="3" s="1"/>
  <c r="AC415" i="3" s="1"/>
  <c r="AC416" i="3" s="1"/>
  <c r="AC417" i="3" s="1"/>
  <c r="AC418" i="3" s="1"/>
  <c r="AC419" i="3" s="1"/>
  <c r="AC420" i="3" s="1"/>
  <c r="AC421" i="3" s="1"/>
  <c r="AC422" i="3" s="1"/>
  <c r="AC423" i="3" s="1"/>
  <c r="AC424" i="3" s="1"/>
  <c r="AC425" i="3" s="1"/>
  <c r="AC426" i="3" s="1"/>
  <c r="AC427" i="3" s="1"/>
  <c r="AC428" i="3" s="1"/>
  <c r="AC429" i="3" s="1"/>
  <c r="AC430" i="3" s="1"/>
  <c r="AC431" i="3" s="1"/>
  <c r="AC432" i="3" s="1"/>
  <c r="AC433" i="3" s="1"/>
  <c r="AC434" i="3" s="1"/>
  <c r="AC435" i="3" s="1"/>
  <c r="AC436" i="3" s="1"/>
  <c r="AC437" i="3" s="1"/>
  <c r="AC438" i="3" s="1"/>
  <c r="AC439" i="3" s="1"/>
  <c r="AC440" i="3" s="1"/>
  <c r="AC441" i="3" s="1"/>
  <c r="AC442" i="3" s="1"/>
  <c r="AC443" i="3" s="1"/>
  <c r="AC444" i="3" s="1"/>
  <c r="AC445" i="3" s="1"/>
  <c r="AC446" i="3" s="1"/>
  <c r="AC447" i="3" s="1"/>
  <c r="AC448" i="3" s="1"/>
  <c r="AC449" i="3" s="1"/>
  <c r="AC450" i="3" s="1"/>
  <c r="AC451" i="3" s="1"/>
  <c r="AC452" i="3" s="1"/>
  <c r="AC453" i="3" s="1"/>
  <c r="AC454" i="3" s="1"/>
  <c r="AC455" i="3" s="1"/>
  <c r="AC456" i="3" s="1"/>
  <c r="AC457" i="3" s="1"/>
  <c r="AC458" i="3" s="1"/>
  <c r="AC459" i="3" s="1"/>
  <c r="AC460" i="3" s="1"/>
  <c r="AC461" i="3" s="1"/>
  <c r="AC462" i="3" s="1"/>
  <c r="AC463" i="3" s="1"/>
  <c r="AC464" i="3" s="1"/>
  <c r="AC465" i="3" s="1"/>
  <c r="AC466" i="3" s="1"/>
  <c r="AC467" i="3" s="1"/>
  <c r="AC468" i="3" s="1"/>
  <c r="AC469" i="3" s="1"/>
  <c r="AC470" i="3" s="1"/>
  <c r="AC471" i="3" s="1"/>
  <c r="AC472" i="3" s="1"/>
  <c r="AC473" i="3" s="1"/>
  <c r="AC474" i="3" s="1"/>
  <c r="AC475" i="3" s="1"/>
  <c r="AC476" i="3" s="1"/>
  <c r="AC477" i="3" s="1"/>
  <c r="AC478" i="3" s="1"/>
  <c r="AC479" i="3" s="1"/>
  <c r="AC480" i="3" s="1"/>
  <c r="AC481" i="3" s="1"/>
  <c r="AC482" i="3" s="1"/>
  <c r="AC483" i="3" s="1"/>
  <c r="AC484" i="3" s="1"/>
  <c r="AC485" i="3" s="1"/>
  <c r="AC486" i="3" s="1"/>
  <c r="AC487" i="3" s="1"/>
  <c r="AC488" i="3" s="1"/>
  <c r="AC489" i="3" s="1"/>
  <c r="AC490" i="3" s="1"/>
  <c r="AC491" i="3" s="1"/>
  <c r="AC492" i="3" s="1"/>
  <c r="AC493" i="3" s="1"/>
  <c r="AC494" i="3" s="1"/>
  <c r="AC495" i="3" s="1"/>
  <c r="AC496" i="3" s="1"/>
  <c r="AC497" i="3" s="1"/>
  <c r="AC498" i="3" s="1"/>
  <c r="AC499" i="3" s="1"/>
  <c r="AC500" i="3" s="1"/>
  <c r="AC501" i="3" s="1"/>
  <c r="AC502" i="3" s="1"/>
  <c r="AC503" i="3" s="1"/>
  <c r="AC504" i="3" s="1"/>
  <c r="AC505" i="3" s="1"/>
  <c r="AC506" i="3" s="1"/>
  <c r="AC507" i="3" s="1"/>
  <c r="AC508" i="3" s="1"/>
  <c r="AC509" i="3" s="1"/>
  <c r="AC510" i="3" s="1"/>
  <c r="AC511" i="3" s="1"/>
  <c r="AC512" i="3" s="1"/>
  <c r="AC513" i="3" s="1"/>
  <c r="AC514" i="3" s="1"/>
  <c r="AC515" i="3" s="1"/>
  <c r="AC516" i="3" s="1"/>
  <c r="AC517" i="3" s="1"/>
  <c r="AC518" i="3" s="1"/>
  <c r="AC519" i="3" s="1"/>
  <c r="AC520" i="3" s="1"/>
  <c r="AC521" i="3" s="1"/>
  <c r="AC522" i="3" s="1"/>
  <c r="AC523" i="3" s="1"/>
  <c r="AC524" i="3" s="1"/>
  <c r="AC525" i="3" s="1"/>
  <c r="AC526" i="3" s="1"/>
  <c r="AC527" i="3" s="1"/>
  <c r="AC528" i="3" s="1"/>
  <c r="AC529" i="3" s="1"/>
  <c r="AC530" i="3" s="1"/>
  <c r="AC531" i="3" s="1"/>
  <c r="AC532" i="3" s="1"/>
  <c r="AC533" i="3" s="1"/>
  <c r="AC534" i="3" s="1"/>
  <c r="AC535" i="3" s="1"/>
  <c r="AC536" i="3" s="1"/>
  <c r="AC537" i="3" s="1"/>
  <c r="AC538" i="3" s="1"/>
  <c r="AC539" i="3" s="1"/>
  <c r="AC540" i="3" s="1"/>
  <c r="AC541" i="3" s="1"/>
  <c r="AC542" i="3" s="1"/>
  <c r="AC543" i="3" s="1"/>
  <c r="AC544" i="3" s="1"/>
  <c r="AC545" i="3" s="1"/>
  <c r="AC546" i="3" s="1"/>
  <c r="AC547" i="3" s="1"/>
  <c r="AC548" i="3" s="1"/>
  <c r="AC549" i="3" s="1"/>
  <c r="AC550" i="3" s="1"/>
  <c r="AC551" i="3" s="1"/>
  <c r="AC552" i="3" s="1"/>
  <c r="AC553" i="3" s="1"/>
  <c r="AC554" i="3" s="1"/>
  <c r="AC555" i="3" s="1"/>
  <c r="AC556" i="3" s="1"/>
  <c r="AC557" i="3" s="1"/>
  <c r="AC558" i="3" s="1"/>
  <c r="AC559" i="3" s="1"/>
  <c r="AC560" i="3" s="1"/>
  <c r="AC561" i="3" s="1"/>
  <c r="AC562" i="3" s="1"/>
  <c r="AC563" i="3" s="1"/>
  <c r="AC564" i="3" s="1"/>
  <c r="AC565" i="3" s="1"/>
  <c r="AC566" i="3" s="1"/>
  <c r="AC567" i="3" s="1"/>
  <c r="AC568" i="3" s="1"/>
  <c r="AC569" i="3" s="1"/>
  <c r="AC570" i="3" s="1"/>
  <c r="AC571" i="3" s="1"/>
  <c r="AC572" i="3" s="1"/>
  <c r="AC573" i="3" s="1"/>
  <c r="AC574" i="3" s="1"/>
  <c r="AC575" i="3" s="1"/>
  <c r="AC576" i="3" s="1"/>
  <c r="AC577" i="3" s="1"/>
  <c r="AC578" i="3" s="1"/>
  <c r="AC579" i="3" s="1"/>
  <c r="AC580" i="3" s="1"/>
  <c r="AC581" i="3" s="1"/>
  <c r="AC582" i="3" s="1"/>
  <c r="AC583" i="3" s="1"/>
  <c r="AC584" i="3" s="1"/>
  <c r="AC585" i="3" s="1"/>
  <c r="AC586" i="3" s="1"/>
  <c r="AC587" i="3" s="1"/>
  <c r="AC588" i="3" s="1"/>
  <c r="AC589" i="3" s="1"/>
  <c r="AC590" i="3" s="1"/>
  <c r="AC591" i="3" s="1"/>
  <c r="AC592" i="3" s="1"/>
  <c r="AC593" i="3" s="1"/>
  <c r="AC594" i="3" s="1"/>
  <c r="AC595" i="3" s="1"/>
  <c r="AC596" i="3" s="1"/>
  <c r="AC597" i="3" s="1"/>
  <c r="AC598" i="3" s="1"/>
  <c r="AC599" i="3" s="1"/>
  <c r="AC600" i="3" s="1"/>
  <c r="AC601" i="3" s="1"/>
  <c r="AC602" i="3" s="1"/>
  <c r="AC603" i="3" s="1"/>
  <c r="AC604" i="3" s="1"/>
  <c r="AC605" i="3" s="1"/>
  <c r="AC606" i="3" s="1"/>
  <c r="AC607" i="3" s="1"/>
  <c r="AC608" i="3" s="1"/>
  <c r="AC609" i="3" s="1"/>
  <c r="AC610" i="3" s="1"/>
  <c r="AC611" i="3" s="1"/>
  <c r="AC612" i="3" s="1"/>
  <c r="AC613" i="3" s="1"/>
  <c r="AC614" i="3" s="1"/>
  <c r="AC615" i="3" s="1"/>
  <c r="AC616" i="3" s="1"/>
  <c r="AC617" i="3" s="1"/>
  <c r="AC618" i="3" s="1"/>
  <c r="AC619" i="3" s="1"/>
  <c r="AC620" i="3" s="1"/>
  <c r="AC621" i="3" s="1"/>
  <c r="AC622" i="3" s="1"/>
  <c r="AC623" i="3" s="1"/>
  <c r="AC624" i="3" s="1"/>
  <c r="AC625" i="3" s="1"/>
  <c r="AC626" i="3" s="1"/>
  <c r="AC627" i="3" s="1"/>
  <c r="AC628" i="3" s="1"/>
  <c r="AC629" i="3" s="1"/>
  <c r="AC630" i="3" s="1"/>
  <c r="AC631" i="3" s="1"/>
  <c r="AC632" i="3" s="1"/>
  <c r="AC633" i="3" s="1"/>
  <c r="AC634" i="3" s="1"/>
  <c r="AC635" i="3" s="1"/>
  <c r="AC636" i="3" s="1"/>
  <c r="AC637" i="3" s="1"/>
  <c r="AC638" i="3" s="1"/>
  <c r="AC639" i="3" s="1"/>
  <c r="AC640" i="3" s="1"/>
  <c r="AC641" i="3" s="1"/>
  <c r="AB3" i="3"/>
  <c r="AB533" i="3"/>
  <c r="AB534" i="3"/>
  <c r="AB535" i="3"/>
  <c r="AB536" i="3"/>
  <c r="AB537" i="3"/>
  <c r="AB538" i="3"/>
  <c r="AB539" i="3"/>
  <c r="AB540" i="3"/>
  <c r="AB541" i="3"/>
  <c r="AB542" i="3"/>
  <c r="AB543" i="3"/>
  <c r="AB544" i="3"/>
  <c r="AB545" i="3"/>
  <c r="AB546" i="3"/>
  <c r="AB547" i="3"/>
  <c r="AB548" i="3"/>
  <c r="AB549" i="3"/>
  <c r="AB550" i="3"/>
  <c r="AB551" i="3"/>
  <c r="AB552" i="3"/>
  <c r="AB553" i="3"/>
  <c r="AB554" i="3"/>
  <c r="AB555" i="3"/>
  <c r="AB556" i="3"/>
  <c r="AB557" i="3"/>
  <c r="AB558" i="3"/>
  <c r="AB559" i="3"/>
  <c r="AB560" i="3"/>
  <c r="AB561" i="3"/>
  <c r="AB562" i="3"/>
  <c r="AB563" i="3"/>
  <c r="AB564" i="3"/>
  <c r="AB565" i="3"/>
  <c r="AB566" i="3"/>
  <c r="AB567" i="3"/>
  <c r="AB568" i="3"/>
  <c r="AB569" i="3"/>
  <c r="AB570" i="3"/>
  <c r="AB571" i="3"/>
  <c r="AB572" i="3"/>
  <c r="AB573" i="3"/>
  <c r="AB574" i="3"/>
  <c r="AB575" i="3"/>
  <c r="AB576" i="3"/>
  <c r="AB577" i="3"/>
  <c r="AB578" i="3"/>
  <c r="AB579" i="3"/>
  <c r="AB580" i="3"/>
  <c r="AB581" i="3"/>
  <c r="AB582" i="3"/>
  <c r="AB583" i="3"/>
  <c r="AB584" i="3"/>
  <c r="AB585" i="3"/>
  <c r="AB586" i="3"/>
  <c r="AB587" i="3"/>
  <c r="AB588" i="3"/>
  <c r="AB589" i="3"/>
  <c r="AB590" i="3"/>
  <c r="AB591" i="3"/>
  <c r="AB592" i="3"/>
  <c r="AB593" i="3"/>
  <c r="AB594" i="3"/>
  <c r="AB595" i="3"/>
  <c r="AB596" i="3"/>
  <c r="AB597" i="3"/>
  <c r="AB598" i="3"/>
  <c r="AB599" i="3"/>
  <c r="AB600" i="3"/>
  <c r="AB601" i="3"/>
  <c r="AB602" i="3"/>
  <c r="AB603" i="3"/>
  <c r="AB604" i="3"/>
  <c r="AB605" i="3"/>
  <c r="AB606" i="3"/>
  <c r="AB607" i="3"/>
  <c r="AB608" i="3"/>
  <c r="AB609" i="3"/>
  <c r="AB610" i="3"/>
  <c r="AB611" i="3"/>
  <c r="AB612" i="3"/>
  <c r="AB613" i="3"/>
  <c r="AB614" i="3"/>
  <c r="AB615" i="3"/>
  <c r="AB616" i="3"/>
  <c r="AB617" i="3"/>
  <c r="AB618" i="3"/>
  <c r="AB619" i="3"/>
  <c r="AB620" i="3"/>
  <c r="AB621" i="3"/>
  <c r="AB622" i="3"/>
  <c r="AB623" i="3"/>
  <c r="AB624" i="3"/>
  <c r="AB625" i="3"/>
  <c r="AB626" i="3"/>
  <c r="AB627" i="3"/>
  <c r="AB628" i="3"/>
  <c r="AB629" i="3"/>
  <c r="AB630" i="3"/>
  <c r="AB631" i="3"/>
  <c r="AB632" i="3"/>
  <c r="AB633" i="3"/>
  <c r="AB634" i="3"/>
  <c r="AB635" i="3"/>
  <c r="AB636" i="3"/>
  <c r="AB637" i="3"/>
  <c r="AB638" i="3"/>
  <c r="AB639" i="3"/>
  <c r="AB640" i="3"/>
  <c r="AB641" i="3"/>
  <c r="AA533" i="3"/>
  <c r="AA534" i="3"/>
  <c r="AA535" i="3"/>
  <c r="AA536" i="3"/>
  <c r="AA537" i="3"/>
  <c r="AA538" i="3"/>
  <c r="AA539" i="3"/>
  <c r="AA540" i="3"/>
  <c r="AA541" i="3"/>
  <c r="AA542" i="3"/>
  <c r="AA543" i="3"/>
  <c r="AA544" i="3"/>
  <c r="AA545" i="3"/>
  <c r="AA546" i="3"/>
  <c r="AA547" i="3"/>
  <c r="AA548" i="3"/>
  <c r="AA549" i="3" s="1"/>
  <c r="AA550" i="3" s="1"/>
  <c r="AA551" i="3" s="1"/>
  <c r="AA552" i="3" s="1"/>
  <c r="AA553" i="3" s="1"/>
  <c r="AA554" i="3" s="1"/>
  <c r="AA555" i="3" s="1"/>
  <c r="AA556" i="3" s="1"/>
  <c r="AA557" i="3" s="1"/>
  <c r="AA558" i="3" s="1"/>
  <c r="AA559" i="3" s="1"/>
  <c r="AA560" i="3" s="1"/>
  <c r="AA561" i="3" s="1"/>
  <c r="AA562" i="3" s="1"/>
  <c r="AA563" i="3" s="1"/>
  <c r="AA564" i="3" s="1"/>
  <c r="AA565" i="3" s="1"/>
  <c r="AA566" i="3" s="1"/>
  <c r="AA567" i="3" s="1"/>
  <c r="AA568" i="3" s="1"/>
  <c r="AA569" i="3" s="1"/>
  <c r="AA570" i="3" s="1"/>
  <c r="AA571" i="3" s="1"/>
  <c r="AA572" i="3" s="1"/>
  <c r="AA573" i="3" s="1"/>
  <c r="AA574" i="3" s="1"/>
  <c r="AA575" i="3" s="1"/>
  <c r="AA576" i="3" s="1"/>
  <c r="AA577" i="3" s="1"/>
  <c r="AA578" i="3" s="1"/>
  <c r="AA579" i="3" s="1"/>
  <c r="AA580" i="3" s="1"/>
  <c r="AA581" i="3" s="1"/>
  <c r="AA582" i="3" s="1"/>
  <c r="AA583" i="3" s="1"/>
  <c r="AA584" i="3" s="1"/>
  <c r="AA585" i="3" s="1"/>
  <c r="AA586" i="3" s="1"/>
  <c r="AA587" i="3" s="1"/>
  <c r="AA588" i="3" s="1"/>
  <c r="AA589" i="3" s="1"/>
  <c r="AA590" i="3" s="1"/>
  <c r="AA591" i="3" s="1"/>
  <c r="AA592" i="3" s="1"/>
  <c r="AA593" i="3" s="1"/>
  <c r="AA594" i="3" s="1"/>
  <c r="AA595" i="3" s="1"/>
  <c r="AA596" i="3" s="1"/>
  <c r="AA597" i="3" s="1"/>
  <c r="AA598" i="3" s="1"/>
  <c r="AA599" i="3" s="1"/>
  <c r="AA600" i="3" s="1"/>
  <c r="AA601" i="3" s="1"/>
  <c r="AA602" i="3" s="1"/>
  <c r="AA603" i="3" s="1"/>
  <c r="AA604" i="3" s="1"/>
  <c r="AA605" i="3" s="1"/>
  <c r="AA606" i="3" s="1"/>
  <c r="AA607" i="3" s="1"/>
  <c r="AA608" i="3" s="1"/>
  <c r="AA609" i="3" s="1"/>
  <c r="AA610" i="3" s="1"/>
  <c r="AA611" i="3" s="1"/>
  <c r="AA612" i="3" s="1"/>
  <c r="AA613" i="3" s="1"/>
  <c r="AA614" i="3" s="1"/>
  <c r="AA615" i="3" s="1"/>
  <c r="AA616" i="3" s="1"/>
  <c r="AA617" i="3" s="1"/>
  <c r="AA618" i="3" s="1"/>
  <c r="AA619" i="3" s="1"/>
  <c r="AA620" i="3" s="1"/>
  <c r="AA621" i="3" s="1"/>
  <c r="AA622" i="3" s="1"/>
  <c r="AA623" i="3" s="1"/>
  <c r="AA624" i="3" s="1"/>
  <c r="AA625" i="3" s="1"/>
  <c r="AA626" i="3" s="1"/>
  <c r="AA627" i="3" s="1"/>
  <c r="AA628" i="3" s="1"/>
  <c r="AA629" i="3" s="1"/>
  <c r="AA630" i="3" s="1"/>
  <c r="AA631" i="3" s="1"/>
  <c r="AA632" i="3" s="1"/>
  <c r="AA633" i="3" s="1"/>
  <c r="AA634" i="3" s="1"/>
  <c r="AA635" i="3" s="1"/>
  <c r="AA636" i="3" s="1"/>
  <c r="AA637" i="3" s="1"/>
  <c r="AA638" i="3" s="1"/>
  <c r="AA639" i="3" s="1"/>
  <c r="AA640" i="3" s="1"/>
  <c r="AA641" i="3" s="1"/>
  <c r="AB256" i="3"/>
  <c r="AB257" i="3"/>
  <c r="AB258" i="3"/>
  <c r="AB259" i="3"/>
  <c r="AB260" i="3"/>
  <c r="AB261" i="3"/>
  <c r="AB262" i="3"/>
  <c r="AB263" i="3"/>
  <c r="AB264" i="3"/>
  <c r="AB265" i="3"/>
  <c r="AB266" i="3"/>
  <c r="AB267" i="3"/>
  <c r="AB268" i="3"/>
  <c r="AB269" i="3"/>
  <c r="AB270" i="3"/>
  <c r="AB271" i="3"/>
  <c r="AB272" i="3"/>
  <c r="AB273" i="3"/>
  <c r="AB274" i="3"/>
  <c r="AB275" i="3"/>
  <c r="AB276" i="3"/>
  <c r="AB277" i="3"/>
  <c r="AB278" i="3"/>
  <c r="AB279" i="3"/>
  <c r="AB280" i="3"/>
  <c r="AB281" i="3"/>
  <c r="AB282" i="3"/>
  <c r="AB283" i="3"/>
  <c r="AB284" i="3"/>
  <c r="AB285" i="3"/>
  <c r="AB286" i="3"/>
  <c r="AB287" i="3"/>
  <c r="AB288" i="3"/>
  <c r="AB289" i="3"/>
  <c r="AB290" i="3"/>
  <c r="AB291" i="3"/>
  <c r="AB292" i="3"/>
  <c r="AB293" i="3"/>
  <c r="AB294" i="3"/>
  <c r="AB295" i="3"/>
  <c r="AB296" i="3"/>
  <c r="AB297" i="3"/>
  <c r="AB298" i="3"/>
  <c r="AB299" i="3"/>
  <c r="AB300" i="3"/>
  <c r="AB301" i="3"/>
  <c r="AB302" i="3"/>
  <c r="AB303" i="3"/>
  <c r="AB304" i="3"/>
  <c r="AB305" i="3"/>
  <c r="AB306" i="3"/>
  <c r="AB307" i="3"/>
  <c r="AB308" i="3"/>
  <c r="AB309" i="3"/>
  <c r="AB310" i="3"/>
  <c r="AB311" i="3"/>
  <c r="AB312" i="3"/>
  <c r="AB313" i="3"/>
  <c r="AB314" i="3"/>
  <c r="AB315" i="3"/>
  <c r="AB316" i="3"/>
  <c r="AB317" i="3"/>
  <c r="AB318" i="3"/>
  <c r="AB319" i="3"/>
  <c r="AB320" i="3"/>
  <c r="AB321" i="3"/>
  <c r="AB322" i="3"/>
  <c r="AB323" i="3"/>
  <c r="AB324" i="3"/>
  <c r="AB325" i="3"/>
  <c r="AB326" i="3"/>
  <c r="AB327" i="3"/>
  <c r="AB328" i="3"/>
  <c r="AB329" i="3"/>
  <c r="AB330" i="3"/>
  <c r="AB331" i="3"/>
  <c r="AB332" i="3"/>
  <c r="AB333" i="3"/>
  <c r="AB334" i="3"/>
  <c r="AB335" i="3"/>
  <c r="AB336" i="3"/>
  <c r="AB337" i="3"/>
  <c r="AB338" i="3"/>
  <c r="AB339" i="3"/>
  <c r="AB340" i="3"/>
  <c r="AB341" i="3"/>
  <c r="AB342" i="3"/>
  <c r="AB343" i="3"/>
  <c r="AB344" i="3"/>
  <c r="AB345" i="3"/>
  <c r="AB346" i="3"/>
  <c r="AB347" i="3"/>
  <c r="AB348" i="3"/>
  <c r="AB349" i="3"/>
  <c r="AB350" i="3"/>
  <c r="AB351" i="3"/>
  <c r="AB352" i="3"/>
  <c r="AB353" i="3"/>
  <c r="AB354" i="3"/>
  <c r="AB355" i="3"/>
  <c r="AB356" i="3"/>
  <c r="AB357" i="3"/>
  <c r="AB358" i="3"/>
  <c r="AB359" i="3"/>
  <c r="AB360" i="3"/>
  <c r="AB361" i="3"/>
  <c r="AB362" i="3"/>
  <c r="AB363" i="3"/>
  <c r="AB364" i="3"/>
  <c r="AB365" i="3"/>
  <c r="AB366" i="3"/>
  <c r="AB367" i="3"/>
  <c r="AB368" i="3"/>
  <c r="AB369" i="3"/>
  <c r="AB370" i="3"/>
  <c r="AB371" i="3"/>
  <c r="AB372" i="3"/>
  <c r="AB373" i="3"/>
  <c r="AB374" i="3"/>
  <c r="AB375" i="3"/>
  <c r="AB376" i="3"/>
  <c r="AB377" i="3"/>
  <c r="AB378" i="3"/>
  <c r="AB379" i="3"/>
  <c r="AB380" i="3"/>
  <c r="AB381" i="3"/>
  <c r="AB382" i="3"/>
  <c r="AB383" i="3"/>
  <c r="AB384" i="3"/>
  <c r="AB385" i="3"/>
  <c r="AB386" i="3"/>
  <c r="AB387" i="3"/>
  <c r="AB388" i="3"/>
  <c r="AB389" i="3"/>
  <c r="AB390" i="3"/>
  <c r="AB391" i="3"/>
  <c r="AB392" i="3"/>
  <c r="AB393" i="3"/>
  <c r="AB394" i="3"/>
  <c r="AB395" i="3"/>
  <c r="AB396" i="3"/>
  <c r="AB397" i="3"/>
  <c r="AB398" i="3"/>
  <c r="AB399" i="3"/>
  <c r="AB400" i="3"/>
  <c r="AB401" i="3"/>
  <c r="AB402" i="3"/>
  <c r="AB403" i="3"/>
  <c r="AB404" i="3"/>
  <c r="AB405" i="3"/>
  <c r="AB406" i="3"/>
  <c r="AB407" i="3"/>
  <c r="AB408" i="3"/>
  <c r="AB409" i="3"/>
  <c r="AB410" i="3"/>
  <c r="AB411" i="3"/>
  <c r="AB412" i="3"/>
  <c r="AB413" i="3"/>
  <c r="AB414" i="3"/>
  <c r="AB415" i="3"/>
  <c r="AB416" i="3"/>
  <c r="AB417" i="3"/>
  <c r="AB418" i="3"/>
  <c r="AB419" i="3"/>
  <c r="AB420" i="3"/>
  <c r="AB421" i="3"/>
  <c r="AB422" i="3"/>
  <c r="AB423" i="3"/>
  <c r="AB424" i="3"/>
  <c r="AB425" i="3"/>
  <c r="AB426" i="3"/>
  <c r="AB427" i="3"/>
  <c r="AB428" i="3"/>
  <c r="AB429" i="3"/>
  <c r="AB430" i="3"/>
  <c r="AB431" i="3"/>
  <c r="AB432" i="3"/>
  <c r="AB433" i="3"/>
  <c r="AB434" i="3"/>
  <c r="AB435" i="3"/>
  <c r="AB436" i="3"/>
  <c r="AB437" i="3"/>
  <c r="AB438" i="3"/>
  <c r="AB439" i="3"/>
  <c r="AB440" i="3"/>
  <c r="AB441" i="3"/>
  <c r="AB442" i="3"/>
  <c r="AB443" i="3"/>
  <c r="AB444" i="3"/>
  <c r="AB445" i="3"/>
  <c r="AB446" i="3"/>
  <c r="AB447" i="3"/>
  <c r="AB448" i="3"/>
  <c r="AB449" i="3"/>
  <c r="AB450" i="3"/>
  <c r="AB451" i="3"/>
  <c r="AB452" i="3"/>
  <c r="AB453" i="3"/>
  <c r="AB454" i="3"/>
  <c r="AB455" i="3"/>
  <c r="AB456" i="3"/>
  <c r="AB457" i="3"/>
  <c r="AB458" i="3"/>
  <c r="AB459" i="3"/>
  <c r="AB460" i="3"/>
  <c r="AB461" i="3"/>
  <c r="AB462" i="3"/>
  <c r="AB463" i="3"/>
  <c r="AB464" i="3"/>
  <c r="AB465" i="3"/>
  <c r="AB466" i="3"/>
  <c r="AB467" i="3"/>
  <c r="AB468" i="3"/>
  <c r="AB469" i="3"/>
  <c r="AB470" i="3"/>
  <c r="AB471" i="3"/>
  <c r="AB472" i="3"/>
  <c r="AB473" i="3"/>
  <c r="AB474" i="3"/>
  <c r="AB475" i="3"/>
  <c r="AB476" i="3"/>
  <c r="AB477" i="3"/>
  <c r="AB478" i="3"/>
  <c r="AB479" i="3"/>
  <c r="AB480" i="3"/>
  <c r="AB481" i="3"/>
  <c r="AB482" i="3"/>
  <c r="AB483" i="3"/>
  <c r="AB484" i="3"/>
  <c r="AB485" i="3"/>
  <c r="AB486" i="3"/>
  <c r="AB487" i="3"/>
  <c r="AB488" i="3"/>
  <c r="AB489" i="3"/>
  <c r="AB490" i="3"/>
  <c r="AB491" i="3"/>
  <c r="AB492" i="3"/>
  <c r="AB493" i="3"/>
  <c r="AB494" i="3"/>
  <c r="AB495" i="3"/>
  <c r="AB496" i="3"/>
  <c r="AB497" i="3"/>
  <c r="AB498" i="3"/>
  <c r="AB499" i="3"/>
  <c r="AB500" i="3"/>
  <c r="AB501" i="3"/>
  <c r="AB502" i="3"/>
  <c r="AB503" i="3"/>
  <c r="AB504" i="3"/>
  <c r="AB505" i="3"/>
  <c r="AB506" i="3"/>
  <c r="AB507" i="3"/>
  <c r="AB508" i="3"/>
  <c r="AB509" i="3"/>
  <c r="AB510" i="3"/>
  <c r="AB511" i="3"/>
  <c r="AB512" i="3"/>
  <c r="AB513" i="3"/>
  <c r="AB514" i="3"/>
  <c r="AB515" i="3"/>
  <c r="AB516" i="3"/>
  <c r="AB517" i="3"/>
  <c r="AB518" i="3"/>
  <c r="AB519" i="3"/>
  <c r="AB520" i="3"/>
  <c r="AB521" i="3"/>
  <c r="AB522" i="3"/>
  <c r="AB523" i="3"/>
  <c r="AB524" i="3"/>
  <c r="AB525" i="3"/>
  <c r="AB526" i="3"/>
  <c r="AB527" i="3"/>
  <c r="AB528" i="3"/>
  <c r="AB529" i="3"/>
  <c r="AB530" i="3"/>
  <c r="AB531" i="3"/>
  <c r="AB532" i="3"/>
  <c r="AA256" i="3"/>
  <c r="AA257" i="3"/>
  <c r="AA258" i="3" s="1"/>
  <c r="AA259" i="3" s="1"/>
  <c r="AA260" i="3" s="1"/>
  <c r="AA261" i="3" s="1"/>
  <c r="AA262" i="3" s="1"/>
  <c r="AA263" i="3" s="1"/>
  <c r="AA264" i="3"/>
  <c r="AA265" i="3"/>
  <c r="AA266" i="3"/>
  <c r="AA267" i="3"/>
  <c r="AA268" i="3"/>
  <c r="AA269" i="3"/>
  <c r="AA270" i="3"/>
  <c r="AA271" i="3"/>
  <c r="AA272" i="3" s="1"/>
  <c r="AA273" i="3" s="1"/>
  <c r="AA274" i="3" s="1"/>
  <c r="AA275" i="3" s="1"/>
  <c r="AA276" i="3" s="1"/>
  <c r="AA277" i="3" s="1"/>
  <c r="AA278" i="3" s="1"/>
  <c r="AA279" i="3" s="1"/>
  <c r="AA280" i="3"/>
  <c r="AA281" i="3"/>
  <c r="AA282" i="3"/>
  <c r="AA283" i="3"/>
  <c r="AA284" i="3"/>
  <c r="AA285" i="3"/>
  <c r="AA286" i="3" s="1"/>
  <c r="AA287" i="3" s="1"/>
  <c r="AA288" i="3" s="1"/>
  <c r="AA289" i="3" s="1"/>
  <c r="AA290" i="3" s="1"/>
  <c r="AA291" i="3" s="1"/>
  <c r="AA292" i="3" s="1"/>
  <c r="AA293" i="3" s="1"/>
  <c r="AA294" i="3" s="1"/>
  <c r="AA295" i="3" s="1"/>
  <c r="AA296" i="3" s="1"/>
  <c r="AA297" i="3" s="1"/>
  <c r="AA298" i="3" s="1"/>
  <c r="AA299" i="3" s="1"/>
  <c r="AA300" i="3" s="1"/>
  <c r="AA301" i="3" s="1"/>
  <c r="AA302" i="3" s="1"/>
  <c r="AA303" i="3" s="1"/>
  <c r="AA304" i="3" s="1"/>
  <c r="AA305" i="3" s="1"/>
  <c r="AA306" i="3" s="1"/>
  <c r="AA307" i="3" s="1"/>
  <c r="AA308" i="3" s="1"/>
  <c r="AA309" i="3" s="1"/>
  <c r="AA310" i="3" s="1"/>
  <c r="AA311" i="3" s="1"/>
  <c r="AA312" i="3" s="1"/>
  <c r="AA313" i="3" s="1"/>
  <c r="AA314" i="3" s="1"/>
  <c r="AA315" i="3" s="1"/>
  <c r="AA316" i="3" s="1"/>
  <c r="AA317" i="3" s="1"/>
  <c r="AA318" i="3" s="1"/>
  <c r="AA319" i="3" s="1"/>
  <c r="AA320" i="3" s="1"/>
  <c r="AA321" i="3" s="1"/>
  <c r="AA322" i="3" s="1"/>
  <c r="AA323" i="3" s="1"/>
  <c r="AA324" i="3" s="1"/>
  <c r="AA325" i="3" s="1"/>
  <c r="AA326" i="3" s="1"/>
  <c r="AA327" i="3" s="1"/>
  <c r="AA328" i="3" s="1"/>
  <c r="AA329" i="3" s="1"/>
  <c r="AA330" i="3" s="1"/>
  <c r="AA331" i="3" s="1"/>
  <c r="AA332" i="3" s="1"/>
  <c r="AA333" i="3" s="1"/>
  <c r="AA334" i="3" s="1"/>
  <c r="AA335" i="3" s="1"/>
  <c r="AA336" i="3" s="1"/>
  <c r="AA337" i="3" s="1"/>
  <c r="AA338" i="3" s="1"/>
  <c r="AA339" i="3" s="1"/>
  <c r="AA340" i="3" s="1"/>
  <c r="AA341" i="3" s="1"/>
  <c r="AA342" i="3" s="1"/>
  <c r="AA343" i="3" s="1"/>
  <c r="AA344" i="3" s="1"/>
  <c r="AA345" i="3" s="1"/>
  <c r="AA346" i="3" s="1"/>
  <c r="AA347" i="3" s="1"/>
  <c r="AA348" i="3" s="1"/>
  <c r="AA349" i="3" s="1"/>
  <c r="AA350" i="3" s="1"/>
  <c r="AA351" i="3" s="1"/>
  <c r="AA352" i="3" s="1"/>
  <c r="AA353" i="3" s="1"/>
  <c r="AA354" i="3" s="1"/>
  <c r="AA355" i="3" s="1"/>
  <c r="AA356" i="3" s="1"/>
  <c r="AA357" i="3" s="1"/>
  <c r="AA358" i="3" s="1"/>
  <c r="AA359" i="3" s="1"/>
  <c r="AA360" i="3" s="1"/>
  <c r="AA361" i="3" s="1"/>
  <c r="AA362" i="3" s="1"/>
  <c r="AA363" i="3" s="1"/>
  <c r="AA364" i="3" s="1"/>
  <c r="AA365" i="3" s="1"/>
  <c r="AA366" i="3" s="1"/>
  <c r="AA367" i="3" s="1"/>
  <c r="AA368" i="3" s="1"/>
  <c r="AA369" i="3" s="1"/>
  <c r="AA370" i="3" s="1"/>
  <c r="AA371" i="3" s="1"/>
  <c r="AA372" i="3" s="1"/>
  <c r="AA373" i="3" s="1"/>
  <c r="AA374" i="3" s="1"/>
  <c r="AA375" i="3" s="1"/>
  <c r="AA376" i="3" s="1"/>
  <c r="AA377" i="3" s="1"/>
  <c r="AA378" i="3" s="1"/>
  <c r="AA379" i="3" s="1"/>
  <c r="AA380" i="3" s="1"/>
  <c r="AA381" i="3" s="1"/>
  <c r="AA382" i="3" s="1"/>
  <c r="AA383" i="3" s="1"/>
  <c r="AA384" i="3" s="1"/>
  <c r="AA385" i="3" s="1"/>
  <c r="AA386" i="3" s="1"/>
  <c r="AA387" i="3" s="1"/>
  <c r="AA388" i="3" s="1"/>
  <c r="AA389" i="3" s="1"/>
  <c r="AA390" i="3" s="1"/>
  <c r="AA391" i="3" s="1"/>
  <c r="AA392" i="3" s="1"/>
  <c r="AA393" i="3" s="1"/>
  <c r="AA394" i="3" s="1"/>
  <c r="AA395" i="3" s="1"/>
  <c r="AA396" i="3" s="1"/>
  <c r="AA397" i="3" s="1"/>
  <c r="AA398" i="3" s="1"/>
  <c r="AA399" i="3" s="1"/>
  <c r="AA400" i="3" s="1"/>
  <c r="AA401" i="3" s="1"/>
  <c r="AA402" i="3" s="1"/>
  <c r="AA403" i="3" s="1"/>
  <c r="AA404" i="3" s="1"/>
  <c r="AA405" i="3" s="1"/>
  <c r="AA406" i="3" s="1"/>
  <c r="AA407" i="3" s="1"/>
  <c r="AA408" i="3" s="1"/>
  <c r="AA409" i="3" s="1"/>
  <c r="AA410" i="3" s="1"/>
  <c r="AA411" i="3" s="1"/>
  <c r="AA412" i="3" s="1"/>
  <c r="AA413" i="3" s="1"/>
  <c r="AA414" i="3" s="1"/>
  <c r="AA415" i="3" s="1"/>
  <c r="AA416" i="3" s="1"/>
  <c r="AA417" i="3" s="1"/>
  <c r="AA418" i="3" s="1"/>
  <c r="AA419" i="3" s="1"/>
  <c r="AA420" i="3" s="1"/>
  <c r="AA421" i="3" s="1"/>
  <c r="AA422" i="3" s="1"/>
  <c r="AA423" i="3" s="1"/>
  <c r="AA424" i="3" s="1"/>
  <c r="AA425" i="3" s="1"/>
  <c r="AA426" i="3" s="1"/>
  <c r="AA427" i="3" s="1"/>
  <c r="AA428" i="3" s="1"/>
  <c r="AA429" i="3" s="1"/>
  <c r="AA430" i="3" s="1"/>
  <c r="AA431" i="3" s="1"/>
  <c r="AA432" i="3" s="1"/>
  <c r="AA433" i="3" s="1"/>
  <c r="AA434" i="3" s="1"/>
  <c r="AA435" i="3" s="1"/>
  <c r="AA436" i="3" s="1"/>
  <c r="AA437" i="3" s="1"/>
  <c r="AA438" i="3" s="1"/>
  <c r="AA439" i="3" s="1"/>
  <c r="AA440" i="3" s="1"/>
  <c r="AA441" i="3" s="1"/>
  <c r="AA442" i="3" s="1"/>
  <c r="AA443" i="3" s="1"/>
  <c r="AA444" i="3" s="1"/>
  <c r="AA445" i="3" s="1"/>
  <c r="AA446" i="3" s="1"/>
  <c r="AA447" i="3" s="1"/>
  <c r="AA448" i="3" s="1"/>
  <c r="AA449" i="3" s="1"/>
  <c r="AA450" i="3" s="1"/>
  <c r="AA451" i="3" s="1"/>
  <c r="AA452" i="3" s="1"/>
  <c r="AA453" i="3" s="1"/>
  <c r="AA454" i="3" s="1"/>
  <c r="AA455" i="3" s="1"/>
  <c r="AA456" i="3" s="1"/>
  <c r="AA457" i="3" s="1"/>
  <c r="AA458" i="3" s="1"/>
  <c r="AA459" i="3" s="1"/>
  <c r="AA460" i="3" s="1"/>
  <c r="AA461" i="3" s="1"/>
  <c r="AA462" i="3" s="1"/>
  <c r="AA463" i="3" s="1"/>
  <c r="AA464" i="3" s="1"/>
  <c r="AA465" i="3" s="1"/>
  <c r="AA466" i="3" s="1"/>
  <c r="AA467" i="3" s="1"/>
  <c r="AA468" i="3" s="1"/>
  <c r="AA469" i="3" s="1"/>
  <c r="AA470" i="3" s="1"/>
  <c r="AA471" i="3" s="1"/>
  <c r="AA472" i="3" s="1"/>
  <c r="AA473" i="3" s="1"/>
  <c r="AA474" i="3" s="1"/>
  <c r="AA475" i="3" s="1"/>
  <c r="AA476" i="3" s="1"/>
  <c r="AA477" i="3" s="1"/>
  <c r="AA478" i="3" s="1"/>
  <c r="AA479" i="3" s="1"/>
  <c r="AA480" i="3" s="1"/>
  <c r="AA481" i="3" s="1"/>
  <c r="AA482" i="3" s="1"/>
  <c r="AA483" i="3" s="1"/>
  <c r="AA484" i="3" s="1"/>
  <c r="AA485" i="3" s="1"/>
  <c r="AA486" i="3" s="1"/>
  <c r="AA487" i="3" s="1"/>
  <c r="AA488" i="3" s="1"/>
  <c r="AA489" i="3" s="1"/>
  <c r="AA490" i="3" s="1"/>
  <c r="AA491" i="3" s="1"/>
  <c r="AA492" i="3" s="1"/>
  <c r="AA493" i="3" s="1"/>
  <c r="AA494" i="3" s="1"/>
  <c r="AA495" i="3" s="1"/>
  <c r="AA496" i="3" s="1"/>
  <c r="AA497" i="3" s="1"/>
  <c r="AA498" i="3" s="1"/>
  <c r="AA499" i="3" s="1"/>
  <c r="AA500" i="3" s="1"/>
  <c r="AA501" i="3" s="1"/>
  <c r="AA502" i="3" s="1"/>
  <c r="AA503" i="3" s="1"/>
  <c r="AA504" i="3" s="1"/>
  <c r="AA505" i="3" s="1"/>
  <c r="AA506" i="3" s="1"/>
  <c r="AA507" i="3" s="1"/>
  <c r="AA508" i="3" s="1"/>
  <c r="AA509" i="3" s="1"/>
  <c r="AA510" i="3" s="1"/>
  <c r="AA511" i="3" s="1"/>
  <c r="AA512" i="3" s="1"/>
  <c r="AA513" i="3" s="1"/>
  <c r="AA514" i="3" s="1"/>
  <c r="AA515" i="3" s="1"/>
  <c r="AA516" i="3" s="1"/>
  <c r="AA517" i="3" s="1"/>
  <c r="AA518" i="3" s="1"/>
  <c r="AA519" i="3" s="1"/>
  <c r="AA520" i="3" s="1"/>
  <c r="AA521" i="3" s="1"/>
  <c r="AA522" i="3" s="1"/>
  <c r="AA523" i="3" s="1"/>
  <c r="AA524" i="3" s="1"/>
  <c r="AA525" i="3" s="1"/>
  <c r="AA526" i="3" s="1"/>
  <c r="AA527" i="3" s="1"/>
  <c r="AA528" i="3" s="1"/>
  <c r="AA529" i="3" s="1"/>
  <c r="AA530" i="3" s="1"/>
  <c r="AA531" i="3" s="1"/>
  <c r="AA532" i="3" s="1"/>
  <c r="AB130" i="3"/>
  <c r="AB131" i="3"/>
  <c r="AB132" i="3"/>
  <c r="AB133" i="3"/>
  <c r="AB134" i="3"/>
  <c r="AB135" i="3"/>
  <c r="AB136" i="3"/>
  <c r="AB137" i="3"/>
  <c r="AB138" i="3"/>
  <c r="AB139" i="3"/>
  <c r="AB140" i="3"/>
  <c r="AB141" i="3"/>
  <c r="AB142" i="3"/>
  <c r="AB143" i="3"/>
  <c r="AB144" i="3"/>
  <c r="AB145" i="3"/>
  <c r="AB146" i="3"/>
  <c r="AB147" i="3"/>
  <c r="AB148" i="3"/>
  <c r="AB149" i="3"/>
  <c r="AB150" i="3"/>
  <c r="AB151" i="3"/>
  <c r="AB152" i="3"/>
  <c r="AB153" i="3"/>
  <c r="AB154" i="3"/>
  <c r="AB155" i="3"/>
  <c r="AB156" i="3"/>
  <c r="AB157" i="3"/>
  <c r="AB158" i="3"/>
  <c r="AB159" i="3"/>
  <c r="AB160" i="3"/>
  <c r="AB161" i="3"/>
  <c r="AB162" i="3"/>
  <c r="AB163" i="3"/>
  <c r="AB164" i="3"/>
  <c r="AB165" i="3"/>
  <c r="AB166" i="3"/>
  <c r="AB167" i="3"/>
  <c r="AB168" i="3"/>
  <c r="AB169" i="3"/>
  <c r="AB170" i="3"/>
  <c r="AB171" i="3"/>
  <c r="AB172" i="3"/>
  <c r="AB173" i="3"/>
  <c r="AB174" i="3"/>
  <c r="AB175" i="3"/>
  <c r="AB176" i="3"/>
  <c r="AB177" i="3"/>
  <c r="AB178" i="3"/>
  <c r="AB179" i="3"/>
  <c r="AB180" i="3"/>
  <c r="AB181" i="3"/>
  <c r="AB182" i="3"/>
  <c r="AB183" i="3"/>
  <c r="AB184" i="3"/>
  <c r="AB185" i="3"/>
  <c r="AB186" i="3"/>
  <c r="AB187" i="3"/>
  <c r="AB188" i="3"/>
  <c r="AB189" i="3"/>
  <c r="AB190" i="3"/>
  <c r="AB191" i="3"/>
  <c r="AB192" i="3"/>
  <c r="AB193" i="3"/>
  <c r="AB194" i="3"/>
  <c r="AB195" i="3"/>
  <c r="AB196" i="3"/>
  <c r="AB197" i="3"/>
  <c r="AB198" i="3"/>
  <c r="AB199" i="3"/>
  <c r="AB200" i="3"/>
  <c r="AB201" i="3"/>
  <c r="AB202" i="3"/>
  <c r="AB203" i="3"/>
  <c r="AB204" i="3"/>
  <c r="AB205" i="3"/>
  <c r="AB206" i="3"/>
  <c r="AB207" i="3"/>
  <c r="AB208" i="3"/>
  <c r="AB209" i="3"/>
  <c r="AB210" i="3"/>
  <c r="AB211" i="3"/>
  <c r="AB212" i="3"/>
  <c r="AB213" i="3"/>
  <c r="AB214" i="3"/>
  <c r="AB215" i="3"/>
  <c r="AB216" i="3"/>
  <c r="AB217" i="3"/>
  <c r="AB218" i="3"/>
  <c r="AB219" i="3"/>
  <c r="AB220" i="3"/>
  <c r="AB221" i="3"/>
  <c r="AB222" i="3"/>
  <c r="AB223" i="3"/>
  <c r="AB224" i="3"/>
  <c r="AB225" i="3"/>
  <c r="AB226" i="3"/>
  <c r="AB227" i="3"/>
  <c r="AB228" i="3"/>
  <c r="AB229" i="3"/>
  <c r="AB230" i="3"/>
  <c r="AB231" i="3"/>
  <c r="AB232" i="3"/>
  <c r="AB233" i="3"/>
  <c r="AB234" i="3"/>
  <c r="AB235" i="3"/>
  <c r="AB236" i="3"/>
  <c r="AB237" i="3"/>
  <c r="AB238" i="3"/>
  <c r="AB239" i="3"/>
  <c r="AB240" i="3"/>
  <c r="AB241" i="3"/>
  <c r="AB242" i="3"/>
  <c r="AB243" i="3"/>
  <c r="AB244" i="3"/>
  <c r="AB245" i="3"/>
  <c r="AB246" i="3"/>
  <c r="AB247" i="3"/>
  <c r="AB248" i="3"/>
  <c r="AB249" i="3"/>
  <c r="AB250" i="3"/>
  <c r="AB251" i="3"/>
  <c r="AB252" i="3"/>
  <c r="AB253" i="3"/>
  <c r="AB254" i="3"/>
  <c r="AB255" i="3"/>
  <c r="AA130" i="3"/>
  <c r="AA131" i="3" s="1"/>
  <c r="AA132" i="3" s="1"/>
  <c r="AA133" i="3" s="1"/>
  <c r="AA134" i="3" s="1"/>
  <c r="AA135" i="3" s="1"/>
  <c r="AA136" i="3" s="1"/>
  <c r="AA137" i="3" s="1"/>
  <c r="AA138" i="3" s="1"/>
  <c r="AA139" i="3" s="1"/>
  <c r="AA140" i="3" s="1"/>
  <c r="AA141" i="3" s="1"/>
  <c r="AA142" i="3" s="1"/>
  <c r="AA143" i="3" s="1"/>
  <c r="AA144" i="3"/>
  <c r="AA145" i="3"/>
  <c r="AA146" i="3" s="1"/>
  <c r="AA147" i="3" s="1"/>
  <c r="AA148" i="3" s="1"/>
  <c r="AA149" i="3" s="1"/>
  <c r="AA150" i="3" s="1"/>
  <c r="AA151" i="3" s="1"/>
  <c r="AA152" i="3" s="1"/>
  <c r="AA153" i="3" s="1"/>
  <c r="AA154" i="3" s="1"/>
  <c r="AA155" i="3" s="1"/>
  <c r="AA156" i="3" s="1"/>
  <c r="AA157" i="3" s="1"/>
  <c r="AA158" i="3" s="1"/>
  <c r="AA159" i="3" s="1"/>
  <c r="AA160" i="3"/>
  <c r="AA161" i="3"/>
  <c r="AA162" i="3" s="1"/>
  <c r="AA163" i="3" s="1"/>
  <c r="AA164" i="3" s="1"/>
  <c r="AA165" i="3" s="1"/>
  <c r="AA166" i="3" s="1"/>
  <c r="AA167" i="3" s="1"/>
  <c r="AA168" i="3" s="1"/>
  <c r="AA169" i="3" s="1"/>
  <c r="AA170" i="3" s="1"/>
  <c r="AA171" i="3" s="1"/>
  <c r="AA172" i="3" s="1"/>
  <c r="AA173" i="3" s="1"/>
  <c r="AA174" i="3" s="1"/>
  <c r="AA175" i="3"/>
  <c r="AA176" i="3"/>
  <c r="AA177" i="3"/>
  <c r="AA178" i="3" s="1"/>
  <c r="AA179" i="3" s="1"/>
  <c r="AA180" i="3" s="1"/>
  <c r="AA181" i="3" s="1"/>
  <c r="AA182" i="3" s="1"/>
  <c r="AA183" i="3" s="1"/>
  <c r="AA184" i="3" s="1"/>
  <c r="AA185" i="3" s="1"/>
  <c r="AA186" i="3" s="1"/>
  <c r="AA187" i="3" s="1"/>
  <c r="AA188" i="3" s="1"/>
  <c r="AA189" i="3" s="1"/>
  <c r="AA190" i="3" s="1"/>
  <c r="AA191" i="3" s="1"/>
  <c r="AA192" i="3"/>
  <c r="AA193" i="3"/>
  <c r="AA194" i="3" s="1"/>
  <c r="AA195" i="3" s="1"/>
  <c r="AA196" i="3" s="1"/>
  <c r="AA197" i="3" s="1"/>
  <c r="AA198" i="3" s="1"/>
  <c r="AA199" i="3" s="1"/>
  <c r="AA200" i="3" s="1"/>
  <c r="AA201" i="3" s="1"/>
  <c r="AA202" i="3" s="1"/>
  <c r="AA203" i="3" s="1"/>
  <c r="AA204" i="3" s="1"/>
  <c r="AA205" i="3" s="1"/>
  <c r="AA206" i="3" s="1"/>
  <c r="AA207" i="3" s="1"/>
  <c r="AA208" i="3"/>
  <c r="AA209" i="3"/>
  <c r="AA210" i="3" s="1"/>
  <c r="AA211" i="3" s="1"/>
  <c r="AA212" i="3" s="1"/>
  <c r="AA213" i="3" s="1"/>
  <c r="AA214" i="3" s="1"/>
  <c r="AA215" i="3" s="1"/>
  <c r="AA216" i="3" s="1"/>
  <c r="AA217" i="3" s="1"/>
  <c r="AA218" i="3" s="1"/>
  <c r="AA219" i="3" s="1"/>
  <c r="AA220" i="3" s="1"/>
  <c r="AA221" i="3" s="1"/>
  <c r="AA222" i="3" s="1"/>
  <c r="AA223" i="3" s="1"/>
  <c r="AA224" i="3"/>
  <c r="AA225" i="3"/>
  <c r="AA226" i="3" s="1"/>
  <c r="AA227" i="3" s="1"/>
  <c r="AA228" i="3" s="1"/>
  <c r="AA229" i="3" s="1"/>
  <c r="AA230" i="3" s="1"/>
  <c r="AA231" i="3" s="1"/>
  <c r="AA232" i="3" s="1"/>
  <c r="AA233" i="3" s="1"/>
  <c r="AA234" i="3" s="1"/>
  <c r="AA235" i="3" s="1"/>
  <c r="AA236" i="3" s="1"/>
  <c r="AA237" i="3" s="1"/>
  <c r="AA238" i="3" s="1"/>
  <c r="AA239" i="3"/>
  <c r="AA240" i="3"/>
  <c r="AA241" i="3" s="1"/>
  <c r="AA242" i="3" s="1"/>
  <c r="AA243" i="3" s="1"/>
  <c r="AA244" i="3" s="1"/>
  <c r="AA245" i="3" s="1"/>
  <c r="AA246" i="3" s="1"/>
  <c r="AA247" i="3" s="1"/>
  <c r="AA248" i="3" s="1"/>
  <c r="AA249" i="3" s="1"/>
  <c r="AA250" i="3" s="1"/>
  <c r="AA251" i="3" s="1"/>
  <c r="AA252" i="3" s="1"/>
  <c r="AA253" i="3" s="1"/>
  <c r="AA254" i="3" s="1"/>
  <c r="AA255" i="3" s="1"/>
  <c r="AB101" i="3"/>
  <c r="AB102" i="3"/>
  <c r="AB103" i="3"/>
  <c r="AB104" i="3"/>
  <c r="AB105" i="3"/>
  <c r="AB106" i="3"/>
  <c r="AB107" i="3"/>
  <c r="AB108" i="3"/>
  <c r="AB109" i="3"/>
  <c r="AB110" i="3"/>
  <c r="AB111" i="3"/>
  <c r="AB112" i="3"/>
  <c r="AB113" i="3"/>
  <c r="AB114" i="3"/>
  <c r="AB115" i="3"/>
  <c r="AB116" i="3"/>
  <c r="AB117" i="3"/>
  <c r="AB118" i="3"/>
  <c r="AB119" i="3"/>
  <c r="AB120" i="3"/>
  <c r="AB121" i="3"/>
  <c r="AB122" i="3"/>
  <c r="AB123" i="3"/>
  <c r="AB124" i="3"/>
  <c r="AB125" i="3"/>
  <c r="AB126" i="3"/>
  <c r="AB127" i="3"/>
  <c r="AB128" i="3"/>
  <c r="AB129" i="3"/>
  <c r="AA101" i="3"/>
  <c r="AA102" i="3"/>
  <c r="AA103" i="3"/>
  <c r="AA104" i="3"/>
  <c r="AA105" i="3"/>
  <c r="AA106" i="3"/>
  <c r="AA107" i="3"/>
  <c r="AA108" i="3"/>
  <c r="AA109" i="3"/>
  <c r="AA110" i="3"/>
  <c r="AA111" i="3"/>
  <c r="AA112" i="3"/>
  <c r="AA113" i="3"/>
  <c r="AA114" i="3"/>
  <c r="AA115" i="3"/>
  <c r="AA116" i="3"/>
  <c r="AA117" i="3" s="1"/>
  <c r="AA118" i="3" s="1"/>
  <c r="AA119" i="3" s="1"/>
  <c r="AA120" i="3" s="1"/>
  <c r="AA121" i="3" s="1"/>
  <c r="AA122" i="3" s="1"/>
  <c r="AA123" i="3" s="1"/>
  <c r="AA124" i="3" s="1"/>
  <c r="AA125" i="3" s="1"/>
  <c r="AA126" i="3" s="1"/>
  <c r="AA127" i="3" s="1"/>
  <c r="AA128" i="3" s="1"/>
  <c r="AA129" i="3" s="1"/>
  <c r="AA60" i="3"/>
  <c r="AA61" i="3"/>
  <c r="AA62" i="3" s="1"/>
  <c r="AA59" i="3"/>
  <c r="AB4" i="3"/>
  <c r="AB5" i="3"/>
  <c r="AB6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C59" i="3" s="1"/>
  <c r="AB60" i="3"/>
  <c r="AB61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0" i="3"/>
  <c r="AA51" i="3"/>
  <c r="AA52" i="3"/>
  <c r="AA53" i="3"/>
  <c r="AA54" i="3"/>
  <c r="AA55" i="3"/>
  <c r="AA56" i="3"/>
  <c r="AA57" i="3"/>
  <c r="AA58" i="3"/>
  <c r="AA3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33" i="3"/>
  <c r="W34" i="3"/>
  <c r="W35" i="3"/>
  <c r="W36" i="3"/>
  <c r="W37" i="3"/>
  <c r="W38" i="3"/>
  <c r="W39" i="3"/>
  <c r="W40" i="3"/>
  <c r="W41" i="3"/>
  <c r="W42" i="3"/>
  <c r="W43" i="3"/>
  <c r="W44" i="3"/>
  <c r="W45" i="3"/>
  <c r="W46" i="3"/>
  <c r="W47" i="3"/>
  <c r="W48" i="3"/>
  <c r="W49" i="3"/>
  <c r="W50" i="3"/>
  <c r="W51" i="3"/>
  <c r="W52" i="3"/>
  <c r="W53" i="3"/>
  <c r="W54" i="3"/>
  <c r="W55" i="3"/>
  <c r="W56" i="3"/>
  <c r="W57" i="3"/>
  <c r="W58" i="3"/>
  <c r="S2" i="3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 s="1"/>
  <c r="AB62" i="1" s="1"/>
  <c r="AB63" i="1" s="1"/>
  <c r="U60" i="5"/>
  <c r="V5" i="5"/>
  <c r="V6" i="5"/>
  <c r="V7" i="5"/>
  <c r="V8" i="5"/>
  <c r="V9" i="5"/>
  <c r="V10" i="5"/>
  <c r="V11" i="5"/>
  <c r="V12" i="5"/>
  <c r="V13" i="5"/>
  <c r="V14" i="5"/>
  <c r="V15" i="5"/>
  <c r="V16" i="5"/>
  <c r="V17" i="5"/>
  <c r="V18" i="5"/>
  <c r="V19" i="5"/>
  <c r="V20" i="5"/>
  <c r="V21" i="5" s="1"/>
  <c r="V22" i="5" s="1"/>
  <c r="V23" i="5" s="1"/>
  <c r="V24" i="5" s="1"/>
  <c r="V25" i="5" s="1"/>
  <c r="V26" i="5" s="1"/>
  <c r="V27" i="5" s="1"/>
  <c r="V28" i="5" s="1"/>
  <c r="V29" i="5" s="1"/>
  <c r="V30" i="5" s="1"/>
  <c r="V31" i="5" s="1"/>
  <c r="V32" i="5" s="1"/>
  <c r="V33" i="5" s="1"/>
  <c r="V34" i="5" s="1"/>
  <c r="V35" i="5" s="1"/>
  <c r="V36" i="5" s="1"/>
  <c r="V37" i="5" s="1"/>
  <c r="V38" i="5" s="1"/>
  <c r="V39" i="5" s="1"/>
  <c r="V40" i="5" s="1"/>
  <c r="V41" i="5" s="1"/>
  <c r="V42" i="5" s="1"/>
  <c r="V43" i="5" s="1"/>
  <c r="V44" i="5" s="1"/>
  <c r="V45" i="5" s="1"/>
  <c r="V46" i="5" s="1"/>
  <c r="V47" i="5" s="1"/>
  <c r="V48" i="5" s="1"/>
  <c r="V49" i="5" s="1"/>
  <c r="V50" i="5" s="1"/>
  <c r="V51" i="5" s="1"/>
  <c r="V52" i="5" s="1"/>
  <c r="V53" i="5" s="1"/>
  <c r="V54" i="5" s="1"/>
  <c r="V55" i="5" s="1"/>
  <c r="V56" i="5" s="1"/>
  <c r="V57" i="5" s="1"/>
  <c r="V58" i="5" s="1"/>
  <c r="V59" i="5" s="1"/>
  <c r="V4" i="5"/>
  <c r="V3" i="5"/>
  <c r="U4" i="5"/>
  <c r="U5" i="5"/>
  <c r="U6" i="5"/>
  <c r="U7" i="5"/>
  <c r="U8" i="5"/>
  <c r="U9" i="5"/>
  <c r="U10" i="5"/>
  <c r="U11" i="5"/>
  <c r="U12" i="5"/>
  <c r="U13" i="5"/>
  <c r="U14" i="5"/>
  <c r="U15" i="5"/>
  <c r="U16" i="5"/>
  <c r="U17" i="5"/>
  <c r="U18" i="5"/>
  <c r="U19" i="5"/>
  <c r="U20" i="5"/>
  <c r="U21" i="5"/>
  <c r="U22" i="5"/>
  <c r="U23" i="5"/>
  <c r="U24" i="5"/>
  <c r="U25" i="5"/>
  <c r="U26" i="5"/>
  <c r="U27" i="5"/>
  <c r="U28" i="5"/>
  <c r="U29" i="5"/>
  <c r="U30" i="5"/>
  <c r="U31" i="5"/>
  <c r="U32" i="5"/>
  <c r="U33" i="5"/>
  <c r="U34" i="5"/>
  <c r="U35" i="5"/>
  <c r="U36" i="5"/>
  <c r="U37" i="5"/>
  <c r="U38" i="5"/>
  <c r="U39" i="5"/>
  <c r="U40" i="5"/>
  <c r="U41" i="5"/>
  <c r="U42" i="5"/>
  <c r="U43" i="5"/>
  <c r="U44" i="5"/>
  <c r="U45" i="5"/>
  <c r="U46" i="5"/>
  <c r="U47" i="5"/>
  <c r="U48" i="5"/>
  <c r="U49" i="5"/>
  <c r="U50" i="5"/>
  <c r="U51" i="5"/>
  <c r="U52" i="5"/>
  <c r="U53" i="5"/>
  <c r="U54" i="5"/>
  <c r="U55" i="5"/>
  <c r="U56" i="5"/>
  <c r="U57" i="5"/>
  <c r="U58" i="5"/>
  <c r="U59" i="5"/>
  <c r="U3" i="5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 s="1"/>
  <c r="X22" i="3" s="1"/>
  <c r="X23" i="3" s="1"/>
  <c r="X24" i="3" s="1"/>
  <c r="X25" i="3" s="1"/>
  <c r="X26" i="3" s="1"/>
  <c r="X27" i="3" s="1"/>
  <c r="X28" i="3" s="1"/>
  <c r="X29" i="3" s="1"/>
  <c r="X30" i="3" s="1"/>
  <c r="X31" i="3" s="1"/>
  <c r="X32" i="3" s="1"/>
  <c r="X33" i="3" s="1"/>
  <c r="X34" i="3" s="1"/>
  <c r="X35" i="3" s="1"/>
  <c r="X36" i="3" s="1"/>
  <c r="X37" i="3" s="1"/>
  <c r="X38" i="3" s="1"/>
  <c r="X39" i="3" s="1"/>
  <c r="X40" i="3" s="1"/>
  <c r="X41" i="3" s="1"/>
  <c r="X42" i="3" s="1"/>
  <c r="X43" i="3" s="1"/>
  <c r="X44" i="3" s="1"/>
  <c r="X45" i="3" s="1"/>
  <c r="X46" i="3" s="1"/>
  <c r="X47" i="3" s="1"/>
  <c r="X48" i="3" s="1"/>
  <c r="X49" i="3" s="1"/>
  <c r="X50" i="3" s="1"/>
  <c r="X51" i="3" s="1"/>
  <c r="X52" i="3" s="1"/>
  <c r="X53" i="3" s="1"/>
  <c r="X54" i="3" s="1"/>
  <c r="X55" i="3" s="1"/>
  <c r="X56" i="3" s="1"/>
  <c r="X57" i="3" s="1"/>
  <c r="X58" i="3" s="1"/>
  <c r="X4" i="3"/>
  <c r="X3" i="3"/>
  <c r="Y37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8" i="2"/>
  <c r="Y39" i="2"/>
  <c r="Y3" i="2"/>
  <c r="V5" i="2"/>
  <c r="V6" i="2" s="1"/>
  <c r="V7" i="2" s="1"/>
  <c r="V8" i="2" s="1"/>
  <c r="V9" i="2" s="1"/>
  <c r="V10" i="2" s="1"/>
  <c r="V11" i="2" s="1"/>
  <c r="V12" i="2" s="1"/>
  <c r="V13" i="2" s="1"/>
  <c r="V14" i="2" s="1"/>
  <c r="V15" i="2" s="1"/>
  <c r="V16" i="2" s="1"/>
  <c r="V17" i="2" s="1"/>
  <c r="V18" i="2" s="1"/>
  <c r="V19" i="2" s="1"/>
  <c r="V20" i="2" s="1"/>
  <c r="V21" i="2" s="1"/>
  <c r="V22" i="2" s="1"/>
  <c r="V23" i="2" s="1"/>
  <c r="V24" i="2" s="1"/>
  <c r="V25" i="2" s="1"/>
  <c r="V26" i="2" s="1"/>
  <c r="V27" i="2" s="1"/>
  <c r="V28" i="2" s="1"/>
  <c r="V29" i="2" s="1"/>
  <c r="V30" i="2" s="1"/>
  <c r="V31" i="2" s="1"/>
  <c r="V32" i="2" s="1"/>
  <c r="V33" i="2" s="1"/>
  <c r="V34" i="2" s="1"/>
  <c r="V35" i="2" s="1"/>
  <c r="V36" i="2" s="1"/>
  <c r="V37" i="2" s="1"/>
  <c r="V4" i="2"/>
  <c r="V3" i="2"/>
  <c r="U40" i="2"/>
  <c r="U41" i="2"/>
  <c r="U42" i="2" s="1"/>
  <c r="U43" i="2" s="1"/>
  <c r="U44" i="2" s="1"/>
  <c r="U45" i="2" s="1"/>
  <c r="U46" i="2" s="1"/>
  <c r="U47" i="2" s="1"/>
  <c r="U48" i="2" s="1"/>
  <c r="U49" i="2" s="1"/>
  <c r="U50" i="2" s="1"/>
  <c r="U51" i="2" s="1"/>
  <c r="U52" i="2" s="1"/>
  <c r="U53" i="2" s="1"/>
  <c r="U54" i="2" s="1"/>
  <c r="U55" i="2" s="1"/>
  <c r="U56" i="2" s="1"/>
  <c r="U57" i="2" s="1"/>
  <c r="U58" i="2" s="1"/>
  <c r="U59" i="2" s="1"/>
  <c r="U60" i="2" s="1"/>
  <c r="U61" i="2" s="1"/>
  <c r="U62" i="2" s="1"/>
  <c r="U63" i="2" s="1"/>
  <c r="U64" i="2" s="1"/>
  <c r="U65" i="2" s="1"/>
  <c r="U66" i="2" s="1"/>
  <c r="U67" i="2" s="1"/>
  <c r="U68" i="2" s="1"/>
  <c r="U69" i="2" s="1"/>
  <c r="U70" i="2" s="1"/>
  <c r="U71" i="2" s="1"/>
  <c r="U72" i="2" s="1"/>
  <c r="U73" i="2" s="1"/>
  <c r="U74" i="2" s="1"/>
  <c r="U75" i="2" s="1"/>
  <c r="U76" i="2" s="1"/>
  <c r="U77" i="2" s="1"/>
  <c r="U78" i="2" s="1"/>
  <c r="U79" i="2" s="1"/>
  <c r="U80" i="2" s="1"/>
  <c r="U81" i="2" s="1"/>
  <c r="U82" i="2" s="1"/>
  <c r="U83" i="2" s="1"/>
  <c r="U84" i="2" s="1"/>
  <c r="U85" i="2" s="1"/>
  <c r="U86" i="2" s="1"/>
  <c r="U87" i="2" s="1"/>
  <c r="U88" i="2" s="1"/>
  <c r="U89" i="2" s="1"/>
  <c r="U90" i="2" s="1"/>
  <c r="U91" i="2" s="1"/>
  <c r="U92" i="2" s="1"/>
  <c r="U93" i="2" s="1"/>
  <c r="U94" i="2" s="1"/>
  <c r="U95" i="2" s="1"/>
  <c r="U96" i="2" s="1"/>
  <c r="U97" i="2" s="1"/>
  <c r="U98" i="2" s="1"/>
  <c r="U99" i="2" s="1"/>
  <c r="U100" i="2" s="1"/>
  <c r="U101" i="2" s="1"/>
  <c r="U102" i="2" s="1"/>
  <c r="U103" i="2" s="1"/>
  <c r="U104" i="2" s="1"/>
  <c r="U105" i="2" s="1"/>
  <c r="U106" i="2" s="1"/>
  <c r="U107" i="2" s="1"/>
  <c r="U108" i="2" s="1"/>
  <c r="U109" i="2" s="1"/>
  <c r="U110" i="2" s="1"/>
  <c r="U111" i="2" s="1"/>
  <c r="U112" i="2" s="1"/>
  <c r="U113" i="2" s="1"/>
  <c r="U114" i="2" s="1"/>
  <c r="U115" i="2" s="1"/>
  <c r="U116" i="2" s="1"/>
  <c r="U117" i="2" s="1"/>
  <c r="U118" i="2" s="1"/>
  <c r="U119" i="2" s="1"/>
  <c r="U120" i="2" s="1"/>
  <c r="U121" i="2" s="1"/>
  <c r="U122" i="2" s="1"/>
  <c r="U123" i="2" s="1"/>
  <c r="U124" i="2" s="1"/>
  <c r="U125" i="2" s="1"/>
  <c r="U126" i="2" s="1"/>
  <c r="U127" i="2" s="1"/>
  <c r="U128" i="2" s="1"/>
  <c r="U129" i="2" s="1"/>
  <c r="U130" i="2" s="1"/>
  <c r="U131" i="2" s="1"/>
  <c r="U132" i="2" s="1"/>
  <c r="U133" i="2" s="1"/>
  <c r="U134" i="2" s="1"/>
  <c r="U135" i="2" s="1"/>
  <c r="U136" i="2" s="1"/>
  <c r="U137" i="2" s="1"/>
  <c r="U138" i="2" s="1"/>
  <c r="U139" i="2" s="1"/>
  <c r="U140" i="2" s="1"/>
  <c r="U141" i="2" s="1"/>
  <c r="U142" i="2" s="1"/>
  <c r="U143" i="2" s="1"/>
  <c r="U144" i="2" s="1"/>
  <c r="U145" i="2" s="1"/>
  <c r="U146" i="2" s="1"/>
  <c r="U147" i="2" s="1"/>
  <c r="U148" i="2" s="1"/>
  <c r="U149" i="2" s="1"/>
  <c r="U150" i="2" s="1"/>
  <c r="U151" i="2" s="1"/>
  <c r="U152" i="2" s="1"/>
  <c r="U153" i="2" s="1"/>
  <c r="U154" i="2" s="1"/>
  <c r="U155" i="2" s="1"/>
  <c r="U156" i="2" s="1"/>
  <c r="U157" i="2" s="1"/>
  <c r="U158" i="2" s="1"/>
  <c r="U159" i="2" s="1"/>
  <c r="U160" i="2" s="1"/>
  <c r="U161" i="2" s="1"/>
  <c r="U162" i="2" s="1"/>
  <c r="U163" i="2" s="1"/>
  <c r="U164" i="2" s="1"/>
  <c r="U165" i="2" s="1"/>
  <c r="U39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4" i="2"/>
  <c r="BY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2" i="1"/>
  <c r="AE107" i="1" l="1"/>
  <c r="AD108" i="1"/>
  <c r="AI31" i="1"/>
  <c r="AJ30" i="1"/>
  <c r="AR30" i="1" s="1"/>
  <c r="AH32" i="1"/>
  <c r="Z30" i="1"/>
  <c r="Y31" i="1"/>
  <c r="V44" i="1"/>
  <c r="AE61" i="1"/>
  <c r="AB64" i="1"/>
  <c r="V46" i="1"/>
  <c r="V30" i="1"/>
  <c r="V14" i="1"/>
  <c r="V45" i="1"/>
  <c r="V29" i="1"/>
  <c r="V13" i="1"/>
  <c r="V28" i="1"/>
  <c r="V12" i="1"/>
  <c r="Y64" i="5"/>
  <c r="AA61" i="5"/>
  <c r="AA62" i="5"/>
  <c r="AA63" i="5" s="1"/>
  <c r="AA63" i="3"/>
  <c r="AB62" i="3"/>
  <c r="AC60" i="3"/>
  <c r="AC61" i="3" s="1"/>
  <c r="V51" i="1"/>
  <c r="V24" i="1"/>
  <c r="V50" i="1"/>
  <c r="V23" i="1"/>
  <c r="V48" i="1"/>
  <c r="V57" i="1"/>
  <c r="V41" i="1"/>
  <c r="V25" i="1"/>
  <c r="V9" i="1"/>
  <c r="V35" i="1"/>
  <c r="V19" i="1"/>
  <c r="V5" i="1"/>
  <c r="V56" i="1"/>
  <c r="V40" i="1"/>
  <c r="V8" i="1"/>
  <c r="V34" i="1"/>
  <c r="V18" i="1"/>
  <c r="V4" i="1"/>
  <c r="V55" i="1"/>
  <c r="V39" i="1"/>
  <c r="V7" i="1"/>
  <c r="V49" i="1"/>
  <c r="V33" i="1"/>
  <c r="V17" i="1"/>
  <c r="V3" i="1"/>
  <c r="V54" i="1"/>
  <c r="V38" i="1"/>
  <c r="V22" i="1"/>
  <c r="V6" i="1"/>
  <c r="V32" i="1"/>
  <c r="V16" i="1"/>
  <c r="V47" i="1"/>
  <c r="V31" i="1"/>
  <c r="V15" i="1"/>
  <c r="V59" i="1"/>
  <c r="V43" i="1"/>
  <c r="V27" i="1"/>
  <c r="V11" i="1"/>
  <c r="V58" i="1"/>
  <c r="V42" i="1"/>
  <c r="V26" i="1"/>
  <c r="V10" i="1"/>
  <c r="V53" i="1"/>
  <c r="V37" i="1"/>
  <c r="V21" i="1"/>
  <c r="V52" i="1"/>
  <c r="V36" i="1"/>
  <c r="V20" i="1"/>
  <c r="S4" i="9"/>
  <c r="S5" i="9"/>
  <c r="S6" i="9"/>
  <c r="S7" i="9"/>
  <c r="S8" i="9"/>
  <c r="S9" i="9"/>
  <c r="S10" i="9"/>
  <c r="S11" i="9"/>
  <c r="S12" i="9"/>
  <c r="S13" i="9"/>
  <c r="S14" i="9"/>
  <c r="S15" i="9"/>
  <c r="S16" i="9"/>
  <c r="S17" i="9"/>
  <c r="S18" i="9"/>
  <c r="S19" i="9"/>
  <c r="S20" i="9"/>
  <c r="S21" i="9"/>
  <c r="S3" i="9"/>
  <c r="R3" i="9"/>
  <c r="R4" i="9"/>
  <c r="R5" i="9"/>
  <c r="R6" i="9"/>
  <c r="R7" i="9"/>
  <c r="R8" i="9"/>
  <c r="R9" i="9"/>
  <c r="R10" i="9"/>
  <c r="R11" i="9"/>
  <c r="R12" i="9"/>
  <c r="R13" i="9"/>
  <c r="R14" i="9"/>
  <c r="R15" i="9"/>
  <c r="R16" i="9"/>
  <c r="R17" i="9"/>
  <c r="R18" i="9"/>
  <c r="R19" i="9"/>
  <c r="R20" i="9"/>
  <c r="R21" i="9"/>
  <c r="R2" i="9"/>
  <c r="Q3" i="9"/>
  <c r="Q4" i="9"/>
  <c r="Q5" i="9"/>
  <c r="Q6" i="9"/>
  <c r="Q7" i="9"/>
  <c r="Q8" i="9"/>
  <c r="Q9" i="9"/>
  <c r="Q10" i="9"/>
  <c r="Q11" i="9"/>
  <c r="Q12" i="9"/>
  <c r="Q13" i="9"/>
  <c r="Q14" i="9"/>
  <c r="Q15" i="9"/>
  <c r="Q16" i="9"/>
  <c r="Q17" i="9"/>
  <c r="Q18" i="9"/>
  <c r="Q19" i="9"/>
  <c r="Q20" i="9"/>
  <c r="Q21" i="9"/>
  <c r="Q2" i="9"/>
  <c r="S4" i="8"/>
  <c r="S5" i="8"/>
  <c r="S6" i="8"/>
  <c r="S7" i="8"/>
  <c r="S8" i="8"/>
  <c r="S9" i="8"/>
  <c r="S10" i="8"/>
  <c r="S11" i="8"/>
  <c r="S12" i="8"/>
  <c r="S13" i="8"/>
  <c r="S14" i="8"/>
  <c r="S15" i="8"/>
  <c r="S16" i="8"/>
  <c r="S17" i="8"/>
  <c r="S18" i="8"/>
  <c r="S19" i="8"/>
  <c r="S20" i="8"/>
  <c r="S21" i="8"/>
  <c r="S22" i="8"/>
  <c r="S23" i="8"/>
  <c r="S24" i="8"/>
  <c r="S3" i="8"/>
  <c r="R3" i="8"/>
  <c r="R4" i="8"/>
  <c r="R5" i="8"/>
  <c r="R6" i="8"/>
  <c r="R7" i="8"/>
  <c r="R8" i="8"/>
  <c r="R9" i="8"/>
  <c r="R10" i="8"/>
  <c r="R11" i="8"/>
  <c r="R12" i="8"/>
  <c r="R13" i="8"/>
  <c r="R14" i="8"/>
  <c r="R15" i="8"/>
  <c r="R16" i="8"/>
  <c r="R17" i="8"/>
  <c r="R18" i="8"/>
  <c r="R19" i="8"/>
  <c r="R20" i="8"/>
  <c r="R21" i="8"/>
  <c r="R22" i="8"/>
  <c r="R23" i="8"/>
  <c r="R24" i="8"/>
  <c r="R2" i="8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" i="8"/>
  <c r="Q2" i="6"/>
  <c r="S28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14" i="6"/>
  <c r="S13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" i="6"/>
  <c r="Q3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S4" i="5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S30" i="5"/>
  <c r="S31" i="5"/>
  <c r="S32" i="5"/>
  <c r="S33" i="5"/>
  <c r="S34" i="5"/>
  <c r="S35" i="5"/>
  <c r="S36" i="5"/>
  <c r="S37" i="5"/>
  <c r="S38" i="5"/>
  <c r="S39" i="5"/>
  <c r="S40" i="5"/>
  <c r="S41" i="5"/>
  <c r="S42" i="5"/>
  <c r="S43" i="5"/>
  <c r="S44" i="5"/>
  <c r="S45" i="5"/>
  <c r="S46" i="5"/>
  <c r="S47" i="5"/>
  <c r="S48" i="5"/>
  <c r="S49" i="5"/>
  <c r="S50" i="5"/>
  <c r="S51" i="5"/>
  <c r="S52" i="5"/>
  <c r="S53" i="5"/>
  <c r="S54" i="5"/>
  <c r="S55" i="5"/>
  <c r="S56" i="5"/>
  <c r="S57" i="5"/>
  <c r="S58" i="5"/>
  <c r="S59" i="5"/>
  <c r="S3" i="5"/>
  <c r="R3" i="5"/>
  <c r="R4" i="5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31" i="5"/>
  <c r="R32" i="5"/>
  <c r="R33" i="5"/>
  <c r="R34" i="5"/>
  <c r="R35" i="5"/>
  <c r="R36" i="5"/>
  <c r="R37" i="5"/>
  <c r="R38" i="5"/>
  <c r="R39" i="5"/>
  <c r="R40" i="5"/>
  <c r="R41" i="5"/>
  <c r="R42" i="5"/>
  <c r="R43" i="5"/>
  <c r="R44" i="5"/>
  <c r="R45" i="5"/>
  <c r="R46" i="5"/>
  <c r="R47" i="5"/>
  <c r="R48" i="5"/>
  <c r="R49" i="5"/>
  <c r="R50" i="5"/>
  <c r="R51" i="5"/>
  <c r="R52" i="5"/>
  <c r="R53" i="5"/>
  <c r="R54" i="5"/>
  <c r="R55" i="5"/>
  <c r="R56" i="5"/>
  <c r="R57" i="5"/>
  <c r="R58" i="5"/>
  <c r="R59" i="5"/>
  <c r="R2" i="5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2" i="5"/>
  <c r="U6" i="3"/>
  <c r="U5" i="3"/>
  <c r="U4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3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2" i="2"/>
  <c r="AE108" i="1" l="1"/>
  <c r="AD109" i="1"/>
  <c r="AT34" i="1"/>
  <c r="BB34" i="1" s="1"/>
  <c r="AT38" i="1"/>
  <c r="AT22" i="1"/>
  <c r="BB22" i="1" s="1"/>
  <c r="AS22" i="1"/>
  <c r="BE22" i="1"/>
  <c r="AW22" i="1"/>
  <c r="AT43" i="1"/>
  <c r="BB43" i="1" s="1"/>
  <c r="AT33" i="1"/>
  <c r="BB33" i="1" s="1"/>
  <c r="AT17" i="1"/>
  <c r="BB17" i="1" s="1"/>
  <c r="AS17" i="1"/>
  <c r="BE17" i="1"/>
  <c r="AW17" i="1"/>
  <c r="AT53" i="1"/>
  <c r="BB53" i="1" s="1"/>
  <c r="AT44" i="1"/>
  <c r="BB44" i="1" s="1"/>
  <c r="AT32" i="1"/>
  <c r="BB32" i="1" s="1"/>
  <c r="AT12" i="1"/>
  <c r="BB12" i="1" s="1"/>
  <c r="AS12" i="1"/>
  <c r="BE12" i="1"/>
  <c r="AW12" i="1"/>
  <c r="AT52" i="1"/>
  <c r="AT11" i="1"/>
  <c r="BB11" i="1" s="1"/>
  <c r="BE11" i="1"/>
  <c r="AW11" i="1"/>
  <c r="AS11" i="1"/>
  <c r="AT8" i="1"/>
  <c r="BB8" i="1" s="1"/>
  <c r="AS8" i="1"/>
  <c r="AW8" i="1"/>
  <c r="BE8" i="1"/>
  <c r="AT24" i="1"/>
  <c r="BB24" i="1" s="1"/>
  <c r="AS24" i="1"/>
  <c r="AW24" i="1"/>
  <c r="BE24" i="1"/>
  <c r="AT30" i="1"/>
  <c r="BE30" i="1"/>
  <c r="AW30" i="1"/>
  <c r="AS30" i="1"/>
  <c r="AW4" i="1"/>
  <c r="AS4" i="1"/>
  <c r="BE4" i="1"/>
  <c r="AT4" i="1"/>
  <c r="AT48" i="1"/>
  <c r="BB48" i="1" s="1"/>
  <c r="AT7" i="1"/>
  <c r="BB7" i="1" s="1"/>
  <c r="BE7" i="1"/>
  <c r="AS7" i="1"/>
  <c r="AW7" i="1"/>
  <c r="AT10" i="1"/>
  <c r="BB10" i="1" s="1"/>
  <c r="BF10" i="1" s="1"/>
  <c r="AS10" i="1"/>
  <c r="AW10" i="1"/>
  <c r="BE10" i="1"/>
  <c r="AT51" i="1"/>
  <c r="BB51" i="1" s="1"/>
  <c r="AT9" i="1"/>
  <c r="BE9" i="1"/>
  <c r="AW9" i="1"/>
  <c r="AS9" i="1"/>
  <c r="AT28" i="1"/>
  <c r="BB28" i="1" s="1"/>
  <c r="AS28" i="1"/>
  <c r="BE28" i="1"/>
  <c r="AW28" i="1"/>
  <c r="AT27" i="1"/>
  <c r="BB27" i="1" s="1"/>
  <c r="BE27" i="1"/>
  <c r="AW27" i="1"/>
  <c r="AS27" i="1"/>
  <c r="AT26" i="1"/>
  <c r="BB26" i="1" s="1"/>
  <c r="AW26" i="1"/>
  <c r="AS26" i="1"/>
  <c r="BE26" i="1"/>
  <c r="AW3" i="1"/>
  <c r="BE3" i="1"/>
  <c r="AT13" i="1"/>
  <c r="AW13" i="1"/>
  <c r="BE13" i="1"/>
  <c r="AS13" i="1"/>
  <c r="AT16" i="1"/>
  <c r="BB16" i="1" s="1"/>
  <c r="AS16" i="1"/>
  <c r="BE16" i="1"/>
  <c r="AW16" i="1"/>
  <c r="AT37" i="1"/>
  <c r="BB37" i="1" s="1"/>
  <c r="AT21" i="1"/>
  <c r="BB21" i="1" s="1"/>
  <c r="AS21" i="1"/>
  <c r="BE21" i="1"/>
  <c r="AW21" i="1"/>
  <c r="AW5" i="1"/>
  <c r="AS5" i="1"/>
  <c r="BE5" i="1"/>
  <c r="AT5" i="1"/>
  <c r="BB5" i="1" s="1"/>
  <c r="AT31" i="1"/>
  <c r="BB31" i="1" s="1"/>
  <c r="AT36" i="1"/>
  <c r="BB36" i="1" s="1"/>
  <c r="AT20" i="1"/>
  <c r="BB20" i="1" s="1"/>
  <c r="AS20" i="1"/>
  <c r="BE20" i="1"/>
  <c r="AW20" i="1"/>
  <c r="AT23" i="1"/>
  <c r="BB23" i="1" s="1"/>
  <c r="BE23" i="1"/>
  <c r="AS23" i="1"/>
  <c r="AW23" i="1"/>
  <c r="AT40" i="1"/>
  <c r="BB40" i="1" s="1"/>
  <c r="AT49" i="1"/>
  <c r="BB49" i="1" s="1"/>
  <c r="AT35" i="1"/>
  <c r="BB35" i="1" s="1"/>
  <c r="AT18" i="1"/>
  <c r="BB18" i="1" s="1"/>
  <c r="AS18" i="1"/>
  <c r="BE18" i="1"/>
  <c r="AW18" i="1"/>
  <c r="AT46" i="1"/>
  <c r="BB46" i="1" s="1"/>
  <c r="AT45" i="1"/>
  <c r="BB45" i="1" s="1"/>
  <c r="AT6" i="1"/>
  <c r="BB6" i="1" s="1"/>
  <c r="BE6" i="1"/>
  <c r="AS6" i="1"/>
  <c r="AW6" i="1"/>
  <c r="AT25" i="1"/>
  <c r="BB25" i="1" s="1"/>
  <c r="AW25" i="1"/>
  <c r="AS25" i="1"/>
  <c r="BE25" i="1"/>
  <c r="AT15" i="1"/>
  <c r="BB15" i="1" s="1"/>
  <c r="BE15" i="1"/>
  <c r="AS15" i="1"/>
  <c r="AW15" i="1"/>
  <c r="AT14" i="1"/>
  <c r="BB14" i="1" s="1"/>
  <c r="BE14" i="1"/>
  <c r="AS14" i="1"/>
  <c r="AW14" i="1"/>
  <c r="AT42" i="1"/>
  <c r="BB42" i="1" s="1"/>
  <c r="AT50" i="1"/>
  <c r="BB50" i="1" s="1"/>
  <c r="AT47" i="1"/>
  <c r="BB47" i="1" s="1"/>
  <c r="AT39" i="1"/>
  <c r="BB39" i="1" s="1"/>
  <c r="AT29" i="1"/>
  <c r="BB29" i="1" s="1"/>
  <c r="BE29" i="1"/>
  <c r="AW29" i="1"/>
  <c r="AS29" i="1"/>
  <c r="AT19" i="1"/>
  <c r="AS19" i="1"/>
  <c r="BE19" i="1"/>
  <c r="AW19" i="1"/>
  <c r="BB9" i="1"/>
  <c r="BB30" i="1"/>
  <c r="BB52" i="1"/>
  <c r="BB13" i="1"/>
  <c r="BF13" i="1" s="1"/>
  <c r="BB19" i="1"/>
  <c r="BB38" i="1"/>
  <c r="AU44" i="1"/>
  <c r="BC44" i="1" s="1"/>
  <c r="AU39" i="1"/>
  <c r="BC39" i="1" s="1"/>
  <c r="AU31" i="1"/>
  <c r="BC31" i="1" s="1"/>
  <c r="AU18" i="1"/>
  <c r="BC18" i="1" s="1"/>
  <c r="AU13" i="1"/>
  <c r="BC13" i="1" s="1"/>
  <c r="AU8" i="1"/>
  <c r="BC8" i="1" s="1"/>
  <c r="AU32" i="1"/>
  <c r="BC32" i="1" s="1"/>
  <c r="AU46" i="1"/>
  <c r="BC46" i="1" s="1"/>
  <c r="AU4" i="1"/>
  <c r="BC4" i="1" s="1"/>
  <c r="AU47" i="1"/>
  <c r="BC47" i="1" s="1"/>
  <c r="AU33" i="1"/>
  <c r="BC33" i="1" s="1"/>
  <c r="AU48" i="1"/>
  <c r="BC48" i="1" s="1"/>
  <c r="AU19" i="1"/>
  <c r="BC19" i="1" s="1"/>
  <c r="AU51" i="1"/>
  <c r="BC51" i="1" s="1"/>
  <c r="AU9" i="1"/>
  <c r="BC9" i="1" s="1"/>
  <c r="AU21" i="1"/>
  <c r="BC21" i="1" s="1"/>
  <c r="AU26" i="1"/>
  <c r="BC26" i="1" s="1"/>
  <c r="AU37" i="1"/>
  <c r="BC37" i="1" s="1"/>
  <c r="AU38" i="1"/>
  <c r="BC38" i="1" s="1"/>
  <c r="AU6" i="1"/>
  <c r="BC6" i="1" s="1"/>
  <c r="AU27" i="1"/>
  <c r="BC27" i="1" s="1"/>
  <c r="AU40" i="1"/>
  <c r="BC40" i="1" s="1"/>
  <c r="AU22" i="1"/>
  <c r="BC22" i="1" s="1"/>
  <c r="AU43" i="1"/>
  <c r="BC43" i="1" s="1"/>
  <c r="AU25" i="1"/>
  <c r="BC25" i="1" s="1"/>
  <c r="AU12" i="1"/>
  <c r="BC12" i="1" s="1"/>
  <c r="AU10" i="1"/>
  <c r="BC10" i="1" s="1"/>
  <c r="AU28" i="1"/>
  <c r="BC28" i="1" s="1"/>
  <c r="AU23" i="1"/>
  <c r="BC23" i="1" s="1"/>
  <c r="AU34" i="1"/>
  <c r="BC34" i="1" s="1"/>
  <c r="AU29" i="1"/>
  <c r="BC29" i="1" s="1"/>
  <c r="AU41" i="1"/>
  <c r="BC41" i="1" s="1"/>
  <c r="AU17" i="1"/>
  <c r="BC17" i="1" s="1"/>
  <c r="AU50" i="1"/>
  <c r="BC50" i="1" s="1"/>
  <c r="AU45" i="1"/>
  <c r="BC45" i="1" s="1"/>
  <c r="AU14" i="1"/>
  <c r="BC14" i="1" s="1"/>
  <c r="AU49" i="1"/>
  <c r="BC49" i="1" s="1"/>
  <c r="AU35" i="1"/>
  <c r="BC35" i="1" s="1"/>
  <c r="AU15" i="1"/>
  <c r="BC15" i="1" s="1"/>
  <c r="AU16" i="1"/>
  <c r="BC16" i="1" s="1"/>
  <c r="AU20" i="1"/>
  <c r="BC20" i="1" s="1"/>
  <c r="AU36" i="1"/>
  <c r="BC36" i="1" s="1"/>
  <c r="AU24" i="1"/>
  <c r="BC24" i="1" s="1"/>
  <c r="AU52" i="1"/>
  <c r="BC52" i="1" s="1"/>
  <c r="AU5" i="1"/>
  <c r="BC5" i="1" s="1"/>
  <c r="AU53" i="1"/>
  <c r="BC53" i="1" s="1"/>
  <c r="AU11" i="1"/>
  <c r="BC11" i="1" s="1"/>
  <c r="AU7" i="1"/>
  <c r="BC7" i="1" s="1"/>
  <c r="AU42" i="1"/>
  <c r="BC42" i="1" s="1"/>
  <c r="AU30" i="1"/>
  <c r="BC30" i="1" s="1"/>
  <c r="BG30" i="1" s="1"/>
  <c r="Z31" i="1"/>
  <c r="Y32" i="1"/>
  <c r="AH33" i="1"/>
  <c r="AI32" i="1"/>
  <c r="AJ31" i="1"/>
  <c r="AR31" i="1" s="1"/>
  <c r="BE31" i="1" s="1"/>
  <c r="AB65" i="1"/>
  <c r="Y65" i="5"/>
  <c r="AA64" i="5"/>
  <c r="AC62" i="3"/>
  <c r="AA64" i="3"/>
  <c r="AB63" i="3"/>
  <c r="AD110" i="1" l="1"/>
  <c r="AE109" i="1"/>
  <c r="BG12" i="1"/>
  <c r="BG25" i="1"/>
  <c r="BG15" i="1"/>
  <c r="AT41" i="1"/>
  <c r="BB41" i="1" s="1"/>
  <c r="BO28" i="1"/>
  <c r="BO29" i="1"/>
  <c r="BO45" i="1"/>
  <c r="BO30" i="1"/>
  <c r="BF12" i="1"/>
  <c r="BM19" i="1"/>
  <c r="AU3" i="1"/>
  <c r="BC3" i="1" s="1"/>
  <c r="BG3" i="1" s="1"/>
  <c r="BM16" i="1"/>
  <c r="BO16" i="1" s="1"/>
  <c r="BM9" i="1"/>
  <c r="BO9" i="1" s="1"/>
  <c r="BM45" i="1"/>
  <c r="BM37" i="1"/>
  <c r="BM53" i="1"/>
  <c r="BM42" i="1"/>
  <c r="AT3" i="1"/>
  <c r="BB3" i="1" s="1"/>
  <c r="BF3" i="1" s="1"/>
  <c r="BM50" i="1"/>
  <c r="BO50" i="1" s="1"/>
  <c r="BM46" i="1"/>
  <c r="BM27" i="1"/>
  <c r="BM14" i="1"/>
  <c r="BM10" i="1"/>
  <c r="BO10" i="1" s="1"/>
  <c r="BM33" i="1"/>
  <c r="BM24" i="1"/>
  <c r="BO19" i="1"/>
  <c r="BM30" i="1"/>
  <c r="BM38" i="1"/>
  <c r="BO38" i="1" s="1"/>
  <c r="BM39" i="1"/>
  <c r="BM29" i="1"/>
  <c r="BM4" i="1"/>
  <c r="BO4" i="1" s="1"/>
  <c r="BM52" i="1"/>
  <c r="BM3" i="1"/>
  <c r="BO3" i="1" s="1"/>
  <c r="BM21" i="1"/>
  <c r="BM34" i="1"/>
  <c r="BM36" i="1"/>
  <c r="BM26" i="1"/>
  <c r="BO26" i="1" s="1"/>
  <c r="BM48" i="1"/>
  <c r="BO23" i="1"/>
  <c r="BM31" i="1"/>
  <c r="BM41" i="1"/>
  <c r="BM49" i="1"/>
  <c r="BM25" i="1"/>
  <c r="BM8" i="1"/>
  <c r="BM7" i="1"/>
  <c r="BO7" i="1" s="1"/>
  <c r="BM32" i="1"/>
  <c r="BO32" i="1" s="1"/>
  <c r="BM12" i="1"/>
  <c r="BO12" i="1" s="1"/>
  <c r="BM40" i="1"/>
  <c r="BO40" i="1" s="1"/>
  <c r="BO51" i="1"/>
  <c r="BM47" i="1"/>
  <c r="BM20" i="1"/>
  <c r="BO20" i="1" s="1"/>
  <c r="BM18" i="1"/>
  <c r="BM22" i="1"/>
  <c r="BO22" i="1" s="1"/>
  <c r="BM11" i="1"/>
  <c r="BM28" i="1"/>
  <c r="BM51" i="1"/>
  <c r="BM35" i="1"/>
  <c r="BM17" i="1"/>
  <c r="BM43" i="1"/>
  <c r="BM15" i="1"/>
  <c r="BM13" i="1"/>
  <c r="BO13" i="1" s="1"/>
  <c r="BO11" i="1"/>
  <c r="BM6" i="1"/>
  <c r="BM23" i="1"/>
  <c r="BM5" i="1"/>
  <c r="BO5" i="1" s="1"/>
  <c r="BM44" i="1"/>
  <c r="BO44" i="1" s="1"/>
  <c r="BG22" i="1"/>
  <c r="BF15" i="1"/>
  <c r="BF29" i="1"/>
  <c r="BG4" i="1"/>
  <c r="AV17" i="1"/>
  <c r="AX17" i="1" s="1"/>
  <c r="AY17" i="1" s="1"/>
  <c r="AV21" i="1"/>
  <c r="AX21" i="1" s="1"/>
  <c r="AY21" i="1" s="1"/>
  <c r="BG16" i="1"/>
  <c r="BF31" i="1"/>
  <c r="BG20" i="1"/>
  <c r="BG8" i="1"/>
  <c r="BF18" i="1"/>
  <c r="BG6" i="1"/>
  <c r="BG31" i="1"/>
  <c r="BF8" i="1"/>
  <c r="BF16" i="1"/>
  <c r="AV13" i="1"/>
  <c r="AX13" i="1" s="1"/>
  <c r="AY13" i="1" s="1"/>
  <c r="BF17" i="1"/>
  <c r="AV30" i="1"/>
  <c r="AX30" i="1" s="1"/>
  <c r="AY30" i="1" s="1"/>
  <c r="AV26" i="1"/>
  <c r="AX26" i="1" s="1"/>
  <c r="AY26" i="1" s="1"/>
  <c r="BG27" i="1"/>
  <c r="AV4" i="1"/>
  <c r="AX4" i="1" s="1"/>
  <c r="AY4" i="1" s="1"/>
  <c r="BG7" i="1"/>
  <c r="BF11" i="1"/>
  <c r="AV27" i="1"/>
  <c r="AX27" i="1" s="1"/>
  <c r="AY27" i="1" s="1"/>
  <c r="BG18" i="1"/>
  <c r="BG17" i="1"/>
  <c r="BG11" i="1"/>
  <c r="BG5" i="1"/>
  <c r="BG23" i="1"/>
  <c r="BG19" i="1"/>
  <c r="BB4" i="1"/>
  <c r="BF4" i="1" s="1"/>
  <c r="BG13" i="1"/>
  <c r="BG14" i="1"/>
  <c r="BG26" i="1"/>
  <c r="BG21" i="1"/>
  <c r="AV12" i="1"/>
  <c r="AX12" i="1" s="1"/>
  <c r="AY12" i="1" s="1"/>
  <c r="BG9" i="1"/>
  <c r="AW31" i="1"/>
  <c r="BG29" i="1"/>
  <c r="BG28" i="1"/>
  <c r="BG24" i="1"/>
  <c r="BG10" i="1"/>
  <c r="AS31" i="1"/>
  <c r="AV31" i="1" s="1"/>
  <c r="AX31" i="1" s="1"/>
  <c r="BF19" i="1"/>
  <c r="BF7" i="1"/>
  <c r="AV5" i="1"/>
  <c r="AX5" i="1" s="1"/>
  <c r="AY5" i="1" s="1"/>
  <c r="AV14" i="1"/>
  <c r="AX14" i="1" s="1"/>
  <c r="AY14" i="1" s="1"/>
  <c r="AV25" i="1"/>
  <c r="AX25" i="1" s="1"/>
  <c r="AY25" i="1" s="1"/>
  <c r="AV29" i="1"/>
  <c r="AX29" i="1" s="1"/>
  <c r="AY29" i="1" s="1"/>
  <c r="BF20" i="1"/>
  <c r="AV9" i="1"/>
  <c r="AX9" i="1" s="1"/>
  <c r="AY9" i="1" s="1"/>
  <c r="AV24" i="1"/>
  <c r="AX24" i="1" s="1"/>
  <c r="AY24" i="1" s="1"/>
  <c r="BF27" i="1"/>
  <c r="BF26" i="1"/>
  <c r="AV6" i="1"/>
  <c r="AX6" i="1" s="1"/>
  <c r="AY6" i="1" s="1"/>
  <c r="AV10" i="1"/>
  <c r="AX10" i="1" s="1"/>
  <c r="AY10" i="1" s="1"/>
  <c r="BF25" i="1"/>
  <c r="BF28" i="1"/>
  <c r="AV20" i="1"/>
  <c r="AX20" i="1" s="1"/>
  <c r="AY20" i="1" s="1"/>
  <c r="AV8" i="1"/>
  <c r="AX8" i="1" s="1"/>
  <c r="AY8" i="1" s="1"/>
  <c r="AV18" i="1"/>
  <c r="AX18" i="1" s="1"/>
  <c r="AY18" i="1" s="1"/>
  <c r="BF24" i="1"/>
  <c r="AV23" i="1"/>
  <c r="AX23" i="1" s="1"/>
  <c r="AY23" i="1" s="1"/>
  <c r="BF21" i="1"/>
  <c r="AV7" i="1"/>
  <c r="AX7" i="1" s="1"/>
  <c r="AY7" i="1" s="1"/>
  <c r="AV22" i="1"/>
  <c r="AX22" i="1" s="1"/>
  <c r="AY22" i="1" s="1"/>
  <c r="AV11" i="1"/>
  <c r="AX11" i="1" s="1"/>
  <c r="AY11" i="1" s="1"/>
  <c r="AV28" i="1"/>
  <c r="AX28" i="1" s="1"/>
  <c r="AY28" i="1" s="1"/>
  <c r="BF30" i="1"/>
  <c r="BF14" i="1"/>
  <c r="BF9" i="1"/>
  <c r="BF23" i="1"/>
  <c r="BF22" i="1"/>
  <c r="BF6" i="1"/>
  <c r="AV16" i="1"/>
  <c r="AX16" i="1" s="1"/>
  <c r="AY16" i="1" s="1"/>
  <c r="AV19" i="1"/>
  <c r="AX19" i="1" s="1"/>
  <c r="AY19" i="1" s="1"/>
  <c r="AV15" i="1"/>
  <c r="AX15" i="1" s="1"/>
  <c r="AY15" i="1" s="1"/>
  <c r="BF5" i="1"/>
  <c r="AH34" i="1"/>
  <c r="Y33" i="1"/>
  <c r="Z32" i="1"/>
  <c r="AE63" i="1"/>
  <c r="AE62" i="1"/>
  <c r="AI33" i="1"/>
  <c r="AJ32" i="1"/>
  <c r="AR32" i="1" s="1"/>
  <c r="AB66" i="1"/>
  <c r="AA65" i="5"/>
  <c r="Y66" i="5"/>
  <c r="AA65" i="3"/>
  <c r="AB64" i="3"/>
  <c r="AC63" i="3"/>
  <c r="AC64" i="3" s="1"/>
  <c r="AD111" i="1" l="1"/>
  <c r="AE110" i="1"/>
  <c r="BO18" i="1"/>
  <c r="BO42" i="1"/>
  <c r="BO33" i="1"/>
  <c r="BO43" i="1"/>
  <c r="BO14" i="1"/>
  <c r="BO47" i="1"/>
  <c r="BO46" i="1"/>
  <c r="BO52" i="1"/>
  <c r="BO35" i="1"/>
  <c r="BO21" i="1"/>
  <c r="BO49" i="1"/>
  <c r="BO27" i="1"/>
  <c r="BO37" i="1"/>
  <c r="BO48" i="1"/>
  <c r="BO41" i="1"/>
  <c r="BO36" i="1"/>
  <c r="BO6" i="1"/>
  <c r="BO15" i="1"/>
  <c r="BO24" i="1"/>
  <c r="AV3" i="1"/>
  <c r="BO39" i="1"/>
  <c r="BO31" i="1"/>
  <c r="BO25" i="1"/>
  <c r="BO17" i="1"/>
  <c r="BO34" i="1"/>
  <c r="BO53" i="1"/>
  <c r="BO8" i="1"/>
  <c r="AY31" i="1"/>
  <c r="AW32" i="1"/>
  <c r="AS32" i="1"/>
  <c r="AV32" i="1" s="1"/>
  <c r="BE32" i="1"/>
  <c r="BD25" i="1"/>
  <c r="BH25" i="1" s="1"/>
  <c r="BI25" i="1" s="1"/>
  <c r="BD17" i="1"/>
  <c r="BH17" i="1" s="1"/>
  <c r="BI17" i="1" s="1"/>
  <c r="BD12" i="1"/>
  <c r="BH12" i="1" s="1"/>
  <c r="BI12" i="1" s="1"/>
  <c r="BD18" i="1"/>
  <c r="BH18" i="1" s="1"/>
  <c r="BI18" i="1" s="1"/>
  <c r="BD8" i="1"/>
  <c r="BH8" i="1" s="1"/>
  <c r="BI8" i="1" s="1"/>
  <c r="BD19" i="1"/>
  <c r="BH19" i="1" s="1"/>
  <c r="BI19" i="1" s="1"/>
  <c r="BD4" i="1"/>
  <c r="BH4" i="1" s="1"/>
  <c r="BI4" i="1" s="1"/>
  <c r="BD7" i="1"/>
  <c r="BH7" i="1" s="1"/>
  <c r="BI7" i="1" s="1"/>
  <c r="BD21" i="1"/>
  <c r="BH21" i="1" s="1"/>
  <c r="BI21" i="1" s="1"/>
  <c r="BD24" i="1"/>
  <c r="BH24" i="1" s="1"/>
  <c r="BI24" i="1" s="1"/>
  <c r="BD15" i="1"/>
  <c r="BH15" i="1" s="1"/>
  <c r="BI15" i="1" s="1"/>
  <c r="BD23" i="1"/>
  <c r="BH23" i="1" s="1"/>
  <c r="BI23" i="1" s="1"/>
  <c r="BD22" i="1"/>
  <c r="BH22" i="1" s="1"/>
  <c r="BI22" i="1" s="1"/>
  <c r="BD16" i="1"/>
  <c r="BH16" i="1" s="1"/>
  <c r="BI16" i="1" s="1"/>
  <c r="BD9" i="1"/>
  <c r="BH9" i="1" s="1"/>
  <c r="BI9" i="1" s="1"/>
  <c r="BD5" i="1"/>
  <c r="BH5" i="1" s="1"/>
  <c r="BI5" i="1" s="1"/>
  <c r="BD14" i="1"/>
  <c r="BH14" i="1" s="1"/>
  <c r="BI14" i="1" s="1"/>
  <c r="BD26" i="1"/>
  <c r="BH26" i="1" s="1"/>
  <c r="BI26" i="1" s="1"/>
  <c r="BD30" i="1"/>
  <c r="BH30" i="1" s="1"/>
  <c r="BI30" i="1" s="1"/>
  <c r="BD27" i="1"/>
  <c r="BH27" i="1" s="1"/>
  <c r="BI27" i="1" s="1"/>
  <c r="BD20" i="1"/>
  <c r="BH20" i="1" s="1"/>
  <c r="BI20" i="1" s="1"/>
  <c r="BD13" i="1"/>
  <c r="BH13" i="1" s="1"/>
  <c r="BI13" i="1" s="1"/>
  <c r="BD10" i="1"/>
  <c r="BH10" i="1" s="1"/>
  <c r="BI10" i="1" s="1"/>
  <c r="BD28" i="1"/>
  <c r="BH28" i="1" s="1"/>
  <c r="BI28" i="1" s="1"/>
  <c r="BD6" i="1"/>
  <c r="BH6" i="1" s="1"/>
  <c r="BI6" i="1" s="1"/>
  <c r="BD29" i="1"/>
  <c r="BH29" i="1" s="1"/>
  <c r="BI29" i="1" s="1"/>
  <c r="BD31" i="1"/>
  <c r="BH31" i="1" s="1"/>
  <c r="BI31" i="1" s="1"/>
  <c r="BD11" i="1"/>
  <c r="BH11" i="1" s="1"/>
  <c r="BI11" i="1" s="1"/>
  <c r="AX3" i="1"/>
  <c r="AY3" i="1" s="1"/>
  <c r="AE64" i="1"/>
  <c r="Z33" i="1"/>
  <c r="Y34" i="1"/>
  <c r="AI34" i="1"/>
  <c r="AJ33" i="1"/>
  <c r="AR33" i="1" s="1"/>
  <c r="AH35" i="1"/>
  <c r="AB67" i="1"/>
  <c r="Y67" i="5"/>
  <c r="AA66" i="5"/>
  <c r="AA66" i="3"/>
  <c r="AB65" i="3"/>
  <c r="AC65" i="3" s="1"/>
  <c r="AD112" i="1" l="1"/>
  <c r="AE111" i="1"/>
  <c r="AE65" i="1"/>
  <c r="AW33" i="1"/>
  <c r="AS33" i="1"/>
  <c r="BE33" i="1"/>
  <c r="BF32" i="1"/>
  <c r="BG32" i="1"/>
  <c r="BD3" i="1"/>
  <c r="BH3" i="1" s="1"/>
  <c r="BI3" i="1" s="1"/>
  <c r="AV33" i="1"/>
  <c r="AX32" i="1"/>
  <c r="AY32" i="1" s="1"/>
  <c r="AH36" i="1"/>
  <c r="AI35" i="1"/>
  <c r="AJ34" i="1"/>
  <c r="AR34" i="1" s="1"/>
  <c r="Y35" i="1"/>
  <c r="Z34" i="1"/>
  <c r="AB68" i="1"/>
  <c r="AA67" i="5"/>
  <c r="Y68" i="5"/>
  <c r="AA67" i="3"/>
  <c r="AB66" i="3"/>
  <c r="AC66" i="3" s="1"/>
  <c r="AD113" i="1" l="1"/>
  <c r="AE112" i="1"/>
  <c r="AE66" i="1"/>
  <c r="BE34" i="1"/>
  <c r="AW34" i="1"/>
  <c r="AS34" i="1"/>
  <c r="BF33" i="1"/>
  <c r="BG33" i="1"/>
  <c r="BD32" i="1"/>
  <c r="BH32" i="1" s="1"/>
  <c r="BI32" i="1" s="1"/>
  <c r="AV34" i="1"/>
  <c r="AX33" i="1"/>
  <c r="AY33" i="1" s="1"/>
  <c r="Y36" i="1"/>
  <c r="Z35" i="1"/>
  <c r="AI36" i="1"/>
  <c r="AJ35" i="1"/>
  <c r="AR35" i="1" s="1"/>
  <c r="AH37" i="1"/>
  <c r="AB69" i="1"/>
  <c r="Y69" i="5"/>
  <c r="AA68" i="5"/>
  <c r="AA68" i="3"/>
  <c r="AB67" i="3"/>
  <c r="AC67" i="3" s="1"/>
  <c r="AE113" i="1" l="1"/>
  <c r="AD114" i="1"/>
  <c r="AE67" i="1"/>
  <c r="BG34" i="1"/>
  <c r="BF34" i="1"/>
  <c r="BE35" i="1"/>
  <c r="AW35" i="1"/>
  <c r="AS35" i="1"/>
  <c r="BD33" i="1"/>
  <c r="BH33" i="1" s="1"/>
  <c r="BI33" i="1" s="1"/>
  <c r="AV35" i="1"/>
  <c r="AX34" i="1"/>
  <c r="AY34" i="1" s="1"/>
  <c r="AH38" i="1"/>
  <c r="AI37" i="1"/>
  <c r="AJ36" i="1"/>
  <c r="AR36" i="1" s="1"/>
  <c r="Z36" i="1"/>
  <c r="Y37" i="1"/>
  <c r="AE68" i="1"/>
  <c r="AB70" i="1"/>
  <c r="AA69" i="5"/>
  <c r="Y70" i="5"/>
  <c r="AA69" i="3"/>
  <c r="AB68" i="3"/>
  <c r="AC68" i="3" s="1"/>
  <c r="AE114" i="1" l="1"/>
  <c r="AD115" i="1"/>
  <c r="BE36" i="1"/>
  <c r="AW36" i="1"/>
  <c r="AS36" i="1"/>
  <c r="BF35" i="1"/>
  <c r="BG35" i="1"/>
  <c r="BD34" i="1"/>
  <c r="BH34" i="1" s="1"/>
  <c r="BI34" i="1" s="1"/>
  <c r="AV36" i="1"/>
  <c r="AX35" i="1"/>
  <c r="AY35" i="1" s="1"/>
  <c r="Z37" i="1"/>
  <c r="Y38" i="1"/>
  <c r="AI38" i="1"/>
  <c r="AJ37" i="1"/>
  <c r="AR37" i="1" s="1"/>
  <c r="AH39" i="1"/>
  <c r="AE69" i="1"/>
  <c r="AB71" i="1"/>
  <c r="AA70" i="5"/>
  <c r="Y71" i="5"/>
  <c r="AA70" i="3"/>
  <c r="AB69" i="3"/>
  <c r="AC69" i="3" s="1"/>
  <c r="AD116" i="1" l="1"/>
  <c r="AE115" i="1"/>
  <c r="AS37" i="1"/>
  <c r="AV37" i="1" s="1"/>
  <c r="AW37" i="1"/>
  <c r="BE37" i="1"/>
  <c r="BG36" i="1"/>
  <c r="BF36" i="1"/>
  <c r="BD35" i="1"/>
  <c r="BH35" i="1" s="1"/>
  <c r="BI35" i="1" s="1"/>
  <c r="AX36" i="1"/>
  <c r="AY36" i="1" s="1"/>
  <c r="AH40" i="1"/>
  <c r="AI39" i="1"/>
  <c r="AJ38" i="1"/>
  <c r="AR38" i="1" s="1"/>
  <c r="Y39" i="1"/>
  <c r="Z38" i="1"/>
  <c r="AE70" i="1"/>
  <c r="AB72" i="1"/>
  <c r="AA71" i="5"/>
  <c r="Y72" i="5"/>
  <c r="AA71" i="3"/>
  <c r="AB70" i="3"/>
  <c r="AC70" i="3" s="1"/>
  <c r="AE116" i="1" l="1"/>
  <c r="AD117" i="1"/>
  <c r="AS38" i="1"/>
  <c r="AV38" i="1" s="1"/>
  <c r="BE38" i="1"/>
  <c r="AW38" i="1"/>
  <c r="BG37" i="1"/>
  <c r="BF37" i="1"/>
  <c r="BD36" i="1"/>
  <c r="BH36" i="1" s="1"/>
  <c r="BI36" i="1" s="1"/>
  <c r="AX37" i="1"/>
  <c r="AY37" i="1" s="1"/>
  <c r="Y40" i="1"/>
  <c r="Z39" i="1"/>
  <c r="AI40" i="1"/>
  <c r="AJ39" i="1"/>
  <c r="AR39" i="1" s="1"/>
  <c r="AH41" i="1"/>
  <c r="AE71" i="1"/>
  <c r="AB73" i="1"/>
  <c r="AA72" i="5"/>
  <c r="Y73" i="5"/>
  <c r="AA72" i="3"/>
  <c r="AB71" i="3"/>
  <c r="AC71" i="3" s="1"/>
  <c r="AD118" i="1" l="1"/>
  <c r="AE117" i="1"/>
  <c r="AS39" i="1"/>
  <c r="AV39" i="1" s="1"/>
  <c r="BE39" i="1"/>
  <c r="AW39" i="1"/>
  <c r="BG38" i="1"/>
  <c r="BF38" i="1"/>
  <c r="BD37" i="1"/>
  <c r="BH37" i="1" s="1"/>
  <c r="BI37" i="1" s="1"/>
  <c r="AX38" i="1"/>
  <c r="AY38" i="1" s="1"/>
  <c r="AH42" i="1"/>
  <c r="AI41" i="1"/>
  <c r="AJ40" i="1"/>
  <c r="AR40" i="1" s="1"/>
  <c r="Y41" i="1"/>
  <c r="Z40" i="1"/>
  <c r="AE72" i="1"/>
  <c r="AB74" i="1"/>
  <c r="Y74" i="5"/>
  <c r="AA73" i="5"/>
  <c r="AA73" i="3"/>
  <c r="AB72" i="3"/>
  <c r="AC72" i="3" s="1"/>
  <c r="AD119" i="1" l="1"/>
  <c r="AE118" i="1"/>
  <c r="AS40" i="1"/>
  <c r="AV40" i="1" s="1"/>
  <c r="BE40" i="1"/>
  <c r="AW40" i="1"/>
  <c r="BF39" i="1"/>
  <c r="BG39" i="1"/>
  <c r="BD38" i="1"/>
  <c r="BH38" i="1" s="1"/>
  <c r="BI38" i="1" s="1"/>
  <c r="AX39" i="1"/>
  <c r="AY39" i="1" s="1"/>
  <c r="Z41" i="1"/>
  <c r="Y42" i="1"/>
  <c r="AI42" i="1"/>
  <c r="AJ41" i="1"/>
  <c r="AR41" i="1" s="1"/>
  <c r="AH43" i="1"/>
  <c r="AE73" i="1"/>
  <c r="AB75" i="1"/>
  <c r="AA74" i="5"/>
  <c r="Y75" i="5"/>
  <c r="AC73" i="3"/>
  <c r="AB73" i="3"/>
  <c r="AA74" i="3"/>
  <c r="AD120" i="1" l="1"/>
  <c r="AE119" i="1"/>
  <c r="AW41" i="1"/>
  <c r="AS41" i="1"/>
  <c r="AV41" i="1" s="1"/>
  <c r="BE41" i="1"/>
  <c r="BF40" i="1"/>
  <c r="BG40" i="1"/>
  <c r="BD39" i="1"/>
  <c r="BH39" i="1" s="1"/>
  <c r="BI39" i="1" s="1"/>
  <c r="AX40" i="1"/>
  <c r="AY40" i="1" s="1"/>
  <c r="AH44" i="1"/>
  <c r="AI43" i="1"/>
  <c r="AJ42" i="1"/>
  <c r="AR42" i="1" s="1"/>
  <c r="Z42" i="1"/>
  <c r="Y43" i="1"/>
  <c r="AE74" i="1"/>
  <c r="AB76" i="1"/>
  <c r="AA75" i="5"/>
  <c r="Y76" i="5"/>
  <c r="AB74" i="3"/>
  <c r="AC74" i="3" s="1"/>
  <c r="AA75" i="3"/>
  <c r="AD121" i="1" l="1"/>
  <c r="AE120" i="1"/>
  <c r="AS42" i="1"/>
  <c r="AV42" i="1" s="1"/>
  <c r="BE42" i="1"/>
  <c r="AW42" i="1"/>
  <c r="BF41" i="1"/>
  <c r="BG41" i="1"/>
  <c r="BD40" i="1"/>
  <c r="BH40" i="1" s="1"/>
  <c r="BI40" i="1" s="1"/>
  <c r="AX41" i="1"/>
  <c r="AY41" i="1" s="1"/>
  <c r="Z43" i="1"/>
  <c r="Y44" i="1"/>
  <c r="AI44" i="1"/>
  <c r="AJ43" i="1"/>
  <c r="AR43" i="1" s="1"/>
  <c r="AH45" i="1"/>
  <c r="AE75" i="1"/>
  <c r="AB77" i="1"/>
  <c r="Y77" i="5"/>
  <c r="AA76" i="5"/>
  <c r="AA76" i="3"/>
  <c r="AB75" i="3"/>
  <c r="AC75" i="3" s="1"/>
  <c r="AD122" i="1" l="1"/>
  <c r="AE121" i="1"/>
  <c r="BF42" i="1"/>
  <c r="BG42" i="1"/>
  <c r="AS43" i="1"/>
  <c r="BE43" i="1"/>
  <c r="AW43" i="1"/>
  <c r="BD41" i="1"/>
  <c r="BH41" i="1" s="1"/>
  <c r="BI41" i="1" s="1"/>
  <c r="AV43" i="1"/>
  <c r="AX42" i="1"/>
  <c r="AY42" i="1" s="1"/>
  <c r="AH46" i="1"/>
  <c r="AI45" i="1"/>
  <c r="AJ44" i="1"/>
  <c r="AR44" i="1" s="1"/>
  <c r="Z44" i="1"/>
  <c r="Y45" i="1"/>
  <c r="AE76" i="1"/>
  <c r="AB78" i="1"/>
  <c r="AA77" i="5"/>
  <c r="Y78" i="5"/>
  <c r="AA77" i="3"/>
  <c r="AB76" i="3"/>
  <c r="AC76" i="3" s="1"/>
  <c r="AE122" i="1" l="1"/>
  <c r="AD123" i="1"/>
  <c r="BE44" i="1"/>
  <c r="AW44" i="1"/>
  <c r="AS44" i="1"/>
  <c r="BF43" i="1"/>
  <c r="BG43" i="1"/>
  <c r="BD42" i="1"/>
  <c r="BH42" i="1" s="1"/>
  <c r="BI42" i="1" s="1"/>
  <c r="AV44" i="1"/>
  <c r="AX43" i="1"/>
  <c r="AY43" i="1" s="1"/>
  <c r="Y46" i="1"/>
  <c r="Z45" i="1"/>
  <c r="AI46" i="1"/>
  <c r="AJ45" i="1"/>
  <c r="AR45" i="1" s="1"/>
  <c r="AH47" i="1"/>
  <c r="AE77" i="1"/>
  <c r="AB79" i="1"/>
  <c r="AA78" i="5"/>
  <c r="Y79" i="5"/>
  <c r="AA78" i="3"/>
  <c r="AB77" i="3"/>
  <c r="AC77" i="3" s="1"/>
  <c r="AE123" i="1" l="1"/>
  <c r="AD124" i="1"/>
  <c r="BE45" i="1"/>
  <c r="AS45" i="1"/>
  <c r="AV45" i="1" s="1"/>
  <c r="AW45" i="1"/>
  <c r="BF44" i="1"/>
  <c r="BG44" i="1"/>
  <c r="BD43" i="1"/>
  <c r="BH43" i="1" s="1"/>
  <c r="BI43" i="1" s="1"/>
  <c r="AX44" i="1"/>
  <c r="AY44" i="1" s="1"/>
  <c r="Z46" i="1"/>
  <c r="Y47" i="1"/>
  <c r="AH48" i="1"/>
  <c r="AI47" i="1"/>
  <c r="AJ46" i="1"/>
  <c r="AR46" i="1" s="1"/>
  <c r="AE78" i="1"/>
  <c r="AB80" i="1"/>
  <c r="AA79" i="5"/>
  <c r="Y80" i="5"/>
  <c r="AA79" i="3"/>
  <c r="AB78" i="3"/>
  <c r="AC78" i="3" s="1"/>
  <c r="AE124" i="1" l="1"/>
  <c r="AD125" i="1"/>
  <c r="BF45" i="1"/>
  <c r="BG45" i="1"/>
  <c r="BE46" i="1"/>
  <c r="AS46" i="1"/>
  <c r="AW46" i="1"/>
  <c r="BD44" i="1"/>
  <c r="BH44" i="1" s="1"/>
  <c r="BI44" i="1" s="1"/>
  <c r="AV46" i="1"/>
  <c r="AX45" i="1"/>
  <c r="AY45" i="1" s="1"/>
  <c r="AI48" i="1"/>
  <c r="AJ47" i="1"/>
  <c r="AR47" i="1" s="1"/>
  <c r="AH49" i="1"/>
  <c r="Z47" i="1"/>
  <c r="Y48" i="1"/>
  <c r="AB81" i="1"/>
  <c r="AA80" i="5"/>
  <c r="Y81" i="5"/>
  <c r="AC79" i="3"/>
  <c r="AA80" i="3"/>
  <c r="AB79" i="3"/>
  <c r="AD126" i="1" l="1"/>
  <c r="AE125" i="1"/>
  <c r="BG46" i="1"/>
  <c r="BF46" i="1"/>
  <c r="AW47" i="1"/>
  <c r="BE47" i="1"/>
  <c r="AS47" i="1"/>
  <c r="BD45" i="1"/>
  <c r="BH45" i="1" s="1"/>
  <c r="BI45" i="1" s="1"/>
  <c r="AV47" i="1"/>
  <c r="AX46" i="1"/>
  <c r="AY46" i="1" s="1"/>
  <c r="Y49" i="1"/>
  <c r="Z48" i="1"/>
  <c r="AH50" i="1"/>
  <c r="AI49" i="1"/>
  <c r="AJ48" i="1"/>
  <c r="AR48" i="1" s="1"/>
  <c r="AB82" i="1"/>
  <c r="AA81" i="5"/>
  <c r="Y82" i="5"/>
  <c r="AA81" i="3"/>
  <c r="AB80" i="3"/>
  <c r="AC80" i="3" s="1"/>
  <c r="AD127" i="1" l="1"/>
  <c r="AE126" i="1"/>
  <c r="AW48" i="1"/>
  <c r="AS48" i="1"/>
  <c r="AV48" i="1" s="1"/>
  <c r="BE48" i="1"/>
  <c r="BG47" i="1"/>
  <c r="BF47" i="1"/>
  <c r="BD46" i="1"/>
  <c r="BH46" i="1" s="1"/>
  <c r="BI46" i="1" s="1"/>
  <c r="AX47" i="1"/>
  <c r="AY47" i="1" s="1"/>
  <c r="AI50" i="1"/>
  <c r="AJ49" i="1"/>
  <c r="AR49" i="1" s="1"/>
  <c r="AH51" i="1"/>
  <c r="Z49" i="1"/>
  <c r="Y50" i="1"/>
  <c r="AB83" i="1"/>
  <c r="AA82" i="5"/>
  <c r="Y83" i="5"/>
  <c r="AB81" i="3"/>
  <c r="AC81" i="3" s="1"/>
  <c r="AA82" i="3"/>
  <c r="AD128" i="1" l="1"/>
  <c r="AE127" i="1"/>
  <c r="BE49" i="1"/>
  <c r="AS49" i="1"/>
  <c r="AV49" i="1" s="1"/>
  <c r="AW49" i="1"/>
  <c r="BF48" i="1"/>
  <c r="BG48" i="1"/>
  <c r="BD47" i="1"/>
  <c r="BH47" i="1" s="1"/>
  <c r="BI47" i="1" s="1"/>
  <c r="AX48" i="1"/>
  <c r="AY48" i="1" s="1"/>
  <c r="Y51" i="1"/>
  <c r="Z50" i="1"/>
  <c r="AH52" i="1"/>
  <c r="AI51" i="1"/>
  <c r="AJ50" i="1"/>
  <c r="AR50" i="1" s="1"/>
  <c r="AB84" i="1"/>
  <c r="AA83" i="5"/>
  <c r="Y84" i="5"/>
  <c r="AA83" i="3"/>
  <c r="AB82" i="3"/>
  <c r="AC82" i="3" s="1"/>
  <c r="AD129" i="1" l="1"/>
  <c r="AE128" i="1"/>
  <c r="AW50" i="1"/>
  <c r="AS50" i="1"/>
  <c r="AV50" i="1" s="1"/>
  <c r="BE50" i="1"/>
  <c r="BF49" i="1"/>
  <c r="BG49" i="1"/>
  <c r="BD48" i="1"/>
  <c r="BH48" i="1" s="1"/>
  <c r="BI48" i="1" s="1"/>
  <c r="AX49" i="1"/>
  <c r="AY49" i="1" s="1"/>
  <c r="AI52" i="1"/>
  <c r="AJ51" i="1"/>
  <c r="AR51" i="1" s="1"/>
  <c r="AH53" i="1"/>
  <c r="Y52" i="1"/>
  <c r="Z51" i="1"/>
  <c r="AB85" i="1"/>
  <c r="AA84" i="5"/>
  <c r="Y85" i="5"/>
  <c r="AA84" i="3"/>
  <c r="AB83" i="3"/>
  <c r="AC83" i="3" s="1"/>
  <c r="AD130" i="1" l="1"/>
  <c r="AE129" i="1"/>
  <c r="BE51" i="1"/>
  <c r="AW51" i="1"/>
  <c r="AS51" i="1"/>
  <c r="AV51" i="1" s="1"/>
  <c r="BF50" i="1"/>
  <c r="BG50" i="1"/>
  <c r="BD49" i="1"/>
  <c r="BH49" i="1" s="1"/>
  <c r="BI49" i="1" s="1"/>
  <c r="AX50" i="1"/>
  <c r="AY50" i="1" s="1"/>
  <c r="Z52" i="1"/>
  <c r="Y53" i="1"/>
  <c r="AI53" i="1"/>
  <c r="AJ53" i="1" s="1"/>
  <c r="AR53" i="1" s="1"/>
  <c r="AJ52" i="1"/>
  <c r="AR52" i="1" s="1"/>
  <c r="AB86" i="1"/>
  <c r="Y86" i="5"/>
  <c r="AA85" i="5"/>
  <c r="AA85" i="3"/>
  <c r="AB84" i="3"/>
  <c r="AC84" i="3" s="1"/>
  <c r="AD131" i="1" l="1"/>
  <c r="AE130" i="1"/>
  <c r="AW53" i="1"/>
  <c r="AW52" i="1"/>
  <c r="AS52" i="1"/>
  <c r="AV52" i="1" s="1"/>
  <c r="BE52" i="1"/>
  <c r="BF51" i="1"/>
  <c r="BG51" i="1"/>
  <c r="AS53" i="1"/>
  <c r="AV53" i="1" s="1"/>
  <c r="AX53" i="1" s="1"/>
  <c r="BE53" i="1"/>
  <c r="BD50" i="1"/>
  <c r="BH50" i="1" s="1"/>
  <c r="BI50" i="1" s="1"/>
  <c r="AX51" i="1"/>
  <c r="AY51" i="1" s="1"/>
  <c r="Y54" i="1"/>
  <c r="Z53" i="1"/>
  <c r="AB87" i="1"/>
  <c r="AA86" i="5"/>
  <c r="Y87" i="5"/>
  <c r="AA86" i="3"/>
  <c r="AB85" i="3"/>
  <c r="AC85" i="3" s="1"/>
  <c r="AD132" i="1" l="1"/>
  <c r="AE131" i="1"/>
  <c r="BF53" i="1"/>
  <c r="BG53" i="1"/>
  <c r="BF52" i="1"/>
  <c r="BG52" i="1"/>
  <c r="BD53" i="1"/>
  <c r="BH53" i="1" s="1"/>
  <c r="AY53" i="1"/>
  <c r="BD51" i="1"/>
  <c r="BH51" i="1" s="1"/>
  <c r="BI51" i="1" s="1"/>
  <c r="AX52" i="1"/>
  <c r="AY52" i="1" s="1"/>
  <c r="Z54" i="1"/>
  <c r="Y55" i="1"/>
  <c r="AB88" i="1"/>
  <c r="AA87" i="5"/>
  <c r="Y88" i="5"/>
  <c r="AA87" i="3"/>
  <c r="AB86" i="3"/>
  <c r="AC86" i="3" s="1"/>
  <c r="AE132" i="1" l="1"/>
  <c r="AD133" i="1"/>
  <c r="BI53" i="1"/>
  <c r="BD52" i="1"/>
  <c r="BH52" i="1" s="1"/>
  <c r="BI52" i="1" s="1"/>
  <c r="Z55" i="1"/>
  <c r="Y56" i="1"/>
  <c r="AB89" i="1"/>
  <c r="AA88" i="5"/>
  <c r="Y89" i="5"/>
  <c r="AA88" i="3"/>
  <c r="AB87" i="3"/>
  <c r="AC87" i="3" s="1"/>
  <c r="AD134" i="1" l="1"/>
  <c r="AE133" i="1"/>
  <c r="Y57" i="1"/>
  <c r="Z56" i="1"/>
  <c r="AB90" i="1"/>
  <c r="Y90" i="5"/>
  <c r="AA89" i="5"/>
  <c r="AA89" i="3"/>
  <c r="AB88" i="3"/>
  <c r="AC88" i="3" s="1"/>
  <c r="AE134" i="1" l="1"/>
  <c r="AD135" i="1"/>
  <c r="Z57" i="1"/>
  <c r="Y58" i="1"/>
  <c r="AB91" i="1"/>
  <c r="AA90" i="5"/>
  <c r="Y91" i="5"/>
  <c r="AA90" i="3"/>
  <c r="AB89" i="3"/>
  <c r="AC89" i="3" s="1"/>
  <c r="AE135" i="1" l="1"/>
  <c r="AD136" i="1"/>
  <c r="Z58" i="1"/>
  <c r="Y59" i="1"/>
  <c r="AB92" i="1"/>
  <c r="AA91" i="5"/>
  <c r="Y92" i="5"/>
  <c r="AB90" i="3"/>
  <c r="AC90" i="3" s="1"/>
  <c r="AA91" i="3"/>
  <c r="AE136" i="1" l="1"/>
  <c r="AD137" i="1"/>
  <c r="Y60" i="1"/>
  <c r="Z60" i="1" s="1"/>
  <c r="Z59" i="1"/>
  <c r="AB93" i="1"/>
  <c r="AA92" i="5"/>
  <c r="Y93" i="5"/>
  <c r="AA92" i="3"/>
  <c r="AB91" i="3"/>
  <c r="AC91" i="3" s="1"/>
  <c r="AE137" i="1" l="1"/>
  <c r="AD138" i="1"/>
  <c r="AB94" i="1"/>
  <c r="AA93" i="5"/>
  <c r="Y94" i="5"/>
  <c r="AA93" i="3"/>
  <c r="AB92" i="3"/>
  <c r="AC92" i="3" s="1"/>
  <c r="AE138" i="1" l="1"/>
  <c r="AD139" i="1"/>
  <c r="AB95" i="1"/>
  <c r="AA94" i="5"/>
  <c r="Y95" i="5"/>
  <c r="AA94" i="3"/>
  <c r="AB93" i="3"/>
  <c r="AC93" i="3" s="1"/>
  <c r="AE139" i="1" l="1"/>
  <c r="AD140" i="1"/>
  <c r="AB96" i="1"/>
  <c r="AA95" i="5"/>
  <c r="Y96" i="5"/>
  <c r="AA95" i="3"/>
  <c r="AB94" i="3"/>
  <c r="AC94" i="3" s="1"/>
  <c r="AE140" i="1" l="1"/>
  <c r="AD141" i="1"/>
  <c r="AB97" i="1"/>
  <c r="Y97" i="5"/>
  <c r="AA96" i="5"/>
  <c r="AB95" i="3"/>
  <c r="AC95" i="3" s="1"/>
  <c r="AA96" i="3"/>
  <c r="AD142" i="1" l="1"/>
  <c r="AE141" i="1"/>
  <c r="AB98" i="1"/>
  <c r="AA97" i="5"/>
  <c r="Y98" i="5"/>
  <c r="AB96" i="3"/>
  <c r="AC96" i="3" s="1"/>
  <c r="AA97" i="3"/>
  <c r="AD143" i="1" l="1"/>
  <c r="AE142" i="1"/>
  <c r="AB99" i="1"/>
  <c r="Y99" i="5"/>
  <c r="AA98" i="5"/>
  <c r="AA98" i="3"/>
  <c r="AB97" i="3"/>
  <c r="AC97" i="3" s="1"/>
  <c r="AD144" i="1" l="1"/>
  <c r="AE143" i="1"/>
  <c r="AB100" i="1"/>
  <c r="AA99" i="5"/>
  <c r="Y100" i="5"/>
  <c r="AB98" i="3"/>
  <c r="AC98" i="3" s="1"/>
  <c r="AA99" i="3"/>
  <c r="AD145" i="1" l="1"/>
  <c r="AE144" i="1"/>
  <c r="AB101" i="1"/>
  <c r="AA100" i="5"/>
  <c r="Y101" i="5"/>
  <c r="AA100" i="3"/>
  <c r="AB100" i="3" s="1"/>
  <c r="AB99" i="3"/>
  <c r="AC99" i="3" s="1"/>
  <c r="AD146" i="1" l="1"/>
  <c r="AE145" i="1"/>
  <c r="AB102" i="1"/>
  <c r="AA101" i="5"/>
  <c r="Y102" i="5"/>
  <c r="AD147" i="1" l="1"/>
  <c r="AE146" i="1"/>
  <c r="AB103" i="1"/>
  <c r="AA102" i="5"/>
  <c r="Y103" i="5"/>
  <c r="AD148" i="1" l="1"/>
  <c r="AE147" i="1"/>
  <c r="AB104" i="1"/>
  <c r="AA103" i="5"/>
  <c r="Y104" i="5"/>
  <c r="AE148" i="1" l="1"/>
  <c r="AD149" i="1"/>
  <c r="AB105" i="1"/>
  <c r="AA104" i="5"/>
  <c r="Y105" i="5"/>
  <c r="AD150" i="1" l="1"/>
  <c r="AE149" i="1"/>
  <c r="AB106" i="1"/>
  <c r="AA105" i="5"/>
  <c r="Y106" i="5"/>
  <c r="AD151" i="1" l="1"/>
  <c r="AE150" i="1"/>
  <c r="AB107" i="1"/>
  <c r="AA106" i="5"/>
  <c r="Y107" i="5"/>
  <c r="AE151" i="1" l="1"/>
  <c r="AD152" i="1"/>
  <c r="AB108" i="1"/>
  <c r="AA107" i="5"/>
  <c r="Y108" i="5"/>
  <c r="AD153" i="1" l="1"/>
  <c r="AE152" i="1"/>
  <c r="AB109" i="1"/>
  <c r="AA108" i="5"/>
  <c r="Y109" i="5"/>
  <c r="AE153" i="1" l="1"/>
  <c r="AD154" i="1"/>
  <c r="AB110" i="1"/>
  <c r="Y110" i="5"/>
  <c r="AA109" i="5"/>
  <c r="AE154" i="1" l="1"/>
  <c r="AD155" i="1"/>
  <c r="AB111" i="1"/>
  <c r="AA110" i="5"/>
  <c r="Y111" i="5"/>
  <c r="AE155" i="1" l="1"/>
  <c r="AD156" i="1"/>
  <c r="AB112" i="1"/>
  <c r="Y112" i="5"/>
  <c r="AA111" i="5"/>
  <c r="AE156" i="1" l="1"/>
  <c r="AD157" i="1"/>
  <c r="AB113" i="1"/>
  <c r="Y113" i="5"/>
  <c r="AD158" i="1" l="1"/>
  <c r="AE157" i="1"/>
  <c r="AB114" i="1"/>
  <c r="Y114" i="5"/>
  <c r="AD159" i="1" l="1"/>
  <c r="AE158" i="1"/>
  <c r="AB115" i="1"/>
  <c r="Y115" i="5"/>
  <c r="AD160" i="1" l="1"/>
  <c r="AE159" i="1"/>
  <c r="AB116" i="1"/>
  <c r="Y116" i="5"/>
  <c r="AD161" i="1" l="1"/>
  <c r="AE160" i="1"/>
  <c r="AB117" i="1"/>
  <c r="Y117" i="5"/>
  <c r="AD162" i="1" l="1"/>
  <c r="AE161" i="1"/>
  <c r="AB118" i="1"/>
  <c r="Y118" i="5"/>
  <c r="AD163" i="1" l="1"/>
  <c r="AE162" i="1"/>
  <c r="AB119" i="1"/>
  <c r="Y119" i="5"/>
  <c r="AE163" i="1" l="1"/>
  <c r="AD164" i="1"/>
  <c r="AB120" i="1"/>
  <c r="Y120" i="5"/>
  <c r="AE164" i="1" l="1"/>
  <c r="AD165" i="1"/>
  <c r="AB121" i="1"/>
  <c r="Y121" i="5"/>
  <c r="AE165" i="1" l="1"/>
  <c r="AD166" i="1"/>
  <c r="AB122" i="1"/>
  <c r="Y122" i="5"/>
  <c r="AE166" i="1" l="1"/>
  <c r="AD167" i="1"/>
  <c r="AB123" i="1"/>
  <c r="Y123" i="5"/>
  <c r="AE167" i="1" l="1"/>
  <c r="AD168" i="1"/>
  <c r="AB124" i="1"/>
  <c r="Y124" i="5"/>
  <c r="AE168" i="1" l="1"/>
  <c r="AD169" i="1"/>
  <c r="AB125" i="1"/>
  <c r="Y125" i="5"/>
  <c r="AE169" i="1" l="1"/>
  <c r="AD170" i="1"/>
  <c r="AB126" i="1"/>
  <c r="Y126" i="5"/>
  <c r="AE170" i="1" l="1"/>
  <c r="AD171" i="1"/>
  <c r="AB127" i="1"/>
  <c r="Y127" i="5"/>
  <c r="AE171" i="1" l="1"/>
  <c r="AD172" i="1"/>
  <c r="AB128" i="1"/>
  <c r="Y128" i="5"/>
  <c r="AE172" i="1" l="1"/>
  <c r="AD173" i="1"/>
  <c r="AB129" i="1"/>
  <c r="Y129" i="5"/>
  <c r="AD174" i="1" l="1"/>
  <c r="AE173" i="1"/>
  <c r="AB130" i="1"/>
  <c r="Y130" i="5"/>
  <c r="AD175" i="1" l="1"/>
  <c r="AE174" i="1"/>
  <c r="AB131" i="1"/>
  <c r="Y131" i="5"/>
  <c r="AD176" i="1" l="1"/>
  <c r="AE175" i="1"/>
  <c r="AB132" i="1"/>
  <c r="Y132" i="5"/>
  <c r="AD177" i="1" l="1"/>
  <c r="AE176" i="1"/>
  <c r="AB133" i="1"/>
  <c r="Y133" i="5"/>
  <c r="AD178" i="1" l="1"/>
  <c r="AE177" i="1"/>
  <c r="AB134" i="1"/>
  <c r="Y134" i="5"/>
  <c r="AE178" i="1" l="1"/>
  <c r="AD179" i="1"/>
  <c r="AB135" i="1"/>
  <c r="Y135" i="5"/>
  <c r="AD180" i="1" l="1"/>
  <c r="AE179" i="1"/>
  <c r="AB136" i="1"/>
  <c r="Y136" i="5"/>
  <c r="AE180" i="1" l="1"/>
  <c r="AD181" i="1"/>
  <c r="AB137" i="1"/>
  <c r="Y137" i="5"/>
  <c r="AE181" i="1" l="1"/>
  <c r="AD182" i="1"/>
  <c r="AB138" i="1"/>
  <c r="Y138" i="5"/>
  <c r="AE182" i="1" l="1"/>
  <c r="AD183" i="1"/>
  <c r="AB139" i="1"/>
  <c r="Y139" i="5"/>
  <c r="AD184" i="1" l="1"/>
  <c r="AE183" i="1"/>
  <c r="AB140" i="1"/>
  <c r="Y140" i="5"/>
  <c r="AD185" i="1" l="1"/>
  <c r="AE184" i="1"/>
  <c r="AB141" i="1"/>
  <c r="Y141" i="5"/>
  <c r="AD186" i="1" l="1"/>
  <c r="AE185" i="1"/>
  <c r="AB142" i="1"/>
  <c r="Y142" i="5"/>
  <c r="AE186" i="1" l="1"/>
  <c r="AD187" i="1"/>
  <c r="AB143" i="1"/>
  <c r="Y143" i="5"/>
  <c r="AE187" i="1" l="1"/>
  <c r="AD188" i="1"/>
  <c r="AB144" i="1"/>
  <c r="Y144" i="5"/>
  <c r="AE188" i="1" l="1"/>
  <c r="AD189" i="1"/>
  <c r="AB145" i="1"/>
  <c r="Y145" i="5"/>
  <c r="AD190" i="1" l="1"/>
  <c r="AE189" i="1"/>
  <c r="AB146" i="1"/>
  <c r="Y146" i="5"/>
  <c r="AD191" i="1" l="1"/>
  <c r="AE190" i="1"/>
  <c r="AB147" i="1"/>
  <c r="Y147" i="5"/>
  <c r="AD192" i="1" l="1"/>
  <c r="AE191" i="1"/>
  <c r="AB148" i="1"/>
  <c r="Y148" i="5"/>
  <c r="AD193" i="1" l="1"/>
  <c r="AE192" i="1"/>
  <c r="AB149" i="1"/>
  <c r="Y149" i="5"/>
  <c r="AD194" i="1" l="1"/>
  <c r="AE193" i="1"/>
  <c r="AB150" i="1"/>
  <c r="Y150" i="5"/>
  <c r="AE194" i="1" l="1"/>
  <c r="AD195" i="1"/>
  <c r="AB151" i="1"/>
  <c r="Y151" i="5"/>
  <c r="AD196" i="1" l="1"/>
  <c r="AE195" i="1"/>
  <c r="AB152" i="1"/>
  <c r="Y152" i="5"/>
  <c r="AD197" i="1" l="1"/>
  <c r="AE196" i="1"/>
  <c r="AB153" i="1"/>
  <c r="Y153" i="5"/>
  <c r="AD198" i="1" l="1"/>
  <c r="AE197" i="1"/>
  <c r="AB154" i="1"/>
  <c r="Y154" i="5"/>
  <c r="Y155" i="5" s="1"/>
  <c r="Y156" i="5" s="1"/>
  <c r="Y157" i="5" s="1"/>
  <c r="AD199" i="1" l="1"/>
  <c r="AE198" i="1"/>
  <c r="AB155" i="1"/>
  <c r="AE199" i="1" l="1"/>
  <c r="AD200" i="1"/>
  <c r="AB156" i="1"/>
  <c r="AD201" i="1" l="1"/>
  <c r="AE200" i="1"/>
  <c r="AB157" i="1"/>
  <c r="AE201" i="1" l="1"/>
  <c r="AD202" i="1"/>
  <c r="AB158" i="1"/>
  <c r="AE202" i="1" l="1"/>
  <c r="AD203" i="1"/>
  <c r="AB159" i="1"/>
  <c r="AE203" i="1" l="1"/>
  <c r="AD204" i="1"/>
  <c r="AB160" i="1"/>
  <c r="AE204" i="1" l="1"/>
  <c r="AD205" i="1"/>
  <c r="AB161" i="1"/>
  <c r="AD206" i="1" l="1"/>
  <c r="AE205" i="1"/>
  <c r="AB162" i="1"/>
  <c r="AD207" i="1" l="1"/>
  <c r="AE206" i="1"/>
  <c r="AB163" i="1"/>
  <c r="AD208" i="1" l="1"/>
  <c r="AE207" i="1"/>
  <c r="AB164" i="1"/>
  <c r="AD209" i="1" l="1"/>
  <c r="AE208" i="1"/>
  <c r="AB165" i="1"/>
  <c r="AD210" i="1" l="1"/>
  <c r="AE209" i="1"/>
  <c r="AB166" i="1"/>
  <c r="AE210" i="1" l="1"/>
  <c r="AD211" i="1"/>
  <c r="AB167" i="1"/>
  <c r="AD212" i="1" l="1"/>
  <c r="AE211" i="1"/>
  <c r="AB168" i="1"/>
  <c r="AE212" i="1" l="1"/>
  <c r="AD213" i="1"/>
  <c r="AB169" i="1"/>
  <c r="AE213" i="1" l="1"/>
  <c r="AD214" i="1"/>
  <c r="AB170" i="1"/>
  <c r="AE214" i="1" l="1"/>
  <c r="AD215" i="1"/>
  <c r="AB171" i="1"/>
  <c r="AE215" i="1" l="1"/>
  <c r="AD216" i="1"/>
  <c r="AB172" i="1"/>
  <c r="AD217" i="1" l="1"/>
  <c r="AE216" i="1"/>
  <c r="AB173" i="1"/>
  <c r="AD218" i="1" l="1"/>
  <c r="AE217" i="1"/>
  <c r="AB174" i="1"/>
  <c r="AE218" i="1" l="1"/>
  <c r="AD219" i="1"/>
  <c r="AB175" i="1"/>
  <c r="AE219" i="1" l="1"/>
  <c r="AD220" i="1"/>
  <c r="AB176" i="1"/>
  <c r="AE220" i="1" l="1"/>
  <c r="AD221" i="1"/>
  <c r="AB177" i="1"/>
  <c r="AD222" i="1" l="1"/>
  <c r="AE221" i="1"/>
  <c r="AB178" i="1"/>
  <c r="AD223" i="1" l="1"/>
  <c r="AE222" i="1"/>
  <c r="AB179" i="1"/>
  <c r="AD224" i="1" l="1"/>
  <c r="AE223" i="1"/>
  <c r="AB180" i="1"/>
  <c r="AD225" i="1" l="1"/>
  <c r="AE224" i="1"/>
  <c r="AB181" i="1"/>
  <c r="AD226" i="1" l="1"/>
  <c r="AE225" i="1"/>
  <c r="AB182" i="1"/>
  <c r="AD227" i="1" l="1"/>
  <c r="AE226" i="1"/>
  <c r="AB183" i="1"/>
  <c r="AE227" i="1" l="1"/>
  <c r="AD228" i="1"/>
  <c r="AB184" i="1"/>
  <c r="AD229" i="1" l="1"/>
  <c r="AE228" i="1"/>
  <c r="AB185" i="1"/>
  <c r="AE229" i="1" l="1"/>
  <c r="AD230" i="1"/>
  <c r="AB186" i="1"/>
  <c r="AE230" i="1" l="1"/>
  <c r="AD231" i="1"/>
  <c r="AB187" i="1"/>
  <c r="AE231" i="1" l="1"/>
  <c r="AD232" i="1"/>
  <c r="AB188" i="1"/>
  <c r="AE232" i="1" l="1"/>
  <c r="AD233" i="1"/>
  <c r="AB189" i="1"/>
  <c r="AE233" i="1" l="1"/>
  <c r="AD234" i="1"/>
  <c r="AB190" i="1"/>
  <c r="AE234" i="1" l="1"/>
  <c r="AD235" i="1"/>
  <c r="AB191" i="1"/>
  <c r="AE235" i="1" l="1"/>
  <c r="AD236" i="1"/>
  <c r="AB192" i="1"/>
  <c r="AE236" i="1" l="1"/>
  <c r="AD237" i="1"/>
  <c r="AB193" i="1"/>
  <c r="AD238" i="1" l="1"/>
  <c r="AE237" i="1"/>
  <c r="AB194" i="1"/>
  <c r="AD239" i="1" l="1"/>
  <c r="AE238" i="1"/>
  <c r="AB195" i="1"/>
  <c r="AD240" i="1" l="1"/>
  <c r="AE239" i="1"/>
  <c r="AB196" i="1"/>
  <c r="AD241" i="1" l="1"/>
  <c r="AE240" i="1"/>
  <c r="AB197" i="1"/>
  <c r="AD242" i="1" l="1"/>
  <c r="AE241" i="1"/>
  <c r="AB198" i="1"/>
  <c r="AD243" i="1" l="1"/>
  <c r="AE242" i="1"/>
  <c r="AB199" i="1"/>
  <c r="AD244" i="1" l="1"/>
  <c r="AE243" i="1"/>
  <c r="AB200" i="1"/>
  <c r="AD245" i="1" l="1"/>
  <c r="AE244" i="1"/>
  <c r="AB201" i="1"/>
  <c r="AD246" i="1" l="1"/>
  <c r="AE245" i="1"/>
  <c r="AB202" i="1"/>
  <c r="AD247" i="1" l="1"/>
  <c r="AE246" i="1"/>
  <c r="AB203" i="1"/>
  <c r="AD248" i="1" l="1"/>
  <c r="AE247" i="1"/>
  <c r="AB204" i="1"/>
  <c r="AD249" i="1" l="1"/>
  <c r="AE248" i="1"/>
  <c r="AB205" i="1"/>
  <c r="AD250" i="1" l="1"/>
  <c r="AE249" i="1"/>
  <c r="AB206" i="1"/>
  <c r="AD251" i="1" l="1"/>
  <c r="AE250" i="1"/>
  <c r="AB207" i="1"/>
  <c r="AE251" i="1" l="1"/>
  <c r="AD252" i="1"/>
  <c r="AB208" i="1"/>
  <c r="AE252" i="1" l="1"/>
  <c r="AD253" i="1"/>
  <c r="AB209" i="1"/>
  <c r="AD254" i="1" l="1"/>
  <c r="AE253" i="1"/>
  <c r="AB210" i="1"/>
  <c r="AD255" i="1" l="1"/>
  <c r="AE254" i="1"/>
  <c r="AB211" i="1"/>
  <c r="AD256" i="1" l="1"/>
  <c r="AE255" i="1"/>
  <c r="AB212" i="1"/>
  <c r="AD257" i="1" l="1"/>
  <c r="AE256" i="1"/>
  <c r="AB213" i="1"/>
  <c r="AE257" i="1" l="1"/>
  <c r="AD258" i="1"/>
  <c r="AB214" i="1"/>
  <c r="AE258" i="1" l="1"/>
  <c r="AD259" i="1"/>
  <c r="AB215" i="1"/>
  <c r="AE259" i="1" l="1"/>
  <c r="AD260" i="1"/>
  <c r="AB216" i="1"/>
  <c r="AD261" i="1" l="1"/>
  <c r="AE260" i="1"/>
  <c r="AB217" i="1"/>
  <c r="AD262" i="1" l="1"/>
  <c r="AE261" i="1"/>
  <c r="AB218" i="1"/>
  <c r="AD263" i="1" l="1"/>
  <c r="AE262" i="1"/>
  <c r="AB219" i="1"/>
  <c r="AD264" i="1" l="1"/>
  <c r="AE263" i="1"/>
  <c r="AB220" i="1"/>
  <c r="AE264" i="1" l="1"/>
  <c r="AD265" i="1"/>
  <c r="AB221" i="1"/>
  <c r="AD266" i="1" l="1"/>
  <c r="AE265" i="1"/>
  <c r="AB222" i="1"/>
  <c r="AE266" i="1" l="1"/>
  <c r="AD267" i="1"/>
  <c r="AB223" i="1"/>
  <c r="AE267" i="1" l="1"/>
  <c r="AD268" i="1"/>
  <c r="AB224" i="1"/>
  <c r="AE268" i="1" l="1"/>
  <c r="AD269" i="1"/>
  <c r="AB225" i="1"/>
  <c r="AD270" i="1" l="1"/>
  <c r="AE269" i="1"/>
  <c r="AB226" i="1"/>
  <c r="AD271" i="1" l="1"/>
  <c r="AE270" i="1"/>
  <c r="AB227" i="1"/>
  <c r="AD272" i="1" l="1"/>
  <c r="AE271" i="1"/>
  <c r="AB228" i="1"/>
  <c r="AD273" i="1" l="1"/>
  <c r="AE272" i="1"/>
  <c r="AB229" i="1"/>
  <c r="AD274" i="1" l="1"/>
  <c r="AE273" i="1"/>
  <c r="AB230" i="1"/>
  <c r="AE274" i="1" l="1"/>
  <c r="AD275" i="1"/>
  <c r="AB231" i="1"/>
  <c r="AE275" i="1" l="1"/>
  <c r="AD276" i="1"/>
  <c r="AB232" i="1"/>
  <c r="AE276" i="1" l="1"/>
  <c r="AD277" i="1"/>
  <c r="AB233" i="1"/>
  <c r="AE277" i="1" l="1"/>
  <c r="AD278" i="1"/>
  <c r="AB234" i="1"/>
  <c r="AE278" i="1" l="1"/>
  <c r="AD279" i="1"/>
  <c r="AB235" i="1"/>
  <c r="AE279" i="1" l="1"/>
  <c r="AD280" i="1"/>
  <c r="AB236" i="1"/>
  <c r="AD281" i="1" l="1"/>
  <c r="AE280" i="1"/>
  <c r="AB237" i="1"/>
  <c r="AD282" i="1" l="1"/>
  <c r="AE281" i="1"/>
  <c r="AB238" i="1"/>
  <c r="AD283" i="1" l="1"/>
  <c r="AE282" i="1"/>
  <c r="AB239" i="1"/>
  <c r="AE283" i="1" l="1"/>
  <c r="AD284" i="1"/>
  <c r="AB240" i="1"/>
  <c r="AE284" i="1" l="1"/>
  <c r="AD285" i="1"/>
  <c r="AB241" i="1"/>
  <c r="AD286" i="1" l="1"/>
  <c r="AE285" i="1"/>
  <c r="AB242" i="1"/>
  <c r="AD287" i="1" l="1"/>
  <c r="AE286" i="1"/>
  <c r="AB243" i="1"/>
  <c r="AD288" i="1" l="1"/>
  <c r="AE287" i="1"/>
  <c r="AB244" i="1"/>
  <c r="AD289" i="1" l="1"/>
  <c r="AE288" i="1"/>
  <c r="AB245" i="1"/>
  <c r="AD290" i="1" l="1"/>
  <c r="AE289" i="1"/>
  <c r="AB246" i="1"/>
  <c r="AE290" i="1" l="1"/>
  <c r="AD291" i="1"/>
  <c r="AB247" i="1"/>
  <c r="AE291" i="1" l="1"/>
  <c r="AD292" i="1"/>
  <c r="AB248" i="1"/>
  <c r="AE292" i="1" l="1"/>
  <c r="AD293" i="1"/>
  <c r="AB249" i="1"/>
  <c r="AE293" i="1" l="1"/>
  <c r="AD294" i="1"/>
  <c r="AB250" i="1"/>
  <c r="AE294" i="1" l="1"/>
  <c r="AD295" i="1"/>
  <c r="AB251" i="1"/>
  <c r="AD296" i="1" l="1"/>
  <c r="AE295" i="1"/>
  <c r="AB252" i="1"/>
  <c r="AD297" i="1" l="1"/>
  <c r="AE296" i="1"/>
  <c r="AB253" i="1"/>
  <c r="AE297" i="1" l="1"/>
  <c r="AD298" i="1"/>
  <c r="AB254" i="1"/>
  <c r="AE298" i="1" l="1"/>
  <c r="AD299" i="1"/>
  <c r="AB255" i="1"/>
  <c r="AE299" i="1" l="1"/>
  <c r="AD300" i="1"/>
  <c r="AB256" i="1"/>
  <c r="AE300" i="1" l="1"/>
  <c r="AD301" i="1"/>
  <c r="AB257" i="1"/>
  <c r="AD302" i="1" l="1"/>
  <c r="AE301" i="1"/>
  <c r="AB258" i="1"/>
  <c r="AD303" i="1" l="1"/>
  <c r="AE302" i="1"/>
  <c r="AB259" i="1"/>
  <c r="AD304" i="1" l="1"/>
  <c r="AE303" i="1"/>
  <c r="AB260" i="1"/>
  <c r="AD305" i="1" l="1"/>
  <c r="AE304" i="1"/>
  <c r="AB261" i="1"/>
  <c r="AD306" i="1" l="1"/>
  <c r="AE305" i="1"/>
  <c r="AB262" i="1"/>
  <c r="AD307" i="1" l="1"/>
  <c r="AE306" i="1"/>
  <c r="AB263" i="1"/>
  <c r="AD308" i="1" l="1"/>
  <c r="AE307" i="1"/>
  <c r="AB264" i="1"/>
  <c r="AD309" i="1" l="1"/>
  <c r="AE308" i="1"/>
  <c r="AB265" i="1"/>
  <c r="AD310" i="1" l="1"/>
  <c r="AE309" i="1"/>
  <c r="AB266" i="1"/>
  <c r="AE310" i="1" l="1"/>
  <c r="AD311" i="1"/>
  <c r="AB267" i="1"/>
  <c r="AD312" i="1" l="1"/>
  <c r="AE311" i="1"/>
  <c r="AB268" i="1"/>
  <c r="AD313" i="1" l="1"/>
  <c r="AE312" i="1"/>
  <c r="AB269" i="1"/>
  <c r="AD314" i="1" l="1"/>
  <c r="AE313" i="1"/>
  <c r="AB270" i="1"/>
  <c r="AD315" i="1" l="1"/>
  <c r="AE314" i="1"/>
  <c r="AB271" i="1"/>
  <c r="AE315" i="1" l="1"/>
  <c r="AD316" i="1"/>
  <c r="AB272" i="1"/>
  <c r="AE316" i="1" l="1"/>
  <c r="AD317" i="1"/>
  <c r="AB273" i="1"/>
  <c r="AD318" i="1" l="1"/>
  <c r="AE317" i="1"/>
  <c r="AB274" i="1"/>
  <c r="AD319" i="1" l="1"/>
  <c r="AE318" i="1"/>
  <c r="AB275" i="1"/>
  <c r="AD320" i="1" l="1"/>
  <c r="AE319" i="1"/>
  <c r="AB276" i="1"/>
  <c r="AD321" i="1" l="1"/>
  <c r="AE320" i="1"/>
  <c r="AB277" i="1"/>
  <c r="AE321" i="1" l="1"/>
  <c r="AD322" i="1"/>
  <c r="AB278" i="1"/>
  <c r="AE322" i="1" l="1"/>
  <c r="AD323" i="1"/>
  <c r="AB279" i="1"/>
  <c r="AE323" i="1" l="1"/>
  <c r="AD324" i="1"/>
  <c r="AB280" i="1"/>
  <c r="AD325" i="1" l="1"/>
  <c r="AE324" i="1"/>
  <c r="AB281" i="1"/>
  <c r="AD326" i="1" l="1"/>
  <c r="AE325" i="1"/>
  <c r="AB282" i="1"/>
  <c r="AD327" i="1" l="1"/>
  <c r="AE326" i="1"/>
  <c r="AB283" i="1"/>
  <c r="AD328" i="1" l="1"/>
  <c r="AE327" i="1"/>
  <c r="AB284" i="1"/>
  <c r="AE328" i="1" l="1"/>
  <c r="AD329" i="1"/>
  <c r="AB285" i="1"/>
  <c r="AD330" i="1" l="1"/>
  <c r="AE329" i="1"/>
  <c r="AB286" i="1"/>
  <c r="AE330" i="1" l="1"/>
  <c r="AD331" i="1"/>
  <c r="AB287" i="1"/>
  <c r="AE331" i="1" l="1"/>
  <c r="AD332" i="1"/>
  <c r="AB288" i="1"/>
  <c r="AE332" i="1" l="1"/>
  <c r="AD333" i="1"/>
  <c r="AB289" i="1"/>
  <c r="AD334" i="1" l="1"/>
  <c r="AE333" i="1"/>
  <c r="AB290" i="1"/>
  <c r="AD335" i="1" l="1"/>
  <c r="AE334" i="1"/>
  <c r="AB291" i="1"/>
  <c r="AD336" i="1" l="1"/>
  <c r="AE335" i="1"/>
  <c r="AB292" i="1"/>
  <c r="AD337" i="1" l="1"/>
  <c r="AE336" i="1"/>
  <c r="AB293" i="1"/>
  <c r="AD338" i="1" l="1"/>
  <c r="AE337" i="1"/>
  <c r="AB294" i="1"/>
  <c r="AD339" i="1" l="1"/>
  <c r="AE338" i="1"/>
  <c r="AB295" i="1"/>
  <c r="AD340" i="1" l="1"/>
  <c r="AE339" i="1"/>
  <c r="AB296" i="1"/>
  <c r="AD341" i="1" l="1"/>
  <c r="AE340" i="1"/>
  <c r="AB297" i="1"/>
  <c r="AE341" i="1" l="1"/>
  <c r="AD342" i="1"/>
  <c r="AB298" i="1"/>
  <c r="AE342" i="1" l="1"/>
  <c r="AD343" i="1"/>
  <c r="AB299" i="1"/>
  <c r="AE343" i="1" l="1"/>
  <c r="AD344" i="1"/>
  <c r="AB300" i="1"/>
  <c r="AD345" i="1" l="1"/>
  <c r="AE344" i="1"/>
  <c r="AB301" i="1"/>
  <c r="AD346" i="1" l="1"/>
  <c r="AE345" i="1"/>
  <c r="AB302" i="1"/>
  <c r="AD347" i="1" l="1"/>
  <c r="AE346" i="1"/>
  <c r="AB303" i="1"/>
  <c r="AE347" i="1" l="1"/>
  <c r="AD348" i="1"/>
  <c r="AB304" i="1"/>
  <c r="AE348" i="1" l="1"/>
  <c r="AD349" i="1"/>
  <c r="AB305" i="1"/>
  <c r="AD350" i="1" l="1"/>
  <c r="AE349" i="1"/>
  <c r="AB306" i="1"/>
  <c r="AD351" i="1" l="1"/>
  <c r="AE350" i="1"/>
  <c r="AB307" i="1"/>
  <c r="AD352" i="1" l="1"/>
  <c r="AE351" i="1"/>
  <c r="AB308" i="1"/>
  <c r="AD353" i="1" l="1"/>
  <c r="AE352" i="1"/>
  <c r="AB309" i="1"/>
  <c r="AD354" i="1" l="1"/>
  <c r="AE353" i="1"/>
  <c r="AB310" i="1"/>
  <c r="AE354" i="1" l="1"/>
  <c r="AD355" i="1"/>
  <c r="AB311" i="1"/>
  <c r="AE355" i="1" l="1"/>
  <c r="AD356" i="1"/>
  <c r="AB312" i="1"/>
  <c r="AE356" i="1" l="1"/>
  <c r="AD357" i="1"/>
  <c r="AB313" i="1"/>
  <c r="AE357" i="1" l="1"/>
  <c r="AD358" i="1"/>
  <c r="AB314" i="1"/>
  <c r="AE358" i="1" l="1"/>
  <c r="AD359" i="1"/>
  <c r="AB315" i="1"/>
  <c r="AD360" i="1" l="1"/>
  <c r="AE359" i="1"/>
  <c r="AB316" i="1"/>
  <c r="AD361" i="1" l="1"/>
  <c r="AE360" i="1"/>
  <c r="AB317" i="1"/>
  <c r="AE361" i="1" l="1"/>
  <c r="AD362" i="1"/>
  <c r="AB318" i="1"/>
  <c r="AE362" i="1" l="1"/>
  <c r="AD363" i="1"/>
  <c r="AB319" i="1"/>
  <c r="AE363" i="1" l="1"/>
  <c r="AD364" i="1"/>
  <c r="AB320" i="1"/>
  <c r="AE364" i="1" l="1"/>
  <c r="AD365" i="1"/>
  <c r="AB321" i="1"/>
  <c r="AD366" i="1" l="1"/>
  <c r="AE365" i="1"/>
  <c r="AB322" i="1"/>
  <c r="AE366" i="1" l="1"/>
  <c r="AD367" i="1"/>
  <c r="AB323" i="1"/>
  <c r="AD368" i="1" l="1"/>
  <c r="AE367" i="1"/>
  <c r="AB324" i="1"/>
  <c r="AD369" i="1" l="1"/>
  <c r="AE368" i="1"/>
  <c r="AB325" i="1"/>
  <c r="AD370" i="1" l="1"/>
  <c r="AE369" i="1"/>
  <c r="AB326" i="1"/>
  <c r="AD371" i="1" l="1"/>
  <c r="AE370" i="1"/>
  <c r="AB327" i="1"/>
  <c r="AD372" i="1" l="1"/>
  <c r="AE371" i="1"/>
  <c r="AB328" i="1"/>
  <c r="AD373" i="1" l="1"/>
  <c r="AE372" i="1"/>
  <c r="AB329" i="1"/>
  <c r="AD374" i="1" l="1"/>
  <c r="AE373" i="1"/>
  <c r="AB330" i="1"/>
  <c r="AD375" i="1" l="1"/>
  <c r="AE374" i="1"/>
  <c r="AB331" i="1"/>
  <c r="AD376" i="1" l="1"/>
  <c r="AE375" i="1"/>
  <c r="AB332" i="1"/>
  <c r="AD377" i="1" l="1"/>
  <c r="AE376" i="1"/>
  <c r="AB333" i="1"/>
  <c r="AD378" i="1" l="1"/>
  <c r="AE377" i="1"/>
  <c r="AB334" i="1"/>
  <c r="AE378" i="1" l="1"/>
  <c r="AD379" i="1"/>
  <c r="AB335" i="1"/>
  <c r="AE379" i="1" l="1"/>
  <c r="AD380" i="1"/>
  <c r="AB336" i="1"/>
  <c r="AE380" i="1" l="1"/>
  <c r="AD381" i="1"/>
  <c r="AB337" i="1"/>
  <c r="AD382" i="1" l="1"/>
  <c r="AE381" i="1"/>
  <c r="AB338" i="1"/>
  <c r="AD383" i="1" l="1"/>
  <c r="AE382" i="1"/>
  <c r="AB339" i="1"/>
  <c r="AD384" i="1" l="1"/>
  <c r="AE383" i="1"/>
  <c r="AB340" i="1"/>
  <c r="AD385" i="1" l="1"/>
  <c r="AE384" i="1"/>
  <c r="AB341" i="1"/>
  <c r="AE385" i="1" l="1"/>
  <c r="AD386" i="1"/>
  <c r="AB342" i="1"/>
  <c r="AE386" i="1" l="1"/>
  <c r="AD387" i="1"/>
  <c r="AB343" i="1"/>
  <c r="AE387" i="1" l="1"/>
  <c r="AD388" i="1"/>
  <c r="AB344" i="1"/>
  <c r="AD389" i="1" l="1"/>
  <c r="AE388" i="1"/>
  <c r="AB345" i="1"/>
  <c r="AD390" i="1" l="1"/>
  <c r="AE389" i="1"/>
  <c r="AB346" i="1"/>
  <c r="AD391" i="1" l="1"/>
  <c r="AE390" i="1"/>
  <c r="AB347" i="1"/>
  <c r="AD392" i="1" l="1"/>
  <c r="AE391" i="1"/>
  <c r="AB348" i="1"/>
  <c r="AD393" i="1" l="1"/>
  <c r="AE392" i="1"/>
  <c r="AB349" i="1"/>
  <c r="AD394" i="1" l="1"/>
  <c r="AE393" i="1"/>
  <c r="AB350" i="1"/>
  <c r="AD395" i="1" l="1"/>
  <c r="AE394" i="1"/>
  <c r="AB351" i="1"/>
  <c r="AE395" i="1" l="1"/>
  <c r="AD396" i="1"/>
  <c r="AB352" i="1"/>
  <c r="AE396" i="1" l="1"/>
  <c r="AD397" i="1"/>
  <c r="AB353" i="1"/>
  <c r="AD398" i="1" l="1"/>
  <c r="AE397" i="1"/>
  <c r="AB354" i="1"/>
  <c r="AD399" i="1" l="1"/>
  <c r="AE398" i="1"/>
  <c r="AB355" i="1"/>
  <c r="AD400" i="1" l="1"/>
  <c r="AE399" i="1"/>
  <c r="AB356" i="1"/>
  <c r="AD401" i="1" l="1"/>
  <c r="AE400" i="1"/>
  <c r="AB357" i="1"/>
  <c r="AD402" i="1" l="1"/>
  <c r="AE401" i="1"/>
  <c r="AB358" i="1"/>
  <c r="AD403" i="1" l="1"/>
  <c r="AE402" i="1"/>
  <c r="AB359" i="1"/>
  <c r="AD404" i="1" l="1"/>
  <c r="AE403" i="1"/>
  <c r="AB360" i="1"/>
  <c r="AD405" i="1" l="1"/>
  <c r="AE404" i="1"/>
  <c r="AB361" i="1"/>
  <c r="AE405" i="1" l="1"/>
  <c r="AD406" i="1"/>
  <c r="AB362" i="1"/>
  <c r="AE406" i="1" l="1"/>
  <c r="AD407" i="1"/>
  <c r="AB363" i="1"/>
  <c r="AE407" i="1" l="1"/>
  <c r="AD408" i="1"/>
  <c r="AB364" i="1"/>
  <c r="AD409" i="1" l="1"/>
  <c r="AE408" i="1"/>
  <c r="AB365" i="1"/>
  <c r="AD410" i="1" l="1"/>
  <c r="AE409" i="1"/>
  <c r="AB366" i="1"/>
  <c r="AD411" i="1" l="1"/>
  <c r="AE410" i="1"/>
  <c r="AB367" i="1"/>
  <c r="AE411" i="1" l="1"/>
  <c r="AD412" i="1"/>
  <c r="AB368" i="1"/>
  <c r="AE412" i="1" l="1"/>
  <c r="AD413" i="1"/>
  <c r="AB369" i="1"/>
  <c r="AD414" i="1" l="1"/>
  <c r="AE413" i="1"/>
  <c r="AB370" i="1"/>
  <c r="AD415" i="1" l="1"/>
  <c r="AE414" i="1"/>
  <c r="AB371" i="1"/>
  <c r="AD416" i="1" l="1"/>
  <c r="AE415" i="1"/>
  <c r="AB372" i="1"/>
  <c r="AD417" i="1" l="1"/>
  <c r="AE416" i="1"/>
  <c r="AB373" i="1"/>
  <c r="AD418" i="1" l="1"/>
  <c r="AE417" i="1"/>
  <c r="AB374" i="1"/>
  <c r="AE418" i="1" l="1"/>
  <c r="AD419" i="1"/>
  <c r="AB375" i="1"/>
  <c r="AD420" i="1" l="1"/>
  <c r="AE419" i="1"/>
  <c r="AB376" i="1"/>
  <c r="AD421" i="1" l="1"/>
  <c r="AE420" i="1"/>
  <c r="AB377" i="1"/>
  <c r="AD422" i="1" l="1"/>
  <c r="AE421" i="1"/>
  <c r="AB378" i="1"/>
  <c r="AD423" i="1" l="1"/>
  <c r="AE422" i="1"/>
  <c r="BY5" i="1"/>
  <c r="AD424" i="1" l="1"/>
  <c r="AE423" i="1"/>
  <c r="AD425" i="1" l="1"/>
  <c r="AE424" i="1"/>
  <c r="AE425" i="1" l="1"/>
  <c r="AD426" i="1"/>
  <c r="AE426" i="1" l="1"/>
  <c r="AD427" i="1"/>
  <c r="AE427" i="1" l="1"/>
  <c r="AD428" i="1"/>
  <c r="AE428" i="1" l="1"/>
  <c r="AD429" i="1"/>
  <c r="AD430" i="1" l="1"/>
  <c r="AE429" i="1"/>
  <c r="AD431" i="1" l="1"/>
  <c r="AE430" i="1"/>
  <c r="AD432" i="1" l="1"/>
  <c r="AE431" i="1"/>
  <c r="AD433" i="1" l="1"/>
  <c r="AE432" i="1"/>
  <c r="AD434" i="1" l="1"/>
  <c r="AE433" i="1"/>
  <c r="AD435" i="1" l="1"/>
  <c r="AE434" i="1"/>
  <c r="AD436" i="1" l="1"/>
  <c r="AE435" i="1"/>
  <c r="AD437" i="1" l="1"/>
  <c r="AE436" i="1"/>
  <c r="AD438" i="1" l="1"/>
  <c r="AE437" i="1"/>
  <c r="AE438" i="1" l="1"/>
  <c r="AD439" i="1"/>
  <c r="AE439" i="1" l="1"/>
  <c r="AD440" i="1"/>
  <c r="AD441" i="1" l="1"/>
  <c r="AE440" i="1"/>
  <c r="AD442" i="1" l="1"/>
  <c r="AE441" i="1"/>
  <c r="AE442" i="1" l="1"/>
  <c r="AD443" i="1"/>
  <c r="AE443" i="1" l="1"/>
  <c r="AD444" i="1"/>
  <c r="AE444" i="1" l="1"/>
  <c r="AD445" i="1"/>
  <c r="AD446" i="1" l="1"/>
  <c r="AE445" i="1"/>
  <c r="AD447" i="1" l="1"/>
  <c r="AE446" i="1"/>
  <c r="AD448" i="1" l="1"/>
  <c r="AE447" i="1"/>
  <c r="AD449" i="1" l="1"/>
  <c r="AE448" i="1"/>
  <c r="AE449" i="1" l="1"/>
  <c r="AD450" i="1"/>
  <c r="AE450" i="1" l="1"/>
  <c r="AD451" i="1"/>
  <c r="AE451" i="1" l="1"/>
  <c r="AD452" i="1"/>
  <c r="AD453" i="1" l="1"/>
  <c r="AE452" i="1"/>
  <c r="AD454" i="1" l="1"/>
  <c r="AE453" i="1"/>
  <c r="AD455" i="1" l="1"/>
  <c r="AE454" i="1"/>
  <c r="AD456" i="1" l="1"/>
  <c r="AE455" i="1"/>
  <c r="AD457" i="1" l="1"/>
  <c r="AE456" i="1"/>
  <c r="AD458" i="1" l="1"/>
  <c r="AE457" i="1"/>
  <c r="AD459" i="1" l="1"/>
  <c r="AE458" i="1"/>
  <c r="AE459" i="1" l="1"/>
  <c r="AD460" i="1"/>
  <c r="AE460" i="1" l="1"/>
  <c r="AD461" i="1"/>
  <c r="AD462" i="1" l="1"/>
  <c r="AE461" i="1"/>
  <c r="AD463" i="1" l="1"/>
  <c r="AE462" i="1"/>
  <c r="AD464" i="1" l="1"/>
  <c r="AE463" i="1"/>
  <c r="AD465" i="1" l="1"/>
  <c r="AE464" i="1"/>
  <c r="AD466" i="1" l="1"/>
  <c r="AE465" i="1"/>
  <c r="AE466" i="1" l="1"/>
  <c r="AD467" i="1"/>
  <c r="AE467" i="1" l="1"/>
  <c r="AD468" i="1"/>
  <c r="AE468" i="1" l="1"/>
  <c r="AD469" i="1"/>
  <c r="AE469" i="1" l="1"/>
  <c r="AD470" i="1"/>
  <c r="AE470" i="1" l="1"/>
  <c r="AD471" i="1"/>
  <c r="AE471" i="1" l="1"/>
  <c r="AD472" i="1"/>
  <c r="AD473" i="1" l="1"/>
  <c r="AE472" i="1"/>
  <c r="AD474" i="1" l="1"/>
  <c r="AE473" i="1"/>
  <c r="AD475" i="1" l="1"/>
  <c r="AE474" i="1"/>
  <c r="AE475" i="1" l="1"/>
  <c r="AD476" i="1"/>
  <c r="AE476" i="1" l="1"/>
  <c r="AD477" i="1"/>
  <c r="AD478" i="1" l="1"/>
  <c r="AE477" i="1"/>
  <c r="AD479" i="1" l="1"/>
  <c r="AE478" i="1"/>
  <c r="AD480" i="1" l="1"/>
  <c r="AE479" i="1"/>
  <c r="AD481" i="1" l="1"/>
  <c r="AE480" i="1"/>
  <c r="AD482" i="1" l="1"/>
  <c r="AE481" i="1"/>
  <c r="AE482" i="1" l="1"/>
  <c r="AD483" i="1"/>
  <c r="AE483" i="1" l="1"/>
  <c r="AD484" i="1"/>
  <c r="AE484" i="1" l="1"/>
  <c r="AD485" i="1"/>
  <c r="AE485" i="1" l="1"/>
  <c r="AD486" i="1"/>
  <c r="AE486" i="1" l="1"/>
  <c r="AD487" i="1"/>
  <c r="AD488" i="1" l="1"/>
  <c r="AE487" i="1"/>
  <c r="AD489" i="1" l="1"/>
  <c r="AE488" i="1"/>
  <c r="AE489" i="1" l="1"/>
  <c r="AD490" i="1"/>
  <c r="AE490" i="1" l="1"/>
  <c r="AD491" i="1"/>
  <c r="AE491" i="1" l="1"/>
  <c r="AD492" i="1"/>
  <c r="AE492" i="1" l="1"/>
  <c r="AD493" i="1"/>
  <c r="AD494" i="1" l="1"/>
  <c r="AE493" i="1"/>
  <c r="AD495" i="1" l="1"/>
  <c r="AE494" i="1"/>
  <c r="AD496" i="1" l="1"/>
  <c r="AE495" i="1"/>
  <c r="AD497" i="1" l="1"/>
  <c r="AE496" i="1"/>
  <c r="AD498" i="1" l="1"/>
  <c r="AE497" i="1"/>
  <c r="AD499" i="1" l="1"/>
  <c r="AE498" i="1"/>
  <c r="AD500" i="1" l="1"/>
  <c r="AE499" i="1"/>
  <c r="AD501" i="1" l="1"/>
  <c r="AE500" i="1"/>
  <c r="AD502" i="1" l="1"/>
  <c r="AE501" i="1"/>
  <c r="AD503" i="1" l="1"/>
  <c r="AE502" i="1"/>
  <c r="AD504" i="1" l="1"/>
  <c r="AE503" i="1"/>
  <c r="AD505" i="1" l="1"/>
  <c r="AE504" i="1"/>
  <c r="AD506" i="1" l="1"/>
  <c r="AE505" i="1"/>
  <c r="AD507" i="1" l="1"/>
  <c r="AE506" i="1"/>
  <c r="AE507" i="1" l="1"/>
  <c r="AD508" i="1"/>
  <c r="AE508" i="1" l="1"/>
  <c r="AD509" i="1"/>
  <c r="AD510" i="1" l="1"/>
  <c r="AE509" i="1"/>
  <c r="AD511" i="1" l="1"/>
  <c r="AE510" i="1"/>
  <c r="AD512" i="1" l="1"/>
  <c r="AE511" i="1"/>
  <c r="AD513" i="1" l="1"/>
  <c r="AE512" i="1"/>
  <c r="AE513" i="1" l="1"/>
  <c r="AD514" i="1"/>
  <c r="AE514" i="1" l="1"/>
  <c r="AD515" i="1"/>
  <c r="AE515" i="1" l="1"/>
  <c r="AD516" i="1"/>
  <c r="AD517" i="1" l="1"/>
  <c r="AE516" i="1"/>
  <c r="AD518" i="1" l="1"/>
  <c r="AE517" i="1"/>
  <c r="AD519" i="1" l="1"/>
  <c r="AE518" i="1"/>
  <c r="AD520" i="1" l="1"/>
  <c r="AE519" i="1"/>
  <c r="AE520" i="1" l="1"/>
  <c r="AD521" i="1"/>
  <c r="AD522" i="1" l="1"/>
  <c r="AE521" i="1"/>
  <c r="AE522" i="1" l="1"/>
  <c r="AD523" i="1"/>
  <c r="AE523" i="1" l="1"/>
  <c r="AD524" i="1"/>
  <c r="AE524" i="1" l="1"/>
  <c r="AD525" i="1"/>
  <c r="AD526" i="1" l="1"/>
  <c r="AE525" i="1"/>
  <c r="AD527" i="1" l="1"/>
  <c r="AE526" i="1"/>
  <c r="AD528" i="1" l="1"/>
  <c r="AE527" i="1"/>
  <c r="AD529" i="1" l="1"/>
  <c r="AE528" i="1"/>
  <c r="AD530" i="1" l="1"/>
  <c r="AE529" i="1"/>
  <c r="AE530" i="1" l="1"/>
  <c r="AD531" i="1"/>
  <c r="AD532" i="1" l="1"/>
  <c r="AE531" i="1"/>
  <c r="AD533" i="1" l="1"/>
  <c r="AE532" i="1"/>
  <c r="AE533" i="1" l="1"/>
  <c r="AD534" i="1"/>
  <c r="AE534" i="1" l="1"/>
  <c r="AD535" i="1"/>
  <c r="AE535" i="1" l="1"/>
  <c r="AD536" i="1"/>
  <c r="AD537" i="1" l="1"/>
  <c r="AE536" i="1"/>
  <c r="AD538" i="1" l="1"/>
  <c r="AE537" i="1"/>
  <c r="AD539" i="1" l="1"/>
  <c r="AE538" i="1"/>
  <c r="AE539" i="1" l="1"/>
  <c r="AD540" i="1"/>
  <c r="AE540" i="1" l="1"/>
  <c r="AD541" i="1"/>
  <c r="AD542" i="1" l="1"/>
  <c r="AE541" i="1"/>
  <c r="AD543" i="1" l="1"/>
  <c r="AE542" i="1"/>
  <c r="AD544" i="1" l="1"/>
  <c r="AE543" i="1"/>
  <c r="AD545" i="1" l="1"/>
  <c r="AE544" i="1"/>
  <c r="AD546" i="1" l="1"/>
  <c r="AE545" i="1"/>
  <c r="AD547" i="1" l="1"/>
  <c r="AE546" i="1"/>
  <c r="AD548" i="1" l="1"/>
  <c r="AE547" i="1"/>
  <c r="AD549" i="1" l="1"/>
  <c r="AE548" i="1"/>
  <c r="AE549" i="1" l="1"/>
  <c r="AD550" i="1"/>
  <c r="AE550" i="1" l="1"/>
  <c r="AD551" i="1"/>
  <c r="AE551" i="1" l="1"/>
  <c r="AD552" i="1"/>
  <c r="AE552" i="1" l="1"/>
  <c r="AD553" i="1"/>
  <c r="AE553" i="1" l="1"/>
  <c r="AD554" i="1"/>
  <c r="AE554" i="1" l="1"/>
  <c r="AD555" i="1"/>
  <c r="AE555" i="1" l="1"/>
  <c r="AD556" i="1"/>
  <c r="AE556" i="1" l="1"/>
  <c r="AD557" i="1"/>
  <c r="AD558" i="1" l="1"/>
  <c r="AE557" i="1"/>
  <c r="AD559" i="1" l="1"/>
  <c r="AE558" i="1"/>
  <c r="AD560" i="1" l="1"/>
  <c r="AE559" i="1"/>
  <c r="AD561" i="1" l="1"/>
  <c r="AE560" i="1"/>
  <c r="AD562" i="1" l="1"/>
  <c r="AE561" i="1"/>
  <c r="AD563" i="1" l="1"/>
  <c r="AE562" i="1"/>
  <c r="AD564" i="1" l="1"/>
  <c r="AE563" i="1"/>
  <c r="AD565" i="1" l="1"/>
  <c r="AE564" i="1"/>
  <c r="AD566" i="1" l="1"/>
  <c r="AE565" i="1"/>
  <c r="AD567" i="1" l="1"/>
  <c r="AE566" i="1"/>
  <c r="AD568" i="1" l="1"/>
  <c r="AE567" i="1"/>
  <c r="AD569" i="1" l="1"/>
  <c r="AE568" i="1"/>
  <c r="AE569" i="1" l="1"/>
  <c r="AD570" i="1"/>
  <c r="AE570" i="1" l="1"/>
  <c r="AD571" i="1"/>
  <c r="AE571" i="1" l="1"/>
  <c r="AD572" i="1"/>
  <c r="AE572" i="1" l="1"/>
  <c r="AD573" i="1"/>
  <c r="AD574" i="1" l="1"/>
  <c r="AE573" i="1"/>
  <c r="AD575" i="1" l="1"/>
  <c r="AE574" i="1"/>
  <c r="AD576" i="1" l="1"/>
  <c r="AE575" i="1"/>
  <c r="AD577" i="1" l="1"/>
  <c r="AE576" i="1"/>
  <c r="AE577" i="1" l="1"/>
  <c r="AD578" i="1"/>
  <c r="AE578" i="1" l="1"/>
  <c r="AD579" i="1"/>
  <c r="AE579" i="1" l="1"/>
  <c r="AD580" i="1"/>
  <c r="AD581" i="1" l="1"/>
  <c r="AE580" i="1"/>
  <c r="AD582" i="1" l="1"/>
  <c r="AE581" i="1"/>
  <c r="AD583" i="1" l="1"/>
  <c r="AE582" i="1"/>
  <c r="AD584" i="1" l="1"/>
  <c r="AE583" i="1"/>
  <c r="AE584" i="1" l="1"/>
  <c r="AD585" i="1"/>
  <c r="AD586" i="1" l="1"/>
  <c r="AE585" i="1"/>
  <c r="AD587" i="1" l="1"/>
  <c r="AE586" i="1"/>
  <c r="AE587" i="1" l="1"/>
  <c r="AD588" i="1"/>
  <c r="AE588" i="1" l="1"/>
  <c r="AD589" i="1"/>
  <c r="AD590" i="1" l="1"/>
  <c r="AE589" i="1"/>
  <c r="AD591" i="1" l="1"/>
  <c r="AE590" i="1"/>
  <c r="AD592" i="1" l="1"/>
  <c r="AE592" i="1" s="1"/>
  <c r="AE591" i="1"/>
</calcChain>
</file>

<file path=xl/sharedStrings.xml><?xml version="1.0" encoding="utf-8"?>
<sst xmlns="http://schemas.openxmlformats.org/spreadsheetml/2006/main" count="298" uniqueCount="126">
  <si>
    <t>Date</t>
  </si>
  <si>
    <t xml:space="preserve"> Ql, blpd</t>
  </si>
  <si>
    <t xml:space="preserve"> Qo, bopd</t>
  </si>
  <si>
    <t xml:space="preserve"> Qwp, bpd</t>
  </si>
  <si>
    <t xml:space="preserve"> Qg (Assoc. Gas), m3/d</t>
  </si>
  <si>
    <t xml:space="preserve">Monthly Oil, bbls   </t>
  </si>
  <si>
    <t>Monthly Oil, MMt</t>
  </si>
  <si>
    <t>Monthly Assoc. Gas, m3</t>
  </si>
  <si>
    <t>Monthly Water Prodn, bbls</t>
  </si>
  <si>
    <t>Monthly  WI, m3</t>
  </si>
  <si>
    <t xml:space="preserve"> Well String</t>
  </si>
  <si>
    <t>Qwi, bwpd</t>
  </si>
  <si>
    <t xml:space="preserve">  Count Well No.</t>
  </si>
  <si>
    <t>NP, MMt</t>
  </si>
  <si>
    <t>Cum. Assoc. Gas MMm3</t>
  </si>
  <si>
    <t>Cum. Free. Gas MMm3</t>
  </si>
  <si>
    <t>Cum. WI, MMm3</t>
  </si>
  <si>
    <t>WC, %</t>
  </si>
  <si>
    <t xml:space="preserve"> GOR, v/v</t>
  </si>
  <si>
    <t>WOR &amp; WOR' V/S TIME</t>
  </si>
  <si>
    <t>TIME</t>
  </si>
  <si>
    <t>WOR</t>
  </si>
  <si>
    <t>WOR'</t>
  </si>
  <si>
    <t>DECLINE CURVE ANALYSIS</t>
  </si>
  <si>
    <t>TIME(DAYS)</t>
  </si>
  <si>
    <t>TIME(MONTHS)</t>
  </si>
  <si>
    <t>Rf = (Np*100)/N</t>
  </si>
  <si>
    <r>
      <t xml:space="preserve">PRODUCTION HISTORY </t>
    </r>
    <r>
      <rPr>
        <sz val="10"/>
        <rFont val="Arial"/>
        <family val="2"/>
      </rPr>
      <t>BEFORE EXTRAPOLATION</t>
    </r>
  </si>
  <si>
    <t>Qo(CUMMULATIVE)</t>
  </si>
  <si>
    <t>RECOVERY AFTER EXTRAPOLATION</t>
  </si>
  <si>
    <t>Di    =</t>
  </si>
  <si>
    <t>YEAR</t>
  </si>
  <si>
    <t>PRODUCTION HISTORY (BEFORE EXTRAPOLATION )</t>
  </si>
  <si>
    <t>BBL</t>
  </si>
  <si>
    <t>0.02787 / MONTH</t>
  </si>
  <si>
    <t>2.7% MONTH</t>
  </si>
  <si>
    <t>NEW(CARTISIAN); y = 83,17,86,18,22,72,02,200.0000e-0.9396x</t>
  </si>
  <si>
    <t>Rf = (Np*100) / N</t>
  </si>
  <si>
    <t>PRODUCTION HISTORY BEFOR EXTRAPOLATION</t>
  </si>
  <si>
    <t>BBLs</t>
  </si>
  <si>
    <t>PRODUCTION HISTORY before extrapolation</t>
  </si>
  <si>
    <t>Rf = (Np *100) / N</t>
  </si>
  <si>
    <t>DAYS</t>
  </si>
  <si>
    <t>TIME(days)</t>
  </si>
  <si>
    <t>NEW(CARTISIAN); y = 4580.8e-0.002x</t>
  </si>
  <si>
    <t>bbl / month</t>
  </si>
  <si>
    <t>days</t>
  </si>
  <si>
    <t>nearly</t>
  </si>
  <si>
    <t>75 months</t>
  </si>
  <si>
    <t>Di   =</t>
  </si>
  <si>
    <t>/ MONTH =</t>
  </si>
  <si>
    <t>MONTH</t>
  </si>
  <si>
    <t>NEARLY</t>
  </si>
  <si>
    <t>NEW(CARTISIAN); y = 1,016.74887e-0.00066x</t>
  </si>
  <si>
    <t xml:space="preserve">BBLs </t>
  </si>
  <si>
    <t>152 MONTHS</t>
  </si>
  <si>
    <t>RECOVERY after extrapolation</t>
  </si>
  <si>
    <t xml:space="preserve">new(cartisian); </t>
  </si>
  <si>
    <t>decline curve analysis</t>
  </si>
  <si>
    <t>production history before extrapolation</t>
  </si>
  <si>
    <t>Time(days)</t>
  </si>
  <si>
    <t>NEW(CARTISIAN);  y = 1310.8e-0.004x</t>
  </si>
  <si>
    <t>27 MONTHS</t>
  </si>
  <si>
    <t>4.5MMT</t>
  </si>
  <si>
    <t>Qo(CUMMULATIVE) =</t>
  </si>
  <si>
    <t>Pi   =</t>
  </si>
  <si>
    <t>Pb    =</t>
  </si>
  <si>
    <t>Rs   =</t>
  </si>
  <si>
    <t>Yo   =</t>
  </si>
  <si>
    <t>Yg   =</t>
  </si>
  <si>
    <t>166KSC</t>
  </si>
  <si>
    <t>PVT DATA</t>
  </si>
  <si>
    <t>PRESSURE</t>
  </si>
  <si>
    <t>DATE</t>
  </si>
  <si>
    <t>MATERIAL BALANCE</t>
  </si>
  <si>
    <t>API   =</t>
  </si>
  <si>
    <t>Cf   =</t>
  </si>
  <si>
    <t>Cw  =</t>
  </si>
  <si>
    <t>Z     =</t>
  </si>
  <si>
    <t>Swi  =</t>
  </si>
  <si>
    <t>y = -0.1692x + 2236.2</t>
  </si>
  <si>
    <r>
      <t>Rs= Yg* ((( p/18.2) + 1.4) * 10</t>
    </r>
    <r>
      <rPr>
        <b/>
        <vertAlign val="superscript"/>
        <sz val="11"/>
        <color theme="1"/>
        <rFont val="Calibri"/>
        <family val="2"/>
        <scheme val="minor"/>
      </rPr>
      <t>x</t>
    </r>
    <r>
      <rPr>
        <b/>
        <sz val="11"/>
        <color theme="1"/>
        <rFont val="Calibri"/>
        <family val="2"/>
        <scheme val="minor"/>
      </rPr>
      <t xml:space="preserve"> )</t>
    </r>
    <r>
      <rPr>
        <b/>
        <vertAlign val="superscript"/>
        <sz val="11"/>
        <color theme="1"/>
        <rFont val="Calibri"/>
        <family val="2"/>
        <scheme val="minor"/>
      </rPr>
      <t>1.2048</t>
    </r>
  </si>
  <si>
    <t>x=0.0125*API - ( 0.00091* (T - 460) ) =</t>
  </si>
  <si>
    <r>
      <t>TEMP(</t>
    </r>
    <r>
      <rPr>
        <vertAlign val="super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C)  =</t>
    </r>
  </si>
  <si>
    <r>
      <rPr>
        <vertAlign val="super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F</t>
    </r>
  </si>
  <si>
    <r>
      <t>Bo=0.9759 + 0.000120 (Rs*(Yg/Yo)</t>
    </r>
    <r>
      <rPr>
        <b/>
        <vertAlign val="superscript"/>
        <sz val="11"/>
        <color theme="1"/>
        <rFont val="Calibri"/>
        <family val="2"/>
        <scheme val="minor"/>
      </rPr>
      <t>0.5</t>
    </r>
    <r>
      <rPr>
        <b/>
        <sz val="11"/>
        <color theme="1"/>
        <rFont val="Calibri"/>
        <family val="2"/>
        <scheme val="minor"/>
      </rPr>
      <t xml:space="preserve"> + 1.25(T-460))</t>
    </r>
    <r>
      <rPr>
        <b/>
        <vertAlign val="superscript"/>
        <sz val="11"/>
        <color theme="1"/>
        <rFont val="Calibri"/>
        <family val="2"/>
        <scheme val="minor"/>
      </rPr>
      <t>1.2</t>
    </r>
  </si>
  <si>
    <t>Bg = ( 0.02827*Z*T) / P</t>
  </si>
  <si>
    <t>Rp = Gp / Np</t>
  </si>
  <si>
    <t>Np(CUMMULATIVE)</t>
  </si>
  <si>
    <t>Wp (CUMMULATIVE)</t>
  </si>
  <si>
    <t>N(OOIP)  =</t>
  </si>
  <si>
    <r>
      <t>GP (CUMMULATIVE)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</si>
  <si>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r>
      <t>GP(CUMMULATIVE) Ft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</si>
  <si>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Boi   =</t>
  </si>
  <si>
    <t>Rsi   =</t>
  </si>
  <si>
    <t>We=Np[Bo+(Rp-Rs)Bg] + Wp*Bw - N { [(Bo-Boi)+(Rsi-Rs)Bg] + [Boi*(Pi-P)* ( (Swc*Cw +Cf) / (1-Swc) )] }</t>
  </si>
  <si>
    <t>[Boi*(Pi-P)* ( (Swc*Cw +Cf) / (1-Swc) )]</t>
  </si>
  <si>
    <t xml:space="preserve">N { [(Bo-Boi)+(Rsi-Rs)Bg] </t>
  </si>
  <si>
    <t>Np[Bo+(Rp-Rs)Bg] + Wp*Bw</t>
  </si>
  <si>
    <t>N=Np(Bo+(Rp - Rs)Bg) -  (We - Wp*Bw) / { [(Bo - Boi) + (Rsi - Rs)Bg] + [Bo * (Pi - P) * [ ((Swi * Cw) + Cf) ]/ (1 - Swi)] }</t>
  </si>
  <si>
    <t>We - Wp*Bw</t>
  </si>
  <si>
    <t>Np[Bo+(Rp-Rs)Bg]</t>
  </si>
  <si>
    <t>N*[Boi*(Pi-P)* ( (Swc*Cw +Cf) / (1-Swc) )]</t>
  </si>
  <si>
    <t>DRIVE INDEX</t>
  </si>
  <si>
    <t xml:space="preserve">Ew = (We - Wp*Bw) </t>
  </si>
  <si>
    <t xml:space="preserve">F = Np(Bo+(Rp - Rs)Bg) </t>
  </si>
  <si>
    <t xml:space="preserve"> Eo = N*[(Bo - Boi) + (Rsi - Rs)Bg]</t>
  </si>
  <si>
    <t>Efw =N* [Bo * (Pi - P) * [ ((Swi * Cw) + Cf) ]/ (1 - Swi)]</t>
  </si>
  <si>
    <t>DDI</t>
  </si>
  <si>
    <t>EDI</t>
  </si>
  <si>
    <t>WDI</t>
  </si>
  <si>
    <t>TOTAL</t>
  </si>
  <si>
    <t>118 KCS</t>
  </si>
  <si>
    <t>M-BAL( new)</t>
  </si>
  <si>
    <t>Winj</t>
  </si>
  <si>
    <t xml:space="preserve"> Winj*Bw (bbl)</t>
  </si>
  <si>
    <t>N=Np(Bo+(Rp - Rs)Bg) + (Wp*Bw) - (Winj*Bw) / { [(Bo - Boi) + (Rsi - Rs)Bg] + [Bo * (Pi - P) * [ ((Swi * Cw) + Cf) ]/ (1 - Swi)] }</t>
  </si>
  <si>
    <t xml:space="preserve"> { [(Bo-Boi)+(Rsi-Rs)Bg] </t>
  </si>
  <si>
    <t>33.4% YEAR</t>
  </si>
  <si>
    <t>NEW( CARTISIAN);  y = 1,742.18324e-0.00040x</t>
  </si>
  <si>
    <t>Di      =</t>
  </si>
  <si>
    <t>0.04 / DAY</t>
  </si>
  <si>
    <t>1.2 %  PER MONTH</t>
  </si>
  <si>
    <t>Qo (CUMMULATIVE)    =</t>
  </si>
  <si>
    <t>MONTHS</t>
  </si>
  <si>
    <t>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</si>
</sst>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0000000"/>
    <numFmt numFmtId="165" formatCode="0.0000"/>
    <numFmt numFmtId="166" formatCode="0.000"/>
    <numFmt numFmtId="167" formatCode="0.000000"/>
    <numFmt numFmtId="168" formatCode="0.00000"/>
    <numFmt numFmtId="169" formatCode="0.0000000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22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FFFF00"/>
      <name val="Calibri"/>
      <family val="2"/>
      <scheme val="minor"/>
    </font>
    <font>
      <sz val="11"/>
      <color rgb="FFFFFF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sz val="72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168" fontId="0" fillId="0" borderId="0" xfId="0" applyNumberFormat="1" applyAlignment="1">
      <alignment horizontal="center"/>
    </xf>
    <xf numFmtId="1" fontId="0" fillId="0" borderId="1" xfId="0" applyNumberFormat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2" fontId="2" fillId="0" borderId="1" xfId="0" applyNumberFormat="1" applyFont="1" applyBorder="1" applyAlignment="1">
      <alignment horizontal="center" vertical="center" wrapText="1"/>
    </xf>
    <xf numFmtId="17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8" fontId="0" fillId="0" borderId="1" xfId="0" applyNumberFormat="1" applyBorder="1" applyAlignment="1">
      <alignment horizontal="center"/>
    </xf>
    <xf numFmtId="2" fontId="1" fillId="0" borderId="1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2" fillId="0" borderId="0" xfId="0" applyNumberFormat="1" applyFont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2" fontId="0" fillId="0" borderId="0" xfId="0" applyNumberFormat="1"/>
    <xf numFmtId="1" fontId="0" fillId="0" borderId="0" xfId="0" applyNumberFormat="1"/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/>
    <xf numFmtId="1" fontId="1" fillId="0" borderId="1" xfId="0" applyNumberFormat="1" applyFont="1" applyBorder="1" applyAlignment="1">
      <alignment horizontal="center"/>
    </xf>
    <xf numFmtId="0" fontId="0" fillId="2" borderId="0" xfId="0" applyFill="1"/>
    <xf numFmtId="0" fontId="1" fillId="2" borderId="0" xfId="0" applyFont="1" applyFill="1"/>
    <xf numFmtId="0" fontId="1" fillId="4" borderId="0" xfId="0" applyFont="1" applyFill="1"/>
    <xf numFmtId="0" fontId="1" fillId="0" borderId="0" xfId="0" applyFont="1" applyAlignment="1">
      <alignment horizontal="right"/>
    </xf>
    <xf numFmtId="0" fontId="1" fillId="0" borderId="8" xfId="0" applyFont="1" applyBorder="1" applyAlignment="1">
      <alignment vertical="center"/>
    </xf>
    <xf numFmtId="1" fontId="10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10" fontId="4" fillId="0" borderId="0" xfId="0" applyNumberFormat="1" applyFont="1"/>
    <xf numFmtId="0" fontId="4" fillId="0" borderId="0" xfId="0" applyFont="1"/>
    <xf numFmtId="9" fontId="4" fillId="0" borderId="0" xfId="0" applyNumberFormat="1" applyFont="1"/>
    <xf numFmtId="2" fontId="0" fillId="2" borderId="0" xfId="0" applyNumberFormat="1" applyFill="1"/>
    <xf numFmtId="2" fontId="1" fillId="0" borderId="0" xfId="0" applyNumberFormat="1" applyFont="1" applyAlignment="1">
      <alignment horizontal="right"/>
    </xf>
    <xf numFmtId="0" fontId="5" fillId="0" borderId="1" xfId="0" applyFont="1" applyBorder="1" applyAlignment="1">
      <alignment horizontal="center" textRotation="90"/>
    </xf>
    <xf numFmtId="17" fontId="0" fillId="0" borderId="0" xfId="0" applyNumberFormat="1"/>
    <xf numFmtId="1" fontId="12" fillId="5" borderId="0" xfId="0" applyNumberFormat="1" applyFont="1" applyFill="1" applyAlignment="1">
      <alignment horizontal="left"/>
    </xf>
    <xf numFmtId="0" fontId="1" fillId="7" borderId="0" xfId="0" applyFont="1" applyFill="1" applyAlignment="1">
      <alignment horizontal="center"/>
    </xf>
    <xf numFmtId="17" fontId="0" fillId="6" borderId="0" xfId="0" applyNumberFormat="1" applyFill="1"/>
    <xf numFmtId="0" fontId="0" fillId="6" borderId="0" xfId="0" applyFill="1"/>
    <xf numFmtId="0" fontId="0" fillId="8" borderId="0" xfId="0" applyFill="1"/>
    <xf numFmtId="0" fontId="0" fillId="8" borderId="0" xfId="0" applyFill="1" applyAlignment="1">
      <alignment horizontal="left"/>
    </xf>
    <xf numFmtId="0" fontId="1" fillId="8" borderId="0" xfId="0" applyFont="1" applyFill="1"/>
    <xf numFmtId="2" fontId="0" fillId="8" borderId="0" xfId="0" applyNumberFormat="1" applyFill="1"/>
    <xf numFmtId="0" fontId="1" fillId="3" borderId="0" xfId="0" applyFont="1" applyFill="1" applyAlignment="1">
      <alignment horizontal="right"/>
    </xf>
    <xf numFmtId="0" fontId="0" fillId="9" borderId="0" xfId="0" applyFill="1"/>
    <xf numFmtId="17" fontId="0" fillId="9" borderId="0" xfId="0" applyNumberFormat="1" applyFill="1"/>
    <xf numFmtId="17" fontId="0" fillId="10" borderId="1" xfId="0" applyNumberFormat="1" applyFill="1" applyBorder="1" applyAlignment="1">
      <alignment horizontal="center"/>
    </xf>
    <xf numFmtId="0" fontId="0" fillId="10" borderId="0" xfId="0" applyFill="1"/>
    <xf numFmtId="17" fontId="0" fillId="10" borderId="0" xfId="0" applyNumberFormat="1" applyFill="1"/>
    <xf numFmtId="2" fontId="0" fillId="4" borderId="0" xfId="0" applyNumberFormat="1" applyFill="1"/>
    <xf numFmtId="0" fontId="15" fillId="12" borderId="0" xfId="0" applyFont="1" applyFill="1" applyAlignment="1">
      <alignment horizontal="center" vertical="center" textRotation="90"/>
    </xf>
    <xf numFmtId="0" fontId="1" fillId="0" borderId="0" xfId="0" applyFont="1" applyAlignment="1">
      <alignment horizontal="center" vertical="center"/>
    </xf>
    <xf numFmtId="0" fontId="15" fillId="11" borderId="0" xfId="0" applyFont="1" applyFill="1" applyAlignment="1">
      <alignment horizontal="center" vertical="center" textRotation="90"/>
    </xf>
    <xf numFmtId="0" fontId="11" fillId="5" borderId="0" xfId="0" applyFont="1" applyFill="1" applyAlignment="1">
      <alignment horizontal="center"/>
    </xf>
    <xf numFmtId="0" fontId="13" fillId="6" borderId="0" xfId="0" applyFont="1" applyFill="1" applyAlignment="1">
      <alignment horizontal="center" vertical="center"/>
    </xf>
    <xf numFmtId="0" fontId="15" fillId="5" borderId="0" xfId="0" applyFont="1" applyFill="1" applyAlignment="1">
      <alignment horizontal="center" vertical="center" textRotation="90"/>
    </xf>
    <xf numFmtId="0" fontId="1" fillId="4" borderId="0" xfId="0" applyFont="1" applyFill="1" applyAlignment="1">
      <alignment horizontal="center"/>
    </xf>
    <xf numFmtId="0" fontId="9" fillId="2" borderId="5" xfId="0" applyFont="1" applyFill="1" applyBorder="1" applyAlignment="1">
      <alignment horizontal="center" textRotation="90"/>
    </xf>
    <xf numFmtId="0" fontId="9" fillId="3" borderId="0" xfId="0" applyFont="1" applyFill="1" applyAlignment="1">
      <alignment horizontal="center" textRotation="90"/>
    </xf>
    <xf numFmtId="0" fontId="1" fillId="3" borderId="0" xfId="0" applyFont="1" applyFill="1" applyAlignment="1">
      <alignment horizontal="center" vertical="center"/>
    </xf>
    <xf numFmtId="2" fontId="2" fillId="3" borderId="0" xfId="0" applyNumberFormat="1" applyFont="1" applyFill="1" applyAlignment="1">
      <alignment horizontal="center" vertical="center" wrapText="1"/>
    </xf>
    <xf numFmtId="0" fontId="8" fillId="2" borderId="2" xfId="0" applyFont="1" applyFill="1" applyBorder="1" applyAlignment="1">
      <alignment horizontal="center" textRotation="90"/>
    </xf>
    <xf numFmtId="0" fontId="8" fillId="2" borderId="3" xfId="0" applyFont="1" applyFill="1" applyBorder="1" applyAlignment="1">
      <alignment horizontal="center" textRotation="90"/>
    </xf>
    <xf numFmtId="0" fontId="8" fillId="2" borderId="4" xfId="0" applyFont="1" applyFill="1" applyBorder="1" applyAlignment="1">
      <alignment horizontal="center" textRotation="90"/>
    </xf>
    <xf numFmtId="0" fontId="8" fillId="3" borderId="2" xfId="0" applyFont="1" applyFill="1" applyBorder="1" applyAlignment="1">
      <alignment horizontal="center" textRotation="90"/>
    </xf>
    <xf numFmtId="0" fontId="8" fillId="3" borderId="3" xfId="0" applyFont="1" applyFill="1" applyBorder="1" applyAlignment="1">
      <alignment horizontal="center" textRotation="90"/>
    </xf>
    <xf numFmtId="0" fontId="8" fillId="3" borderId="4" xfId="0" applyFont="1" applyFill="1" applyBorder="1" applyAlignment="1">
      <alignment horizontal="center" textRotation="90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 textRotation="90"/>
    </xf>
    <xf numFmtId="0" fontId="9" fillId="3" borderId="0" xfId="0" applyFont="1" applyFill="1" applyAlignment="1">
      <alignment horizontal="center" vertical="center" textRotation="90"/>
    </xf>
    <xf numFmtId="0" fontId="7" fillId="2" borderId="2" xfId="0" applyFont="1" applyFill="1" applyBorder="1" applyAlignment="1">
      <alignment horizontal="center" textRotation="90"/>
    </xf>
    <xf numFmtId="0" fontId="7" fillId="2" borderId="3" xfId="0" applyFont="1" applyFill="1" applyBorder="1" applyAlignment="1">
      <alignment horizontal="center" textRotation="90"/>
    </xf>
    <xf numFmtId="0" fontId="7" fillId="2" borderId="4" xfId="0" applyFont="1" applyFill="1" applyBorder="1" applyAlignment="1">
      <alignment horizontal="center" textRotation="90"/>
    </xf>
    <xf numFmtId="0" fontId="7" fillId="3" borderId="2" xfId="0" applyFont="1" applyFill="1" applyBorder="1" applyAlignment="1">
      <alignment horizontal="center" textRotation="90"/>
    </xf>
    <xf numFmtId="0" fontId="7" fillId="3" borderId="3" xfId="0" applyFont="1" applyFill="1" applyBorder="1" applyAlignment="1">
      <alignment horizontal="center" textRotation="90"/>
    </xf>
    <xf numFmtId="0" fontId="7" fillId="3" borderId="4" xfId="0" applyFont="1" applyFill="1" applyBorder="1" applyAlignment="1">
      <alignment horizontal="center" textRotation="90"/>
    </xf>
    <xf numFmtId="0" fontId="7" fillId="2" borderId="5" xfId="0" applyFont="1" applyFill="1" applyBorder="1" applyAlignment="1">
      <alignment horizontal="center" textRotation="90"/>
    </xf>
    <xf numFmtId="0" fontId="7" fillId="3" borderId="0" xfId="0" applyFont="1" applyFill="1" applyAlignment="1">
      <alignment horizontal="center" textRotation="90"/>
    </xf>
    <xf numFmtId="0" fontId="6" fillId="2" borderId="5" xfId="0" applyFont="1" applyFill="1" applyBorder="1" applyAlignment="1">
      <alignment horizontal="center" vertical="center" textRotation="90"/>
    </xf>
    <xf numFmtId="0" fontId="0" fillId="8" borderId="0" xfId="0" applyNumberFormat="1" applyFill="1"/>
    <xf numFmtId="0" fontId="0" fillId="0" borderId="0" xfId="0" applyFill="1"/>
    <xf numFmtId="0" fontId="1" fillId="2" borderId="0" xfId="0" applyFont="1" applyFill="1" applyAlignment="1">
      <alignment horizontal="right"/>
    </xf>
    <xf numFmtId="0" fontId="11" fillId="5" borderId="0" xfId="0" applyFont="1" applyFill="1" applyAlignment="1">
      <alignment horizontal="right"/>
    </xf>
    <xf numFmtId="0" fontId="12" fillId="5" borderId="0" xfId="0" applyFont="1" applyFill="1" applyAlignment="1">
      <alignment horizontal="left"/>
    </xf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WOR &amp; WOR' V/S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'Structure-B'!$U$1</c:f>
              <c:strCache>
                <c:ptCount val="1"/>
                <c:pt idx="0">
                  <c:v>WOR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'Structure-B'!$T$2:$T$59</c:f>
              <c:numCache>
                <c:formatCode>General</c:formatCode>
                <c:ptCount val="58"/>
                <c:pt idx="0">
                  <c:v>0</c:v>
                </c:pt>
                <c:pt idx="1">
                  <c:v>31</c:v>
                </c:pt>
                <c:pt idx="2">
                  <c:v>59</c:v>
                </c:pt>
                <c:pt idx="3">
                  <c:v>90</c:v>
                </c:pt>
                <c:pt idx="4">
                  <c:v>120</c:v>
                </c:pt>
                <c:pt idx="5">
                  <c:v>151</c:v>
                </c:pt>
                <c:pt idx="6">
                  <c:v>181</c:v>
                </c:pt>
                <c:pt idx="7">
                  <c:v>212</c:v>
                </c:pt>
                <c:pt idx="8">
                  <c:v>243</c:v>
                </c:pt>
                <c:pt idx="9">
                  <c:v>273</c:v>
                </c:pt>
                <c:pt idx="10">
                  <c:v>304</c:v>
                </c:pt>
                <c:pt idx="11">
                  <c:v>334</c:v>
                </c:pt>
                <c:pt idx="12">
                  <c:v>365</c:v>
                </c:pt>
                <c:pt idx="13">
                  <c:v>396</c:v>
                </c:pt>
                <c:pt idx="14">
                  <c:v>424</c:v>
                </c:pt>
                <c:pt idx="15">
                  <c:v>455</c:v>
                </c:pt>
                <c:pt idx="16">
                  <c:v>485</c:v>
                </c:pt>
                <c:pt idx="17">
                  <c:v>516</c:v>
                </c:pt>
                <c:pt idx="18">
                  <c:v>546</c:v>
                </c:pt>
                <c:pt idx="19">
                  <c:v>577</c:v>
                </c:pt>
                <c:pt idx="20">
                  <c:v>608</c:v>
                </c:pt>
                <c:pt idx="21">
                  <c:v>638</c:v>
                </c:pt>
                <c:pt idx="22">
                  <c:v>669</c:v>
                </c:pt>
                <c:pt idx="23">
                  <c:v>699</c:v>
                </c:pt>
                <c:pt idx="24">
                  <c:v>730</c:v>
                </c:pt>
                <c:pt idx="25">
                  <c:v>761</c:v>
                </c:pt>
                <c:pt idx="26">
                  <c:v>789</c:v>
                </c:pt>
                <c:pt idx="27">
                  <c:v>820</c:v>
                </c:pt>
                <c:pt idx="28">
                  <c:v>850</c:v>
                </c:pt>
                <c:pt idx="29">
                  <c:v>881</c:v>
                </c:pt>
                <c:pt idx="30">
                  <c:v>911</c:v>
                </c:pt>
                <c:pt idx="31">
                  <c:v>942</c:v>
                </c:pt>
                <c:pt idx="32">
                  <c:v>973</c:v>
                </c:pt>
                <c:pt idx="33">
                  <c:v>1003</c:v>
                </c:pt>
                <c:pt idx="34">
                  <c:v>1034</c:v>
                </c:pt>
                <c:pt idx="35">
                  <c:v>1064</c:v>
                </c:pt>
                <c:pt idx="36">
                  <c:v>1095</c:v>
                </c:pt>
                <c:pt idx="37">
                  <c:v>1126</c:v>
                </c:pt>
                <c:pt idx="38">
                  <c:v>1155</c:v>
                </c:pt>
                <c:pt idx="39">
                  <c:v>1186</c:v>
                </c:pt>
                <c:pt idx="40">
                  <c:v>1216</c:v>
                </c:pt>
                <c:pt idx="41">
                  <c:v>1247</c:v>
                </c:pt>
                <c:pt idx="42">
                  <c:v>1277</c:v>
                </c:pt>
                <c:pt idx="43">
                  <c:v>1308</c:v>
                </c:pt>
                <c:pt idx="44">
                  <c:v>1339</c:v>
                </c:pt>
                <c:pt idx="45">
                  <c:v>1369</c:v>
                </c:pt>
                <c:pt idx="46">
                  <c:v>1400</c:v>
                </c:pt>
                <c:pt idx="47">
                  <c:v>1430</c:v>
                </c:pt>
                <c:pt idx="48">
                  <c:v>1461</c:v>
                </c:pt>
                <c:pt idx="49">
                  <c:v>1492</c:v>
                </c:pt>
                <c:pt idx="50">
                  <c:v>1520</c:v>
                </c:pt>
                <c:pt idx="51">
                  <c:v>1551</c:v>
                </c:pt>
                <c:pt idx="52">
                  <c:v>1581</c:v>
                </c:pt>
                <c:pt idx="53">
                  <c:v>1612</c:v>
                </c:pt>
                <c:pt idx="54">
                  <c:v>1642</c:v>
                </c:pt>
                <c:pt idx="55">
                  <c:v>1673</c:v>
                </c:pt>
                <c:pt idx="56">
                  <c:v>1704</c:v>
                </c:pt>
                <c:pt idx="57">
                  <c:v>1734</c:v>
                </c:pt>
              </c:numCache>
            </c:numRef>
          </c:xVal>
          <c:yVal>
            <c:numRef>
              <c:f>'Structure-B'!$U$2:$U$59</c:f>
              <c:numCache>
                <c:formatCode>0.00</c:formatCode>
                <c:ptCount val="58"/>
                <c:pt idx="0">
                  <c:v>1.4408025324710635E-4</c:v>
                </c:pt>
                <c:pt idx="1">
                  <c:v>7.4254666400933118E-5</c:v>
                </c:pt>
                <c:pt idx="2">
                  <c:v>3.1741916011430837E-5</c:v>
                </c:pt>
                <c:pt idx="3">
                  <c:v>1.0822841789465276E-2</c:v>
                </c:pt>
                <c:pt idx="4">
                  <c:v>2.4641738137256178E-3</c:v>
                </c:pt>
                <c:pt idx="5">
                  <c:v>2.6082905261853944E-3</c:v>
                </c:pt>
                <c:pt idx="6">
                  <c:v>2.8494929354179837E-2</c:v>
                </c:pt>
                <c:pt idx="7">
                  <c:v>1.613111203101357E-2</c:v>
                </c:pt>
                <c:pt idx="8">
                  <c:v>2.0131175935663145E-2</c:v>
                </c:pt>
                <c:pt idx="9">
                  <c:v>2.1993379161784583E-2</c:v>
                </c:pt>
                <c:pt idx="10">
                  <c:v>1.7915924816889878E-2</c:v>
                </c:pt>
                <c:pt idx="11">
                  <c:v>2.0474107435451819E-2</c:v>
                </c:pt>
                <c:pt idx="12">
                  <c:v>6.6045664658234929E-2</c:v>
                </c:pt>
                <c:pt idx="13">
                  <c:v>7.0608804265572284E-2</c:v>
                </c:pt>
                <c:pt idx="14">
                  <c:v>0.11142104910982553</c:v>
                </c:pt>
                <c:pt idx="15">
                  <c:v>8.8835325768180914E-2</c:v>
                </c:pt>
                <c:pt idx="16">
                  <c:v>0.11207430253571098</c:v>
                </c:pt>
                <c:pt idx="17">
                  <c:v>9.4099107040093763E-2</c:v>
                </c:pt>
                <c:pt idx="18">
                  <c:v>3.7588786796579156E-2</c:v>
                </c:pt>
                <c:pt idx="19">
                  <c:v>4.3434749469814161E-2</c:v>
                </c:pt>
                <c:pt idx="20">
                  <c:v>0.20627522441967647</c:v>
                </c:pt>
                <c:pt idx="21">
                  <c:v>0.24340956045417902</c:v>
                </c:pt>
                <c:pt idx="22">
                  <c:v>0.14395207921328726</c:v>
                </c:pt>
                <c:pt idx="23">
                  <c:v>6.6682551384790775E-2</c:v>
                </c:pt>
                <c:pt idx="24">
                  <c:v>7.1890052863771897E-2</c:v>
                </c:pt>
                <c:pt idx="25">
                  <c:v>6.6373708455735286E-2</c:v>
                </c:pt>
                <c:pt idx="26">
                  <c:v>7.0151510343574974E-2</c:v>
                </c:pt>
                <c:pt idx="27">
                  <c:v>5.5360240795199855E-2</c:v>
                </c:pt>
                <c:pt idx="28">
                  <c:v>5.1091344397789368E-2</c:v>
                </c:pt>
                <c:pt idx="29">
                  <c:v>8.2825780057436349E-2</c:v>
                </c:pt>
                <c:pt idx="30">
                  <c:v>9.8737286967986629E-2</c:v>
                </c:pt>
                <c:pt idx="31">
                  <c:v>0.21591884940703029</c:v>
                </c:pt>
                <c:pt idx="32">
                  <c:v>0.30791936886339921</c:v>
                </c:pt>
                <c:pt idx="33">
                  <c:v>0.26521564281791615</c:v>
                </c:pt>
                <c:pt idx="34">
                  <c:v>0.30327255323811697</c:v>
                </c:pt>
                <c:pt idx="35">
                  <c:v>0.64203827045964124</c:v>
                </c:pt>
                <c:pt idx="36">
                  <c:v>0.31650251206747082</c:v>
                </c:pt>
                <c:pt idx="37">
                  <c:v>0.27865143765619349</c:v>
                </c:pt>
                <c:pt idx="38">
                  <c:v>0.48433560993730751</c:v>
                </c:pt>
                <c:pt idx="39">
                  <c:v>0.54583139101287614</c:v>
                </c:pt>
                <c:pt idx="40">
                  <c:v>0.27800736734360471</c:v>
                </c:pt>
                <c:pt idx="41">
                  <c:v>0.35463433700600383</c:v>
                </c:pt>
                <c:pt idx="42">
                  <c:v>0.92045011345847305</c:v>
                </c:pt>
                <c:pt idx="43">
                  <c:v>1.1819199170179548</c:v>
                </c:pt>
                <c:pt idx="44">
                  <c:v>0.95010695270578993</c:v>
                </c:pt>
                <c:pt idx="45">
                  <c:v>1.0613223464266994</c:v>
                </c:pt>
                <c:pt idx="46">
                  <c:v>1.0592701770857802</c:v>
                </c:pt>
                <c:pt idx="47">
                  <c:v>1.1770482025026816</c:v>
                </c:pt>
                <c:pt idx="48">
                  <c:v>1.1178690058140237</c:v>
                </c:pt>
                <c:pt idx="49">
                  <c:v>0.98507797649305828</c:v>
                </c:pt>
                <c:pt idx="50">
                  <c:v>0.41690222749569861</c:v>
                </c:pt>
                <c:pt idx="51">
                  <c:v>0.49286036801281624</c:v>
                </c:pt>
                <c:pt idx="52">
                  <c:v>0.51388527148746765</c:v>
                </c:pt>
                <c:pt idx="53">
                  <c:v>0.38796147692883876</c:v>
                </c:pt>
                <c:pt idx="54">
                  <c:v>0.32211042207260715</c:v>
                </c:pt>
                <c:pt idx="55">
                  <c:v>0.65265698138316963</c:v>
                </c:pt>
                <c:pt idx="56">
                  <c:v>0.84202712992000139</c:v>
                </c:pt>
                <c:pt idx="57">
                  <c:v>0.7363950816822622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E82-4B42-9A54-450991719E94}"/>
            </c:ext>
          </c:extLst>
        </c:ser>
        <c:ser>
          <c:idx val="1"/>
          <c:order val="1"/>
          <c:tx>
            <c:strRef>
              <c:f>'Structure-B'!$V$1</c:f>
              <c:strCache>
                <c:ptCount val="1"/>
                <c:pt idx="0">
                  <c:v>WOR'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'Structure-B'!$T$2:$T$59</c:f>
              <c:numCache>
                <c:formatCode>General</c:formatCode>
                <c:ptCount val="58"/>
                <c:pt idx="0">
                  <c:v>0</c:v>
                </c:pt>
                <c:pt idx="1">
                  <c:v>31</c:v>
                </c:pt>
                <c:pt idx="2">
                  <c:v>59</c:v>
                </c:pt>
                <c:pt idx="3">
                  <c:v>90</c:v>
                </c:pt>
                <c:pt idx="4">
                  <c:v>120</c:v>
                </c:pt>
                <c:pt idx="5">
                  <c:v>151</c:v>
                </c:pt>
                <c:pt idx="6">
                  <c:v>181</c:v>
                </c:pt>
                <c:pt idx="7">
                  <c:v>212</c:v>
                </c:pt>
                <c:pt idx="8">
                  <c:v>243</c:v>
                </c:pt>
                <c:pt idx="9">
                  <c:v>273</c:v>
                </c:pt>
                <c:pt idx="10">
                  <c:v>304</c:v>
                </c:pt>
                <c:pt idx="11">
                  <c:v>334</c:v>
                </c:pt>
                <c:pt idx="12">
                  <c:v>365</c:v>
                </c:pt>
                <c:pt idx="13">
                  <c:v>396</c:v>
                </c:pt>
                <c:pt idx="14">
                  <c:v>424</c:v>
                </c:pt>
                <c:pt idx="15">
                  <c:v>455</c:v>
                </c:pt>
                <c:pt idx="16">
                  <c:v>485</c:v>
                </c:pt>
                <c:pt idx="17">
                  <c:v>516</c:v>
                </c:pt>
                <c:pt idx="18">
                  <c:v>546</c:v>
                </c:pt>
                <c:pt idx="19">
                  <c:v>577</c:v>
                </c:pt>
                <c:pt idx="20">
                  <c:v>608</c:v>
                </c:pt>
                <c:pt idx="21">
                  <c:v>638</c:v>
                </c:pt>
                <c:pt idx="22">
                  <c:v>669</c:v>
                </c:pt>
                <c:pt idx="23">
                  <c:v>699</c:v>
                </c:pt>
                <c:pt idx="24">
                  <c:v>730</c:v>
                </c:pt>
                <c:pt idx="25">
                  <c:v>761</c:v>
                </c:pt>
                <c:pt idx="26">
                  <c:v>789</c:v>
                </c:pt>
                <c:pt idx="27">
                  <c:v>820</c:v>
                </c:pt>
                <c:pt idx="28">
                  <c:v>850</c:v>
                </c:pt>
                <c:pt idx="29">
                  <c:v>881</c:v>
                </c:pt>
                <c:pt idx="30">
                  <c:v>911</c:v>
                </c:pt>
                <c:pt idx="31">
                  <c:v>942</c:v>
                </c:pt>
                <c:pt idx="32">
                  <c:v>973</c:v>
                </c:pt>
                <c:pt idx="33">
                  <c:v>1003</c:v>
                </c:pt>
                <c:pt idx="34">
                  <c:v>1034</c:v>
                </c:pt>
                <c:pt idx="35">
                  <c:v>1064</c:v>
                </c:pt>
                <c:pt idx="36">
                  <c:v>1095</c:v>
                </c:pt>
                <c:pt idx="37">
                  <c:v>1126</c:v>
                </c:pt>
                <c:pt idx="38">
                  <c:v>1155</c:v>
                </c:pt>
                <c:pt idx="39">
                  <c:v>1186</c:v>
                </c:pt>
                <c:pt idx="40">
                  <c:v>1216</c:v>
                </c:pt>
                <c:pt idx="41">
                  <c:v>1247</c:v>
                </c:pt>
                <c:pt idx="42">
                  <c:v>1277</c:v>
                </c:pt>
                <c:pt idx="43">
                  <c:v>1308</c:v>
                </c:pt>
                <c:pt idx="44">
                  <c:v>1339</c:v>
                </c:pt>
                <c:pt idx="45">
                  <c:v>1369</c:v>
                </c:pt>
                <c:pt idx="46">
                  <c:v>1400</c:v>
                </c:pt>
                <c:pt idx="47">
                  <c:v>1430</c:v>
                </c:pt>
                <c:pt idx="48">
                  <c:v>1461</c:v>
                </c:pt>
                <c:pt idx="49">
                  <c:v>1492</c:v>
                </c:pt>
                <c:pt idx="50">
                  <c:v>1520</c:v>
                </c:pt>
                <c:pt idx="51">
                  <c:v>1551</c:v>
                </c:pt>
                <c:pt idx="52">
                  <c:v>1581</c:v>
                </c:pt>
                <c:pt idx="53">
                  <c:v>1612</c:v>
                </c:pt>
                <c:pt idx="54">
                  <c:v>1642</c:v>
                </c:pt>
                <c:pt idx="55">
                  <c:v>1673</c:v>
                </c:pt>
                <c:pt idx="56">
                  <c:v>1704</c:v>
                </c:pt>
                <c:pt idx="57">
                  <c:v>1734</c:v>
                </c:pt>
              </c:numCache>
            </c:numRef>
          </c:xVal>
          <c:yVal>
            <c:numRef>
              <c:f>'Structure-B'!$V$2:$V$59</c:f>
              <c:numCache>
                <c:formatCode>General</c:formatCode>
                <c:ptCount val="58"/>
                <c:pt idx="1">
                  <c:v>-1.904039614163992E-6</c:v>
                </c:pt>
                <c:pt idx="2">
                  <c:v>1.8217944276380241E-4</c:v>
                </c:pt>
                <c:pt idx="3">
                  <c:v>3.9875932749412898E-5</c:v>
                </c:pt>
                <c:pt idx="4">
                  <c:v>-1.346647748078669E-4</c:v>
                </c:pt>
                <c:pt idx="5">
                  <c:v>4.2673369738449542E-4</c:v>
                </c:pt>
                <c:pt idx="6">
                  <c:v>2.2168559843980615E-4</c:v>
                </c:pt>
                <c:pt idx="7">
                  <c:v>-1.348992486857531E-4</c:v>
                </c:pt>
                <c:pt idx="8">
                  <c:v>9.6102739848705137E-5</c:v>
                </c:pt>
                <c:pt idx="9">
                  <c:v>-3.6315592111037163E-5</c:v>
                </c:pt>
                <c:pt idx="10">
                  <c:v>-2.4906093874307604E-5</c:v>
                </c:pt>
                <c:pt idx="11">
                  <c:v>7.890121285466402E-4</c:v>
                </c:pt>
                <c:pt idx="12">
                  <c:v>8.0862414242129782E-4</c:v>
                </c:pt>
                <c:pt idx="13">
                  <c:v>7.6907431273882379E-4</c:v>
                </c:pt>
                <c:pt idx="14">
                  <c:v>3.0892409326455306E-4</c:v>
                </c:pt>
                <c:pt idx="15">
                  <c:v>1.070907255549909E-5</c:v>
                </c:pt>
                <c:pt idx="16">
                  <c:v>8.6291496260866362E-5</c:v>
                </c:pt>
                <c:pt idx="17">
                  <c:v>-1.2210740285103576E-3</c:v>
                </c:pt>
                <c:pt idx="18">
                  <c:v>-8.3056323885704263E-4</c:v>
                </c:pt>
                <c:pt idx="19">
                  <c:v>2.7207489939209246E-3</c:v>
                </c:pt>
                <c:pt idx="20">
                  <c:v>3.2782755899076208E-3</c:v>
                </c:pt>
                <c:pt idx="21">
                  <c:v>-1.021690905022774E-3</c:v>
                </c:pt>
                <c:pt idx="22">
                  <c:v>-2.8971640831047256E-3</c:v>
                </c:pt>
                <c:pt idx="23">
                  <c:v>-1.1813446942543502E-3</c:v>
                </c:pt>
                <c:pt idx="24">
                  <c:v>-4.9813375654111115E-6</c:v>
                </c:pt>
                <c:pt idx="25">
                  <c:v>-2.9466822376219032E-5</c:v>
                </c:pt>
                <c:pt idx="26">
                  <c:v>-1.8666894339890562E-4</c:v>
                </c:pt>
                <c:pt idx="27">
                  <c:v>-3.124617368161575E-4</c:v>
                </c:pt>
                <c:pt idx="28">
                  <c:v>4.5025474200387694E-4</c:v>
                </c:pt>
                <c:pt idx="29">
                  <c:v>7.8108102574093866E-4</c:v>
                </c:pt>
                <c:pt idx="30">
                  <c:v>2.1818535958949828E-3</c:v>
                </c:pt>
                <c:pt idx="31">
                  <c:v>3.3739045467002034E-3</c:v>
                </c:pt>
                <c:pt idx="32">
                  <c:v>8.0814415427681735E-4</c:v>
                </c:pt>
                <c:pt idx="33">
                  <c:v>-7.6177305332495764E-5</c:v>
                </c:pt>
                <c:pt idx="34">
                  <c:v>6.177420125274182E-3</c:v>
                </c:pt>
                <c:pt idx="35">
                  <c:v>2.1688457097301394E-4</c:v>
                </c:pt>
                <c:pt idx="36">
                  <c:v>-5.8610779484427056E-3</c:v>
                </c:pt>
                <c:pt idx="37">
                  <c:v>2.7972182978306115E-3</c:v>
                </c:pt>
                <c:pt idx="38">
                  <c:v>4.4529992226113773E-3</c:v>
                </c:pt>
                <c:pt idx="39">
                  <c:v>-3.3824302064541442E-3</c:v>
                </c:pt>
                <c:pt idx="40">
                  <c:v>-3.1343779345388905E-3</c:v>
                </c:pt>
                <c:pt idx="41">
                  <c:v>1.0531848296965053E-2</c:v>
                </c:pt>
                <c:pt idx="42">
                  <c:v>1.3562058688720508E-2</c:v>
                </c:pt>
                <c:pt idx="43">
                  <c:v>4.7833611689220771E-4</c:v>
                </c:pt>
                <c:pt idx="44">
                  <c:v>-1.9770093539550069E-3</c:v>
                </c:pt>
                <c:pt idx="45">
                  <c:v>1.7895610554096765E-3</c:v>
                </c:pt>
                <c:pt idx="46">
                  <c:v>1.8971451815734783E-3</c:v>
                </c:pt>
                <c:pt idx="47">
                  <c:v>9.6063653652858215E-4</c:v>
                </c:pt>
                <c:pt idx="48">
                  <c:v>-3.0962939678971504E-3</c:v>
                </c:pt>
                <c:pt idx="49">
                  <c:v>-1.1880792852852968E-2</c:v>
                </c:pt>
                <c:pt idx="50">
                  <c:v>-8.3426713301735945E-3</c:v>
                </c:pt>
                <c:pt idx="51">
                  <c:v>1.5898859670781811E-3</c:v>
                </c:pt>
                <c:pt idx="52">
                  <c:v>-1.7196539521963522E-3</c:v>
                </c:pt>
                <c:pt idx="53">
                  <c:v>-3.1438499904075492E-3</c:v>
                </c:pt>
                <c:pt idx="54">
                  <c:v>4.3392705648250965E-3</c:v>
                </c:pt>
                <c:pt idx="55">
                  <c:v>8.385753352377328E-3</c:v>
                </c:pt>
                <c:pt idx="56">
                  <c:v>1.3727557426080749E-3</c:v>
                </c:pt>
                <c:pt idx="57">
                  <c:v>4.9414737671361582E-4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E82-4B42-9A54-450991719E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953359"/>
        <c:axId val="2086949039"/>
      </c:scatterChart>
      <c:valAx>
        <c:axId val="2086953359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949039"/>
        <c:crosses val="autoZero"/>
        <c:crossBetween val="midCat"/>
      </c:valAx>
      <c:valAx>
        <c:axId val="2086949039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WOR</a:t>
                </a:r>
                <a:r>
                  <a:rPr lang="en-IN" baseline="0"/>
                  <a:t> &amp; WOR'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9533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EXPONENTIAL</a:t>
            </a:r>
            <a:r>
              <a:rPr lang="en-IN" baseline="0"/>
              <a:t> CURVE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10193908361811867"/>
          <c:y val="8.7044911871555872E-2"/>
          <c:w val="0.85985345262749058"/>
          <c:h val="0.80556842240191195"/>
        </c:manualLayout>
      </c:layout>
      <c:scatterChart>
        <c:scatterStyle val="lineMarker"/>
        <c:varyColors val="0"/>
        <c:ser>
          <c:idx val="0"/>
          <c:order val="0"/>
          <c:tx>
            <c:v>PRODUCTION HISTORY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'Structure-B'!$AB$3:$AB$60</c:f>
              <c:numCache>
                <c:formatCode>General</c:formatCode>
                <c:ptCount val="58"/>
                <c:pt idx="0">
                  <c:v>0</c:v>
                </c:pt>
                <c:pt idx="1">
                  <c:v>31</c:v>
                </c:pt>
                <c:pt idx="2">
                  <c:v>59</c:v>
                </c:pt>
                <c:pt idx="3">
                  <c:v>90</c:v>
                </c:pt>
                <c:pt idx="4">
                  <c:v>120</c:v>
                </c:pt>
                <c:pt idx="5">
                  <c:v>151</c:v>
                </c:pt>
                <c:pt idx="6">
                  <c:v>181</c:v>
                </c:pt>
                <c:pt idx="7">
                  <c:v>212</c:v>
                </c:pt>
                <c:pt idx="8">
                  <c:v>243</c:v>
                </c:pt>
                <c:pt idx="9">
                  <c:v>273</c:v>
                </c:pt>
                <c:pt idx="10">
                  <c:v>304</c:v>
                </c:pt>
                <c:pt idx="11">
                  <c:v>334</c:v>
                </c:pt>
                <c:pt idx="12">
                  <c:v>365</c:v>
                </c:pt>
                <c:pt idx="13">
                  <c:v>396</c:v>
                </c:pt>
                <c:pt idx="14">
                  <c:v>424</c:v>
                </c:pt>
                <c:pt idx="15">
                  <c:v>455</c:v>
                </c:pt>
                <c:pt idx="16">
                  <c:v>485</c:v>
                </c:pt>
                <c:pt idx="17">
                  <c:v>516</c:v>
                </c:pt>
                <c:pt idx="18">
                  <c:v>546</c:v>
                </c:pt>
                <c:pt idx="19">
                  <c:v>577</c:v>
                </c:pt>
                <c:pt idx="20">
                  <c:v>608</c:v>
                </c:pt>
                <c:pt idx="21">
                  <c:v>638</c:v>
                </c:pt>
                <c:pt idx="22">
                  <c:v>669</c:v>
                </c:pt>
                <c:pt idx="23">
                  <c:v>699</c:v>
                </c:pt>
                <c:pt idx="24">
                  <c:v>730</c:v>
                </c:pt>
                <c:pt idx="25">
                  <c:v>761</c:v>
                </c:pt>
                <c:pt idx="26">
                  <c:v>789</c:v>
                </c:pt>
                <c:pt idx="27">
                  <c:v>820</c:v>
                </c:pt>
                <c:pt idx="28">
                  <c:v>850</c:v>
                </c:pt>
                <c:pt idx="29">
                  <c:v>881</c:v>
                </c:pt>
                <c:pt idx="30">
                  <c:v>911</c:v>
                </c:pt>
                <c:pt idx="31">
                  <c:v>942</c:v>
                </c:pt>
                <c:pt idx="32">
                  <c:v>973</c:v>
                </c:pt>
                <c:pt idx="33">
                  <c:v>1003</c:v>
                </c:pt>
                <c:pt idx="34">
                  <c:v>1034</c:v>
                </c:pt>
                <c:pt idx="35">
                  <c:v>1064</c:v>
                </c:pt>
                <c:pt idx="36">
                  <c:v>1095</c:v>
                </c:pt>
                <c:pt idx="37">
                  <c:v>1126</c:v>
                </c:pt>
                <c:pt idx="38">
                  <c:v>1155</c:v>
                </c:pt>
                <c:pt idx="39">
                  <c:v>1186</c:v>
                </c:pt>
                <c:pt idx="40">
                  <c:v>1216</c:v>
                </c:pt>
                <c:pt idx="41">
                  <c:v>1247</c:v>
                </c:pt>
                <c:pt idx="42">
                  <c:v>1277</c:v>
                </c:pt>
                <c:pt idx="43">
                  <c:v>1308</c:v>
                </c:pt>
                <c:pt idx="44">
                  <c:v>1339</c:v>
                </c:pt>
                <c:pt idx="45">
                  <c:v>1369</c:v>
                </c:pt>
                <c:pt idx="46">
                  <c:v>1400</c:v>
                </c:pt>
                <c:pt idx="47">
                  <c:v>1430</c:v>
                </c:pt>
                <c:pt idx="48">
                  <c:v>1461</c:v>
                </c:pt>
                <c:pt idx="49">
                  <c:v>1492</c:v>
                </c:pt>
                <c:pt idx="50">
                  <c:v>1520</c:v>
                </c:pt>
                <c:pt idx="51">
                  <c:v>1551</c:v>
                </c:pt>
                <c:pt idx="52">
                  <c:v>1581</c:v>
                </c:pt>
                <c:pt idx="53">
                  <c:v>1612</c:v>
                </c:pt>
                <c:pt idx="54">
                  <c:v>1642</c:v>
                </c:pt>
                <c:pt idx="55">
                  <c:v>1673</c:v>
                </c:pt>
                <c:pt idx="56">
                  <c:v>1704</c:v>
                </c:pt>
                <c:pt idx="57">
                  <c:v>1734</c:v>
                </c:pt>
              </c:numCache>
            </c:numRef>
          </c:xVal>
          <c:yVal>
            <c:numRef>
              <c:f>'Structure-B'!$C$2:$C$59</c:f>
              <c:numCache>
                <c:formatCode>0</c:formatCode>
                <c:ptCount val="58"/>
                <c:pt idx="0">
                  <c:v>546.38970967741932</c:v>
                </c:pt>
                <c:pt idx="1">
                  <c:v>819.83303571428576</c:v>
                </c:pt>
                <c:pt idx="2">
                  <c:v>1195.3178064516128</c:v>
                </c:pt>
                <c:pt idx="3">
                  <c:v>1736.1759999999999</c:v>
                </c:pt>
                <c:pt idx="4">
                  <c:v>932.81470967741939</c:v>
                </c:pt>
                <c:pt idx="5">
                  <c:v>829.86529999999993</c:v>
                </c:pt>
                <c:pt idx="6">
                  <c:v>1134.6012903225808</c:v>
                </c:pt>
                <c:pt idx="7">
                  <c:v>1148.6335483870967</c:v>
                </c:pt>
                <c:pt idx="8">
                  <c:v>1159.9571666666666</c:v>
                </c:pt>
                <c:pt idx="9">
                  <c:v>1195.7261935483871</c:v>
                </c:pt>
                <c:pt idx="10">
                  <c:v>1247.8192666666669</c:v>
                </c:pt>
                <c:pt idx="11">
                  <c:v>1217.8499354838709</c:v>
                </c:pt>
                <c:pt idx="12">
                  <c:v>1108.2792580645162</c:v>
                </c:pt>
                <c:pt idx="13">
                  <c:v>1161.0500357142857</c:v>
                </c:pt>
                <c:pt idx="14">
                  <c:v>1113.6218387096774</c:v>
                </c:pt>
                <c:pt idx="15">
                  <c:v>1132.7876333333334</c:v>
                </c:pt>
                <c:pt idx="16">
                  <c:v>1197.0250967741936</c:v>
                </c:pt>
                <c:pt idx="17">
                  <c:v>1117.6276333333333</c:v>
                </c:pt>
                <c:pt idx="18">
                  <c:v>971.70125806451608</c:v>
                </c:pt>
                <c:pt idx="19">
                  <c:v>1013.4153225806447</c:v>
                </c:pt>
                <c:pt idx="20">
                  <c:v>1289.9084333333317</c:v>
                </c:pt>
                <c:pt idx="21">
                  <c:v>1380.4432580645155</c:v>
                </c:pt>
                <c:pt idx="22">
                  <c:v>1296.4054000000001</c:v>
                </c:pt>
                <c:pt idx="23">
                  <c:v>1154.4774193548387</c:v>
                </c:pt>
                <c:pt idx="24">
                  <c:v>1025.1486774193529</c:v>
                </c:pt>
                <c:pt idx="25">
                  <c:v>1033.2868571428546</c:v>
                </c:pt>
                <c:pt idx="26">
                  <c:v>1071.459903225805</c:v>
                </c:pt>
                <c:pt idx="27">
                  <c:v>1008.9237666666659</c:v>
                </c:pt>
                <c:pt idx="28">
                  <c:v>916.97874193548387</c:v>
                </c:pt>
                <c:pt idx="29">
                  <c:v>1091.5734666666667</c:v>
                </c:pt>
                <c:pt idx="30">
                  <c:v>1142.0932258064518</c:v>
                </c:pt>
                <c:pt idx="31">
                  <c:v>1092.9242580645162</c:v>
                </c:pt>
                <c:pt idx="32">
                  <c:v>645.06056666666666</c:v>
                </c:pt>
                <c:pt idx="33">
                  <c:v>999.39051612903233</c:v>
                </c:pt>
                <c:pt idx="34">
                  <c:v>1085.1028666666666</c:v>
                </c:pt>
                <c:pt idx="35">
                  <c:v>931.34496774193542</c:v>
                </c:pt>
                <c:pt idx="36">
                  <c:v>1111.9937096774192</c:v>
                </c:pt>
                <c:pt idx="37">
                  <c:v>1111.1332413793102</c:v>
                </c:pt>
                <c:pt idx="38">
                  <c:v>1081.9832258064516</c:v>
                </c:pt>
                <c:pt idx="39">
                  <c:v>1468.0722000000001</c:v>
                </c:pt>
                <c:pt idx="40">
                  <c:v>1647.5452903225805</c:v>
                </c:pt>
                <c:pt idx="41">
                  <c:v>1633.1198666666664</c:v>
                </c:pt>
                <c:pt idx="42">
                  <c:v>1464.0854838709677</c:v>
                </c:pt>
                <c:pt idx="43">
                  <c:v>1132.7129677419355</c:v>
                </c:pt>
                <c:pt idx="44">
                  <c:v>976.39013333333332</c:v>
                </c:pt>
                <c:pt idx="45">
                  <c:v>866.18351612903234</c:v>
                </c:pt>
                <c:pt idx="46">
                  <c:v>865.41486666666663</c:v>
                </c:pt>
                <c:pt idx="47">
                  <c:v>835.48332258064511</c:v>
                </c:pt>
                <c:pt idx="48">
                  <c:v>1004.1127741935485</c:v>
                </c:pt>
                <c:pt idx="49">
                  <c:v>988.58639285714287</c:v>
                </c:pt>
                <c:pt idx="50">
                  <c:v>939.74041935483865</c:v>
                </c:pt>
                <c:pt idx="51">
                  <c:v>880.26463333333322</c:v>
                </c:pt>
                <c:pt idx="52">
                  <c:v>578.13932258064517</c:v>
                </c:pt>
                <c:pt idx="53">
                  <c:v>425.78986666666663</c:v>
                </c:pt>
                <c:pt idx="54">
                  <c:v>418.54593548387095</c:v>
                </c:pt>
                <c:pt idx="55">
                  <c:v>404.60787096774192</c:v>
                </c:pt>
                <c:pt idx="56">
                  <c:v>359.79833333333335</c:v>
                </c:pt>
                <c:pt idx="57">
                  <c:v>392.32270967741931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A1-485D-BB45-8F173E389C76}"/>
            </c:ext>
          </c:extLst>
        </c:ser>
        <c:ser>
          <c:idx val="1"/>
          <c:order val="1"/>
          <c:tx>
            <c:v>NEW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0.10007896695129839"/>
                  <c:y val="-0.12692542272428309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200" b="1" baseline="0">
                        <a:solidFill>
                          <a:schemeClr val="accent2"/>
                        </a:solidFill>
                      </a:rPr>
                      <a:t>y = 1,742.18324e</a:t>
                    </a:r>
                    <a:r>
                      <a:rPr lang="en-US" sz="1200" b="1" baseline="30000">
                        <a:solidFill>
                          <a:schemeClr val="accent2"/>
                        </a:solidFill>
                      </a:rPr>
                      <a:t>-0.00040x</a:t>
                    </a:r>
                    <a:br>
                      <a:rPr lang="en-US" sz="1200" b="1" baseline="0">
                        <a:solidFill>
                          <a:schemeClr val="accent2"/>
                        </a:solidFill>
                      </a:rPr>
                    </a:br>
                    <a:r>
                      <a:rPr lang="en-US" sz="1200" b="1" baseline="0">
                        <a:solidFill>
                          <a:schemeClr val="accent2"/>
                        </a:solidFill>
                      </a:rPr>
                      <a:t>R² = 0.88505</a:t>
                    </a:r>
                    <a:endParaRPr lang="en-US" sz="1200" b="1">
                      <a:solidFill>
                        <a:schemeClr val="accent2"/>
                      </a:solidFill>
                    </a:endParaRPr>
                  </a:p>
                </c:rich>
              </c:tx>
              <c:numFmt formatCode="#,##0.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('Structure-B'!$AB$39:$AB$41,'Structure-B'!$AB$51:$AB$54)</c:f>
              <c:numCache>
                <c:formatCode>General</c:formatCode>
                <c:ptCount val="7"/>
                <c:pt idx="0">
                  <c:v>1095</c:v>
                </c:pt>
                <c:pt idx="1">
                  <c:v>1126</c:v>
                </c:pt>
                <c:pt idx="2">
                  <c:v>1155</c:v>
                </c:pt>
                <c:pt idx="3">
                  <c:v>1461</c:v>
                </c:pt>
                <c:pt idx="4">
                  <c:v>1492</c:v>
                </c:pt>
                <c:pt idx="5">
                  <c:v>1520</c:v>
                </c:pt>
                <c:pt idx="6">
                  <c:v>1551</c:v>
                </c:pt>
              </c:numCache>
            </c:numRef>
          </c:xVal>
          <c:yVal>
            <c:numRef>
              <c:f>('Structure-B'!$C$38:$C$40,'Structure-B'!$C$50:$C$53)</c:f>
              <c:numCache>
                <c:formatCode>0</c:formatCode>
                <c:ptCount val="7"/>
                <c:pt idx="0">
                  <c:v>1111.9937096774192</c:v>
                </c:pt>
                <c:pt idx="1">
                  <c:v>1111.1332413793102</c:v>
                </c:pt>
                <c:pt idx="2">
                  <c:v>1081.9832258064516</c:v>
                </c:pt>
                <c:pt idx="3">
                  <c:v>1004.1127741935485</c:v>
                </c:pt>
                <c:pt idx="4">
                  <c:v>988.58639285714287</c:v>
                </c:pt>
                <c:pt idx="5">
                  <c:v>939.74041935483865</c:v>
                </c:pt>
                <c:pt idx="6">
                  <c:v>880.26463333333322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2A1-485D-BB45-8F173E389C76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'Structure-B'!$AB$54:$AB$592</c:f>
              <c:numCache>
                <c:formatCode>General</c:formatCode>
                <c:ptCount val="539"/>
                <c:pt idx="0">
                  <c:v>1551</c:v>
                </c:pt>
                <c:pt idx="1">
                  <c:v>1581</c:v>
                </c:pt>
                <c:pt idx="2">
                  <c:v>1612</c:v>
                </c:pt>
                <c:pt idx="3">
                  <c:v>1642</c:v>
                </c:pt>
                <c:pt idx="4">
                  <c:v>1673</c:v>
                </c:pt>
                <c:pt idx="5">
                  <c:v>1704</c:v>
                </c:pt>
                <c:pt idx="6">
                  <c:v>1734</c:v>
                </c:pt>
                <c:pt idx="7">
                  <c:v>1739</c:v>
                </c:pt>
                <c:pt idx="8">
                  <c:v>1744</c:v>
                </c:pt>
                <c:pt idx="9">
                  <c:v>1749</c:v>
                </c:pt>
                <c:pt idx="10">
                  <c:v>1754</c:v>
                </c:pt>
                <c:pt idx="11">
                  <c:v>1759</c:v>
                </c:pt>
                <c:pt idx="12">
                  <c:v>1764</c:v>
                </c:pt>
                <c:pt idx="13">
                  <c:v>1769</c:v>
                </c:pt>
                <c:pt idx="14">
                  <c:v>1774</c:v>
                </c:pt>
                <c:pt idx="15">
                  <c:v>1779</c:v>
                </c:pt>
                <c:pt idx="16">
                  <c:v>1784</c:v>
                </c:pt>
                <c:pt idx="17">
                  <c:v>1789</c:v>
                </c:pt>
                <c:pt idx="18">
                  <c:v>1794</c:v>
                </c:pt>
                <c:pt idx="19">
                  <c:v>1799</c:v>
                </c:pt>
                <c:pt idx="20">
                  <c:v>1804</c:v>
                </c:pt>
                <c:pt idx="21">
                  <c:v>1809</c:v>
                </c:pt>
                <c:pt idx="22">
                  <c:v>1814</c:v>
                </c:pt>
                <c:pt idx="23">
                  <c:v>1819</c:v>
                </c:pt>
                <c:pt idx="24">
                  <c:v>1824</c:v>
                </c:pt>
                <c:pt idx="25">
                  <c:v>1829</c:v>
                </c:pt>
                <c:pt idx="26">
                  <c:v>1834</c:v>
                </c:pt>
                <c:pt idx="27">
                  <c:v>1839</c:v>
                </c:pt>
                <c:pt idx="28">
                  <c:v>1844</c:v>
                </c:pt>
                <c:pt idx="29">
                  <c:v>1849</c:v>
                </c:pt>
                <c:pt idx="30">
                  <c:v>1854</c:v>
                </c:pt>
                <c:pt idx="31">
                  <c:v>1859</c:v>
                </c:pt>
                <c:pt idx="32">
                  <c:v>1864</c:v>
                </c:pt>
                <c:pt idx="33">
                  <c:v>1869</c:v>
                </c:pt>
                <c:pt idx="34">
                  <c:v>1874</c:v>
                </c:pt>
                <c:pt idx="35">
                  <c:v>1879</c:v>
                </c:pt>
                <c:pt idx="36">
                  <c:v>1884</c:v>
                </c:pt>
                <c:pt idx="37">
                  <c:v>1889</c:v>
                </c:pt>
                <c:pt idx="38">
                  <c:v>1894</c:v>
                </c:pt>
                <c:pt idx="39">
                  <c:v>1899</c:v>
                </c:pt>
                <c:pt idx="40">
                  <c:v>1904</c:v>
                </c:pt>
                <c:pt idx="41">
                  <c:v>1909</c:v>
                </c:pt>
                <c:pt idx="42">
                  <c:v>1914</c:v>
                </c:pt>
                <c:pt idx="43">
                  <c:v>1919</c:v>
                </c:pt>
                <c:pt idx="44">
                  <c:v>1924</c:v>
                </c:pt>
                <c:pt idx="45">
                  <c:v>1929</c:v>
                </c:pt>
                <c:pt idx="46">
                  <c:v>1934</c:v>
                </c:pt>
                <c:pt idx="47">
                  <c:v>1939</c:v>
                </c:pt>
                <c:pt idx="48">
                  <c:v>1944</c:v>
                </c:pt>
                <c:pt idx="49">
                  <c:v>1949</c:v>
                </c:pt>
                <c:pt idx="50">
                  <c:v>1954</c:v>
                </c:pt>
                <c:pt idx="51">
                  <c:v>1959</c:v>
                </c:pt>
                <c:pt idx="52">
                  <c:v>1964</c:v>
                </c:pt>
                <c:pt idx="53">
                  <c:v>1969</c:v>
                </c:pt>
                <c:pt idx="54">
                  <c:v>1974</c:v>
                </c:pt>
                <c:pt idx="55">
                  <c:v>1979</c:v>
                </c:pt>
                <c:pt idx="56">
                  <c:v>1984</c:v>
                </c:pt>
                <c:pt idx="57">
                  <c:v>1989</c:v>
                </c:pt>
                <c:pt idx="58">
                  <c:v>1994</c:v>
                </c:pt>
                <c:pt idx="59">
                  <c:v>1999</c:v>
                </c:pt>
                <c:pt idx="60">
                  <c:v>2004</c:v>
                </c:pt>
                <c:pt idx="61">
                  <c:v>2009</c:v>
                </c:pt>
                <c:pt idx="62">
                  <c:v>2014</c:v>
                </c:pt>
                <c:pt idx="63">
                  <c:v>2019</c:v>
                </c:pt>
                <c:pt idx="64">
                  <c:v>2024</c:v>
                </c:pt>
                <c:pt idx="65">
                  <c:v>2029</c:v>
                </c:pt>
                <c:pt idx="66">
                  <c:v>2034</c:v>
                </c:pt>
                <c:pt idx="67">
                  <c:v>2039</c:v>
                </c:pt>
                <c:pt idx="68">
                  <c:v>2044</c:v>
                </c:pt>
                <c:pt idx="69">
                  <c:v>2049</c:v>
                </c:pt>
                <c:pt idx="70">
                  <c:v>2054</c:v>
                </c:pt>
                <c:pt idx="71">
                  <c:v>2059</c:v>
                </c:pt>
                <c:pt idx="72">
                  <c:v>2064</c:v>
                </c:pt>
                <c:pt idx="73">
                  <c:v>2069</c:v>
                </c:pt>
                <c:pt idx="74">
                  <c:v>2074</c:v>
                </c:pt>
                <c:pt idx="75">
                  <c:v>2079</c:v>
                </c:pt>
                <c:pt idx="76">
                  <c:v>2084</c:v>
                </c:pt>
                <c:pt idx="77">
                  <c:v>2089</c:v>
                </c:pt>
                <c:pt idx="78">
                  <c:v>2094</c:v>
                </c:pt>
                <c:pt idx="79">
                  <c:v>2099</c:v>
                </c:pt>
                <c:pt idx="80">
                  <c:v>2104</c:v>
                </c:pt>
                <c:pt idx="81">
                  <c:v>2109</c:v>
                </c:pt>
                <c:pt idx="82">
                  <c:v>2114</c:v>
                </c:pt>
                <c:pt idx="83">
                  <c:v>2119</c:v>
                </c:pt>
                <c:pt idx="84">
                  <c:v>2124</c:v>
                </c:pt>
                <c:pt idx="85">
                  <c:v>2129</c:v>
                </c:pt>
                <c:pt idx="86">
                  <c:v>2134</c:v>
                </c:pt>
                <c:pt idx="87">
                  <c:v>2139</c:v>
                </c:pt>
                <c:pt idx="88">
                  <c:v>2144</c:v>
                </c:pt>
                <c:pt idx="89">
                  <c:v>2149</c:v>
                </c:pt>
                <c:pt idx="90">
                  <c:v>2154</c:v>
                </c:pt>
                <c:pt idx="91">
                  <c:v>2159</c:v>
                </c:pt>
                <c:pt idx="92">
                  <c:v>2164</c:v>
                </c:pt>
                <c:pt idx="93">
                  <c:v>2169</c:v>
                </c:pt>
                <c:pt idx="94">
                  <c:v>2174</c:v>
                </c:pt>
                <c:pt idx="95">
                  <c:v>2179</c:v>
                </c:pt>
                <c:pt idx="96">
                  <c:v>2184</c:v>
                </c:pt>
                <c:pt idx="97">
                  <c:v>2189</c:v>
                </c:pt>
                <c:pt idx="98">
                  <c:v>2194</c:v>
                </c:pt>
                <c:pt idx="99">
                  <c:v>2199</c:v>
                </c:pt>
                <c:pt idx="100">
                  <c:v>2204</c:v>
                </c:pt>
                <c:pt idx="101">
                  <c:v>2209</c:v>
                </c:pt>
                <c:pt idx="102">
                  <c:v>2214</c:v>
                </c:pt>
                <c:pt idx="103">
                  <c:v>2219</c:v>
                </c:pt>
                <c:pt idx="104">
                  <c:v>2224</c:v>
                </c:pt>
                <c:pt idx="105">
                  <c:v>2229</c:v>
                </c:pt>
                <c:pt idx="106">
                  <c:v>2234</c:v>
                </c:pt>
                <c:pt idx="107">
                  <c:v>2239</c:v>
                </c:pt>
                <c:pt idx="108">
                  <c:v>2244</c:v>
                </c:pt>
                <c:pt idx="109">
                  <c:v>2249</c:v>
                </c:pt>
                <c:pt idx="110">
                  <c:v>2254</c:v>
                </c:pt>
                <c:pt idx="111">
                  <c:v>2259</c:v>
                </c:pt>
                <c:pt idx="112">
                  <c:v>2264</c:v>
                </c:pt>
                <c:pt idx="113">
                  <c:v>2269</c:v>
                </c:pt>
                <c:pt idx="114">
                  <c:v>2274</c:v>
                </c:pt>
                <c:pt idx="115">
                  <c:v>2279</c:v>
                </c:pt>
                <c:pt idx="116">
                  <c:v>2284</c:v>
                </c:pt>
                <c:pt idx="117">
                  <c:v>2289</c:v>
                </c:pt>
                <c:pt idx="118">
                  <c:v>2294</c:v>
                </c:pt>
                <c:pt idx="119">
                  <c:v>2299</c:v>
                </c:pt>
                <c:pt idx="120">
                  <c:v>2304</c:v>
                </c:pt>
                <c:pt idx="121">
                  <c:v>2309</c:v>
                </c:pt>
                <c:pt idx="122">
                  <c:v>2314</c:v>
                </c:pt>
                <c:pt idx="123">
                  <c:v>2319</c:v>
                </c:pt>
                <c:pt idx="124">
                  <c:v>2324</c:v>
                </c:pt>
                <c:pt idx="125">
                  <c:v>2329</c:v>
                </c:pt>
                <c:pt idx="126">
                  <c:v>2334</c:v>
                </c:pt>
                <c:pt idx="127">
                  <c:v>2339</c:v>
                </c:pt>
                <c:pt idx="128">
                  <c:v>2344</c:v>
                </c:pt>
                <c:pt idx="129">
                  <c:v>2349</c:v>
                </c:pt>
                <c:pt idx="130">
                  <c:v>2354</c:v>
                </c:pt>
                <c:pt idx="131">
                  <c:v>2359</c:v>
                </c:pt>
                <c:pt idx="132">
                  <c:v>2364</c:v>
                </c:pt>
                <c:pt idx="133">
                  <c:v>2369</c:v>
                </c:pt>
                <c:pt idx="134">
                  <c:v>2374</c:v>
                </c:pt>
                <c:pt idx="135">
                  <c:v>2379</c:v>
                </c:pt>
                <c:pt idx="136">
                  <c:v>2384</c:v>
                </c:pt>
                <c:pt idx="137">
                  <c:v>2389</c:v>
                </c:pt>
                <c:pt idx="138">
                  <c:v>2394</c:v>
                </c:pt>
                <c:pt idx="139">
                  <c:v>2399</c:v>
                </c:pt>
                <c:pt idx="140">
                  <c:v>2404</c:v>
                </c:pt>
                <c:pt idx="141">
                  <c:v>2409</c:v>
                </c:pt>
                <c:pt idx="142">
                  <c:v>2414</c:v>
                </c:pt>
                <c:pt idx="143">
                  <c:v>2419</c:v>
                </c:pt>
                <c:pt idx="144">
                  <c:v>2424</c:v>
                </c:pt>
                <c:pt idx="145">
                  <c:v>2429</c:v>
                </c:pt>
                <c:pt idx="146">
                  <c:v>2434</c:v>
                </c:pt>
                <c:pt idx="147">
                  <c:v>2439</c:v>
                </c:pt>
                <c:pt idx="148">
                  <c:v>2444</c:v>
                </c:pt>
                <c:pt idx="149">
                  <c:v>2449</c:v>
                </c:pt>
                <c:pt idx="150">
                  <c:v>2454</c:v>
                </c:pt>
                <c:pt idx="151">
                  <c:v>2459</c:v>
                </c:pt>
                <c:pt idx="152">
                  <c:v>2464</c:v>
                </c:pt>
                <c:pt idx="153">
                  <c:v>2469</c:v>
                </c:pt>
                <c:pt idx="154">
                  <c:v>2474</c:v>
                </c:pt>
                <c:pt idx="155">
                  <c:v>2479</c:v>
                </c:pt>
                <c:pt idx="156">
                  <c:v>2484</c:v>
                </c:pt>
                <c:pt idx="157">
                  <c:v>2489</c:v>
                </c:pt>
                <c:pt idx="158">
                  <c:v>2494</c:v>
                </c:pt>
                <c:pt idx="159">
                  <c:v>2499</c:v>
                </c:pt>
                <c:pt idx="160">
                  <c:v>2504</c:v>
                </c:pt>
                <c:pt idx="161">
                  <c:v>2509</c:v>
                </c:pt>
                <c:pt idx="162">
                  <c:v>2514</c:v>
                </c:pt>
                <c:pt idx="163">
                  <c:v>2519</c:v>
                </c:pt>
                <c:pt idx="164">
                  <c:v>2524</c:v>
                </c:pt>
                <c:pt idx="165">
                  <c:v>2529</c:v>
                </c:pt>
                <c:pt idx="166">
                  <c:v>2534</c:v>
                </c:pt>
                <c:pt idx="167">
                  <c:v>2539</c:v>
                </c:pt>
                <c:pt idx="168">
                  <c:v>2544</c:v>
                </c:pt>
                <c:pt idx="169">
                  <c:v>2549</c:v>
                </c:pt>
                <c:pt idx="170">
                  <c:v>2554</c:v>
                </c:pt>
                <c:pt idx="171">
                  <c:v>2559</c:v>
                </c:pt>
                <c:pt idx="172">
                  <c:v>2564</c:v>
                </c:pt>
                <c:pt idx="173">
                  <c:v>2569</c:v>
                </c:pt>
                <c:pt idx="174">
                  <c:v>2574</c:v>
                </c:pt>
                <c:pt idx="175">
                  <c:v>2579</c:v>
                </c:pt>
                <c:pt idx="176">
                  <c:v>2584</c:v>
                </c:pt>
                <c:pt idx="177">
                  <c:v>2589</c:v>
                </c:pt>
                <c:pt idx="178">
                  <c:v>2594</c:v>
                </c:pt>
                <c:pt idx="179">
                  <c:v>2599</c:v>
                </c:pt>
                <c:pt idx="180">
                  <c:v>2604</c:v>
                </c:pt>
                <c:pt idx="181">
                  <c:v>2609</c:v>
                </c:pt>
                <c:pt idx="182">
                  <c:v>2614</c:v>
                </c:pt>
                <c:pt idx="183">
                  <c:v>2619</c:v>
                </c:pt>
                <c:pt idx="184">
                  <c:v>2624</c:v>
                </c:pt>
                <c:pt idx="185">
                  <c:v>2629</c:v>
                </c:pt>
                <c:pt idx="186">
                  <c:v>2634</c:v>
                </c:pt>
                <c:pt idx="187">
                  <c:v>2639</c:v>
                </c:pt>
                <c:pt idx="188">
                  <c:v>2644</c:v>
                </c:pt>
                <c:pt idx="189">
                  <c:v>2649</c:v>
                </c:pt>
                <c:pt idx="190">
                  <c:v>2654</c:v>
                </c:pt>
                <c:pt idx="191">
                  <c:v>2659</c:v>
                </c:pt>
                <c:pt idx="192">
                  <c:v>2664</c:v>
                </c:pt>
                <c:pt idx="193">
                  <c:v>2669</c:v>
                </c:pt>
                <c:pt idx="194">
                  <c:v>2674</c:v>
                </c:pt>
                <c:pt idx="195">
                  <c:v>2679</c:v>
                </c:pt>
                <c:pt idx="196">
                  <c:v>2684</c:v>
                </c:pt>
                <c:pt idx="197">
                  <c:v>2689</c:v>
                </c:pt>
                <c:pt idx="198">
                  <c:v>2694</c:v>
                </c:pt>
                <c:pt idx="199">
                  <c:v>2699</c:v>
                </c:pt>
                <c:pt idx="200">
                  <c:v>2704</c:v>
                </c:pt>
                <c:pt idx="201">
                  <c:v>2709</c:v>
                </c:pt>
                <c:pt idx="202">
                  <c:v>2714</c:v>
                </c:pt>
                <c:pt idx="203">
                  <c:v>2719</c:v>
                </c:pt>
                <c:pt idx="204">
                  <c:v>2724</c:v>
                </c:pt>
                <c:pt idx="205">
                  <c:v>2729</c:v>
                </c:pt>
                <c:pt idx="206">
                  <c:v>2734</c:v>
                </c:pt>
                <c:pt idx="207">
                  <c:v>2739</c:v>
                </c:pt>
                <c:pt idx="208">
                  <c:v>2744</c:v>
                </c:pt>
                <c:pt idx="209">
                  <c:v>2749</c:v>
                </c:pt>
                <c:pt idx="210">
                  <c:v>2754</c:v>
                </c:pt>
                <c:pt idx="211">
                  <c:v>2759</c:v>
                </c:pt>
                <c:pt idx="212">
                  <c:v>2764</c:v>
                </c:pt>
                <c:pt idx="213">
                  <c:v>2769</c:v>
                </c:pt>
                <c:pt idx="214">
                  <c:v>2774</c:v>
                </c:pt>
                <c:pt idx="215">
                  <c:v>2779</c:v>
                </c:pt>
                <c:pt idx="216">
                  <c:v>2784</c:v>
                </c:pt>
                <c:pt idx="217">
                  <c:v>2789</c:v>
                </c:pt>
                <c:pt idx="218">
                  <c:v>2794</c:v>
                </c:pt>
                <c:pt idx="219">
                  <c:v>2799</c:v>
                </c:pt>
                <c:pt idx="220">
                  <c:v>2804</c:v>
                </c:pt>
                <c:pt idx="221">
                  <c:v>2809</c:v>
                </c:pt>
                <c:pt idx="222">
                  <c:v>2814</c:v>
                </c:pt>
                <c:pt idx="223">
                  <c:v>2819</c:v>
                </c:pt>
                <c:pt idx="224">
                  <c:v>2824</c:v>
                </c:pt>
                <c:pt idx="225">
                  <c:v>2829</c:v>
                </c:pt>
                <c:pt idx="226">
                  <c:v>2834</c:v>
                </c:pt>
                <c:pt idx="227">
                  <c:v>2839</c:v>
                </c:pt>
                <c:pt idx="228">
                  <c:v>2844</c:v>
                </c:pt>
                <c:pt idx="229">
                  <c:v>2849</c:v>
                </c:pt>
                <c:pt idx="230">
                  <c:v>2854</c:v>
                </c:pt>
                <c:pt idx="231">
                  <c:v>2859</c:v>
                </c:pt>
                <c:pt idx="232">
                  <c:v>2864</c:v>
                </c:pt>
                <c:pt idx="233">
                  <c:v>2869</c:v>
                </c:pt>
                <c:pt idx="234">
                  <c:v>2874</c:v>
                </c:pt>
                <c:pt idx="235">
                  <c:v>2879</c:v>
                </c:pt>
                <c:pt idx="236">
                  <c:v>2884</c:v>
                </c:pt>
                <c:pt idx="237">
                  <c:v>2889</c:v>
                </c:pt>
                <c:pt idx="238">
                  <c:v>2894</c:v>
                </c:pt>
                <c:pt idx="239">
                  <c:v>2899</c:v>
                </c:pt>
                <c:pt idx="240">
                  <c:v>2904</c:v>
                </c:pt>
                <c:pt idx="241">
                  <c:v>2909</c:v>
                </c:pt>
                <c:pt idx="242">
                  <c:v>2914</c:v>
                </c:pt>
                <c:pt idx="243">
                  <c:v>2919</c:v>
                </c:pt>
                <c:pt idx="244">
                  <c:v>2924</c:v>
                </c:pt>
                <c:pt idx="245">
                  <c:v>2929</c:v>
                </c:pt>
                <c:pt idx="246">
                  <c:v>2934</c:v>
                </c:pt>
                <c:pt idx="247">
                  <c:v>2939</c:v>
                </c:pt>
                <c:pt idx="248">
                  <c:v>2944</c:v>
                </c:pt>
                <c:pt idx="249">
                  <c:v>2949</c:v>
                </c:pt>
                <c:pt idx="250">
                  <c:v>2954</c:v>
                </c:pt>
                <c:pt idx="251">
                  <c:v>2959</c:v>
                </c:pt>
                <c:pt idx="252">
                  <c:v>2964</c:v>
                </c:pt>
                <c:pt idx="253">
                  <c:v>2969</c:v>
                </c:pt>
                <c:pt idx="254">
                  <c:v>2974</c:v>
                </c:pt>
                <c:pt idx="255">
                  <c:v>2979</c:v>
                </c:pt>
                <c:pt idx="256">
                  <c:v>2984</c:v>
                </c:pt>
                <c:pt idx="257">
                  <c:v>2989</c:v>
                </c:pt>
                <c:pt idx="258">
                  <c:v>2994</c:v>
                </c:pt>
                <c:pt idx="259">
                  <c:v>2999</c:v>
                </c:pt>
                <c:pt idx="260">
                  <c:v>3004</c:v>
                </c:pt>
                <c:pt idx="261">
                  <c:v>3009</c:v>
                </c:pt>
                <c:pt idx="262">
                  <c:v>3014</c:v>
                </c:pt>
                <c:pt idx="263">
                  <c:v>3019</c:v>
                </c:pt>
                <c:pt idx="264">
                  <c:v>3024</c:v>
                </c:pt>
                <c:pt idx="265">
                  <c:v>3029</c:v>
                </c:pt>
                <c:pt idx="266">
                  <c:v>3034</c:v>
                </c:pt>
                <c:pt idx="267">
                  <c:v>3039</c:v>
                </c:pt>
                <c:pt idx="268">
                  <c:v>3044</c:v>
                </c:pt>
                <c:pt idx="269">
                  <c:v>3049</c:v>
                </c:pt>
                <c:pt idx="270">
                  <c:v>3054</c:v>
                </c:pt>
                <c:pt idx="271">
                  <c:v>3059</c:v>
                </c:pt>
                <c:pt idx="272">
                  <c:v>3064</c:v>
                </c:pt>
                <c:pt idx="273">
                  <c:v>3069</c:v>
                </c:pt>
                <c:pt idx="274">
                  <c:v>3074</c:v>
                </c:pt>
                <c:pt idx="275">
                  <c:v>3079</c:v>
                </c:pt>
                <c:pt idx="276">
                  <c:v>3084</c:v>
                </c:pt>
                <c:pt idx="277">
                  <c:v>3089</c:v>
                </c:pt>
                <c:pt idx="278">
                  <c:v>3094</c:v>
                </c:pt>
                <c:pt idx="279">
                  <c:v>3099</c:v>
                </c:pt>
                <c:pt idx="280">
                  <c:v>3104</c:v>
                </c:pt>
                <c:pt idx="281">
                  <c:v>3109</c:v>
                </c:pt>
                <c:pt idx="282">
                  <c:v>3114</c:v>
                </c:pt>
                <c:pt idx="283">
                  <c:v>3119</c:v>
                </c:pt>
                <c:pt idx="284">
                  <c:v>3124</c:v>
                </c:pt>
                <c:pt idx="285">
                  <c:v>3129</c:v>
                </c:pt>
                <c:pt idx="286">
                  <c:v>3134</c:v>
                </c:pt>
                <c:pt idx="287">
                  <c:v>3139</c:v>
                </c:pt>
                <c:pt idx="288">
                  <c:v>3144</c:v>
                </c:pt>
                <c:pt idx="289">
                  <c:v>3149</c:v>
                </c:pt>
                <c:pt idx="290">
                  <c:v>3154</c:v>
                </c:pt>
                <c:pt idx="291">
                  <c:v>3159</c:v>
                </c:pt>
                <c:pt idx="292">
                  <c:v>3164</c:v>
                </c:pt>
                <c:pt idx="293">
                  <c:v>3169</c:v>
                </c:pt>
                <c:pt idx="294">
                  <c:v>3174</c:v>
                </c:pt>
                <c:pt idx="295">
                  <c:v>3179</c:v>
                </c:pt>
                <c:pt idx="296">
                  <c:v>3184</c:v>
                </c:pt>
                <c:pt idx="297">
                  <c:v>3189</c:v>
                </c:pt>
                <c:pt idx="298">
                  <c:v>3194</c:v>
                </c:pt>
                <c:pt idx="299">
                  <c:v>3199</c:v>
                </c:pt>
                <c:pt idx="300">
                  <c:v>3204</c:v>
                </c:pt>
                <c:pt idx="301">
                  <c:v>3209</c:v>
                </c:pt>
                <c:pt idx="302">
                  <c:v>3214</c:v>
                </c:pt>
                <c:pt idx="303">
                  <c:v>3219</c:v>
                </c:pt>
                <c:pt idx="304">
                  <c:v>3224</c:v>
                </c:pt>
                <c:pt idx="305">
                  <c:v>3229</c:v>
                </c:pt>
                <c:pt idx="306">
                  <c:v>3234</c:v>
                </c:pt>
                <c:pt idx="307">
                  <c:v>3239</c:v>
                </c:pt>
                <c:pt idx="308">
                  <c:v>3244</c:v>
                </c:pt>
                <c:pt idx="309">
                  <c:v>3249</c:v>
                </c:pt>
                <c:pt idx="310">
                  <c:v>3254</c:v>
                </c:pt>
                <c:pt idx="311">
                  <c:v>3259</c:v>
                </c:pt>
                <c:pt idx="312">
                  <c:v>3264</c:v>
                </c:pt>
                <c:pt idx="313">
                  <c:v>3269</c:v>
                </c:pt>
                <c:pt idx="314">
                  <c:v>3274</c:v>
                </c:pt>
                <c:pt idx="315">
                  <c:v>3279</c:v>
                </c:pt>
                <c:pt idx="316">
                  <c:v>3284</c:v>
                </c:pt>
                <c:pt idx="317">
                  <c:v>3289</c:v>
                </c:pt>
                <c:pt idx="318">
                  <c:v>3294</c:v>
                </c:pt>
                <c:pt idx="319">
                  <c:v>3299</c:v>
                </c:pt>
                <c:pt idx="320">
                  <c:v>3304</c:v>
                </c:pt>
                <c:pt idx="321">
                  <c:v>3309</c:v>
                </c:pt>
                <c:pt idx="322">
                  <c:v>3314</c:v>
                </c:pt>
                <c:pt idx="323">
                  <c:v>3319</c:v>
                </c:pt>
                <c:pt idx="324">
                  <c:v>3324</c:v>
                </c:pt>
                <c:pt idx="325">
                  <c:v>3329</c:v>
                </c:pt>
                <c:pt idx="326">
                  <c:v>3334</c:v>
                </c:pt>
                <c:pt idx="327">
                  <c:v>3339</c:v>
                </c:pt>
                <c:pt idx="328">
                  <c:v>3344</c:v>
                </c:pt>
                <c:pt idx="329">
                  <c:v>3349</c:v>
                </c:pt>
                <c:pt idx="330">
                  <c:v>3354</c:v>
                </c:pt>
                <c:pt idx="331">
                  <c:v>3359</c:v>
                </c:pt>
                <c:pt idx="332">
                  <c:v>3364</c:v>
                </c:pt>
                <c:pt idx="333">
                  <c:v>3369</c:v>
                </c:pt>
                <c:pt idx="334">
                  <c:v>3374</c:v>
                </c:pt>
                <c:pt idx="335">
                  <c:v>3379</c:v>
                </c:pt>
                <c:pt idx="336">
                  <c:v>3384</c:v>
                </c:pt>
                <c:pt idx="337">
                  <c:v>3389</c:v>
                </c:pt>
                <c:pt idx="338">
                  <c:v>3394</c:v>
                </c:pt>
                <c:pt idx="339">
                  <c:v>3399</c:v>
                </c:pt>
                <c:pt idx="340">
                  <c:v>3404</c:v>
                </c:pt>
                <c:pt idx="341">
                  <c:v>3409</c:v>
                </c:pt>
                <c:pt idx="342">
                  <c:v>3414</c:v>
                </c:pt>
                <c:pt idx="343">
                  <c:v>3419</c:v>
                </c:pt>
                <c:pt idx="344">
                  <c:v>3424</c:v>
                </c:pt>
                <c:pt idx="345">
                  <c:v>3429</c:v>
                </c:pt>
                <c:pt idx="346">
                  <c:v>3434</c:v>
                </c:pt>
                <c:pt idx="347">
                  <c:v>3439</c:v>
                </c:pt>
                <c:pt idx="348">
                  <c:v>3444</c:v>
                </c:pt>
                <c:pt idx="349">
                  <c:v>3449</c:v>
                </c:pt>
                <c:pt idx="350">
                  <c:v>3454</c:v>
                </c:pt>
                <c:pt idx="351">
                  <c:v>3459</c:v>
                </c:pt>
                <c:pt idx="352">
                  <c:v>3464</c:v>
                </c:pt>
                <c:pt idx="353">
                  <c:v>3469</c:v>
                </c:pt>
                <c:pt idx="354">
                  <c:v>3474</c:v>
                </c:pt>
                <c:pt idx="355">
                  <c:v>3479</c:v>
                </c:pt>
                <c:pt idx="356">
                  <c:v>3484</c:v>
                </c:pt>
                <c:pt idx="357">
                  <c:v>3489</c:v>
                </c:pt>
                <c:pt idx="358">
                  <c:v>3494</c:v>
                </c:pt>
                <c:pt idx="359">
                  <c:v>3499</c:v>
                </c:pt>
                <c:pt idx="360">
                  <c:v>3504</c:v>
                </c:pt>
                <c:pt idx="361">
                  <c:v>3509</c:v>
                </c:pt>
                <c:pt idx="362">
                  <c:v>3514</c:v>
                </c:pt>
                <c:pt idx="363">
                  <c:v>3519</c:v>
                </c:pt>
                <c:pt idx="364">
                  <c:v>3524</c:v>
                </c:pt>
                <c:pt idx="365">
                  <c:v>3529</c:v>
                </c:pt>
                <c:pt idx="366">
                  <c:v>3534</c:v>
                </c:pt>
                <c:pt idx="367">
                  <c:v>3539</c:v>
                </c:pt>
                <c:pt idx="368">
                  <c:v>3544</c:v>
                </c:pt>
                <c:pt idx="369">
                  <c:v>3549</c:v>
                </c:pt>
                <c:pt idx="370">
                  <c:v>3554</c:v>
                </c:pt>
                <c:pt idx="371">
                  <c:v>3559</c:v>
                </c:pt>
                <c:pt idx="372">
                  <c:v>3564</c:v>
                </c:pt>
                <c:pt idx="373">
                  <c:v>3569</c:v>
                </c:pt>
                <c:pt idx="374">
                  <c:v>3574</c:v>
                </c:pt>
                <c:pt idx="375">
                  <c:v>3579</c:v>
                </c:pt>
                <c:pt idx="376">
                  <c:v>3584</c:v>
                </c:pt>
                <c:pt idx="377">
                  <c:v>3589</c:v>
                </c:pt>
                <c:pt idx="378">
                  <c:v>3594</c:v>
                </c:pt>
                <c:pt idx="379">
                  <c:v>3599</c:v>
                </c:pt>
                <c:pt idx="380">
                  <c:v>3604</c:v>
                </c:pt>
                <c:pt idx="381">
                  <c:v>3609</c:v>
                </c:pt>
                <c:pt idx="382">
                  <c:v>3614</c:v>
                </c:pt>
                <c:pt idx="383">
                  <c:v>3619</c:v>
                </c:pt>
                <c:pt idx="384">
                  <c:v>3624</c:v>
                </c:pt>
                <c:pt idx="385">
                  <c:v>3629</c:v>
                </c:pt>
                <c:pt idx="386">
                  <c:v>3634</c:v>
                </c:pt>
                <c:pt idx="387">
                  <c:v>3639</c:v>
                </c:pt>
                <c:pt idx="388">
                  <c:v>3644</c:v>
                </c:pt>
                <c:pt idx="389">
                  <c:v>3649</c:v>
                </c:pt>
                <c:pt idx="390">
                  <c:v>3654</c:v>
                </c:pt>
                <c:pt idx="391">
                  <c:v>3659</c:v>
                </c:pt>
                <c:pt idx="392">
                  <c:v>3664</c:v>
                </c:pt>
                <c:pt idx="393">
                  <c:v>3669</c:v>
                </c:pt>
                <c:pt idx="394">
                  <c:v>3674</c:v>
                </c:pt>
                <c:pt idx="395">
                  <c:v>3679</c:v>
                </c:pt>
                <c:pt idx="396">
                  <c:v>3684</c:v>
                </c:pt>
                <c:pt idx="397">
                  <c:v>3689</c:v>
                </c:pt>
                <c:pt idx="398">
                  <c:v>3694</c:v>
                </c:pt>
                <c:pt idx="399">
                  <c:v>3699</c:v>
                </c:pt>
                <c:pt idx="400">
                  <c:v>3704</c:v>
                </c:pt>
                <c:pt idx="401">
                  <c:v>3709</c:v>
                </c:pt>
                <c:pt idx="402">
                  <c:v>3714</c:v>
                </c:pt>
                <c:pt idx="403">
                  <c:v>3719</c:v>
                </c:pt>
                <c:pt idx="404">
                  <c:v>3724</c:v>
                </c:pt>
                <c:pt idx="405">
                  <c:v>3729</c:v>
                </c:pt>
                <c:pt idx="406">
                  <c:v>3734</c:v>
                </c:pt>
                <c:pt idx="407">
                  <c:v>3739</c:v>
                </c:pt>
                <c:pt idx="408">
                  <c:v>3744</c:v>
                </c:pt>
                <c:pt idx="409">
                  <c:v>3749</c:v>
                </c:pt>
                <c:pt idx="410">
                  <c:v>3754</c:v>
                </c:pt>
                <c:pt idx="411">
                  <c:v>3759</c:v>
                </c:pt>
                <c:pt idx="412">
                  <c:v>3764</c:v>
                </c:pt>
                <c:pt idx="413">
                  <c:v>3769</c:v>
                </c:pt>
                <c:pt idx="414">
                  <c:v>3774</c:v>
                </c:pt>
                <c:pt idx="415">
                  <c:v>3779</c:v>
                </c:pt>
                <c:pt idx="416">
                  <c:v>3784</c:v>
                </c:pt>
                <c:pt idx="417">
                  <c:v>3789</c:v>
                </c:pt>
                <c:pt idx="418">
                  <c:v>3794</c:v>
                </c:pt>
                <c:pt idx="419">
                  <c:v>3799</c:v>
                </c:pt>
                <c:pt idx="420">
                  <c:v>3804</c:v>
                </c:pt>
                <c:pt idx="421">
                  <c:v>3809</c:v>
                </c:pt>
                <c:pt idx="422">
                  <c:v>3814</c:v>
                </c:pt>
                <c:pt idx="423">
                  <c:v>3819</c:v>
                </c:pt>
                <c:pt idx="424">
                  <c:v>3824</c:v>
                </c:pt>
                <c:pt idx="425">
                  <c:v>3829</c:v>
                </c:pt>
                <c:pt idx="426">
                  <c:v>3834</c:v>
                </c:pt>
                <c:pt idx="427">
                  <c:v>3839</c:v>
                </c:pt>
                <c:pt idx="428">
                  <c:v>3844</c:v>
                </c:pt>
                <c:pt idx="429">
                  <c:v>3849</c:v>
                </c:pt>
                <c:pt idx="430">
                  <c:v>3854</c:v>
                </c:pt>
                <c:pt idx="431">
                  <c:v>3859</c:v>
                </c:pt>
                <c:pt idx="432">
                  <c:v>3864</c:v>
                </c:pt>
                <c:pt idx="433">
                  <c:v>3869</c:v>
                </c:pt>
                <c:pt idx="434">
                  <c:v>3874</c:v>
                </c:pt>
                <c:pt idx="435">
                  <c:v>3879</c:v>
                </c:pt>
                <c:pt idx="436">
                  <c:v>3884</c:v>
                </c:pt>
                <c:pt idx="437">
                  <c:v>3889</c:v>
                </c:pt>
                <c:pt idx="438">
                  <c:v>3894</c:v>
                </c:pt>
                <c:pt idx="439">
                  <c:v>3899</c:v>
                </c:pt>
                <c:pt idx="440">
                  <c:v>3904</c:v>
                </c:pt>
                <c:pt idx="441">
                  <c:v>3909</c:v>
                </c:pt>
                <c:pt idx="442">
                  <c:v>3914</c:v>
                </c:pt>
                <c:pt idx="443">
                  <c:v>3919</c:v>
                </c:pt>
                <c:pt idx="444">
                  <c:v>3924</c:v>
                </c:pt>
                <c:pt idx="445">
                  <c:v>3929</c:v>
                </c:pt>
                <c:pt idx="446">
                  <c:v>3934</c:v>
                </c:pt>
                <c:pt idx="447">
                  <c:v>3939</c:v>
                </c:pt>
                <c:pt idx="448">
                  <c:v>3944</c:v>
                </c:pt>
                <c:pt idx="449">
                  <c:v>3949</c:v>
                </c:pt>
                <c:pt idx="450">
                  <c:v>3954</c:v>
                </c:pt>
                <c:pt idx="451">
                  <c:v>3959</c:v>
                </c:pt>
                <c:pt idx="452">
                  <c:v>3964</c:v>
                </c:pt>
                <c:pt idx="453">
                  <c:v>3969</c:v>
                </c:pt>
                <c:pt idx="454">
                  <c:v>3974</c:v>
                </c:pt>
                <c:pt idx="455">
                  <c:v>3979</c:v>
                </c:pt>
                <c:pt idx="456">
                  <c:v>3984</c:v>
                </c:pt>
                <c:pt idx="457">
                  <c:v>3989</c:v>
                </c:pt>
                <c:pt idx="458">
                  <c:v>3994</c:v>
                </c:pt>
                <c:pt idx="459">
                  <c:v>3999</c:v>
                </c:pt>
                <c:pt idx="460">
                  <c:v>4004</c:v>
                </c:pt>
                <c:pt idx="461">
                  <c:v>4009</c:v>
                </c:pt>
                <c:pt idx="462">
                  <c:v>4014</c:v>
                </c:pt>
                <c:pt idx="463">
                  <c:v>4019</c:v>
                </c:pt>
                <c:pt idx="464">
                  <c:v>4024</c:v>
                </c:pt>
                <c:pt idx="465">
                  <c:v>4029</c:v>
                </c:pt>
                <c:pt idx="466">
                  <c:v>4034</c:v>
                </c:pt>
                <c:pt idx="467">
                  <c:v>4039</c:v>
                </c:pt>
                <c:pt idx="468">
                  <c:v>4044</c:v>
                </c:pt>
                <c:pt idx="469">
                  <c:v>4049</c:v>
                </c:pt>
                <c:pt idx="470">
                  <c:v>4054</c:v>
                </c:pt>
                <c:pt idx="471">
                  <c:v>4059</c:v>
                </c:pt>
                <c:pt idx="472">
                  <c:v>4064</c:v>
                </c:pt>
                <c:pt idx="473">
                  <c:v>4069</c:v>
                </c:pt>
                <c:pt idx="474">
                  <c:v>4074</c:v>
                </c:pt>
                <c:pt idx="475">
                  <c:v>4079</c:v>
                </c:pt>
                <c:pt idx="476">
                  <c:v>4084</c:v>
                </c:pt>
                <c:pt idx="477">
                  <c:v>4089</c:v>
                </c:pt>
                <c:pt idx="478">
                  <c:v>4094</c:v>
                </c:pt>
                <c:pt idx="479">
                  <c:v>4099</c:v>
                </c:pt>
                <c:pt idx="480">
                  <c:v>4104</c:v>
                </c:pt>
                <c:pt idx="481">
                  <c:v>4109</c:v>
                </c:pt>
                <c:pt idx="482">
                  <c:v>4114</c:v>
                </c:pt>
                <c:pt idx="483">
                  <c:v>4119</c:v>
                </c:pt>
                <c:pt idx="484">
                  <c:v>4124</c:v>
                </c:pt>
                <c:pt idx="485">
                  <c:v>4129</c:v>
                </c:pt>
                <c:pt idx="486">
                  <c:v>4134</c:v>
                </c:pt>
                <c:pt idx="487">
                  <c:v>4139</c:v>
                </c:pt>
                <c:pt idx="488">
                  <c:v>4144</c:v>
                </c:pt>
                <c:pt idx="489">
                  <c:v>4149</c:v>
                </c:pt>
                <c:pt idx="490">
                  <c:v>4154</c:v>
                </c:pt>
                <c:pt idx="491">
                  <c:v>4159</c:v>
                </c:pt>
                <c:pt idx="492">
                  <c:v>4164</c:v>
                </c:pt>
                <c:pt idx="493">
                  <c:v>4169</c:v>
                </c:pt>
                <c:pt idx="494">
                  <c:v>4174</c:v>
                </c:pt>
                <c:pt idx="495">
                  <c:v>4179</c:v>
                </c:pt>
                <c:pt idx="496">
                  <c:v>4184</c:v>
                </c:pt>
                <c:pt idx="497">
                  <c:v>4189</c:v>
                </c:pt>
                <c:pt idx="498">
                  <c:v>4194</c:v>
                </c:pt>
                <c:pt idx="499">
                  <c:v>4199</c:v>
                </c:pt>
                <c:pt idx="500">
                  <c:v>4204</c:v>
                </c:pt>
                <c:pt idx="501">
                  <c:v>4209</c:v>
                </c:pt>
                <c:pt idx="502">
                  <c:v>4214</c:v>
                </c:pt>
                <c:pt idx="503">
                  <c:v>4219</c:v>
                </c:pt>
                <c:pt idx="504">
                  <c:v>4224</c:v>
                </c:pt>
                <c:pt idx="505">
                  <c:v>4229</c:v>
                </c:pt>
                <c:pt idx="506">
                  <c:v>4234</c:v>
                </c:pt>
                <c:pt idx="507">
                  <c:v>4239</c:v>
                </c:pt>
                <c:pt idx="508">
                  <c:v>4244</c:v>
                </c:pt>
                <c:pt idx="509">
                  <c:v>4249</c:v>
                </c:pt>
                <c:pt idx="510">
                  <c:v>4254</c:v>
                </c:pt>
                <c:pt idx="511">
                  <c:v>4259</c:v>
                </c:pt>
                <c:pt idx="512">
                  <c:v>4264</c:v>
                </c:pt>
                <c:pt idx="513">
                  <c:v>4269</c:v>
                </c:pt>
                <c:pt idx="514">
                  <c:v>4274</c:v>
                </c:pt>
                <c:pt idx="515">
                  <c:v>4279</c:v>
                </c:pt>
                <c:pt idx="516">
                  <c:v>4284</c:v>
                </c:pt>
                <c:pt idx="517">
                  <c:v>4289</c:v>
                </c:pt>
                <c:pt idx="518">
                  <c:v>4294</c:v>
                </c:pt>
                <c:pt idx="519">
                  <c:v>4299</c:v>
                </c:pt>
                <c:pt idx="520">
                  <c:v>4304</c:v>
                </c:pt>
                <c:pt idx="521">
                  <c:v>4309</c:v>
                </c:pt>
                <c:pt idx="522">
                  <c:v>4314</c:v>
                </c:pt>
                <c:pt idx="523">
                  <c:v>4319</c:v>
                </c:pt>
                <c:pt idx="524">
                  <c:v>4324</c:v>
                </c:pt>
                <c:pt idx="525">
                  <c:v>4329</c:v>
                </c:pt>
                <c:pt idx="526">
                  <c:v>4334</c:v>
                </c:pt>
                <c:pt idx="527">
                  <c:v>4339</c:v>
                </c:pt>
                <c:pt idx="528">
                  <c:v>4344</c:v>
                </c:pt>
                <c:pt idx="529">
                  <c:v>4349</c:v>
                </c:pt>
                <c:pt idx="530">
                  <c:v>4354</c:v>
                </c:pt>
                <c:pt idx="531">
                  <c:v>4359</c:v>
                </c:pt>
                <c:pt idx="532">
                  <c:v>4364</c:v>
                </c:pt>
                <c:pt idx="533">
                  <c:v>4369</c:v>
                </c:pt>
                <c:pt idx="534">
                  <c:v>4374</c:v>
                </c:pt>
                <c:pt idx="535">
                  <c:v>4379</c:v>
                </c:pt>
                <c:pt idx="536">
                  <c:v>4384</c:v>
                </c:pt>
                <c:pt idx="537">
                  <c:v>4389</c:v>
                </c:pt>
                <c:pt idx="538">
                  <c:v>4394</c:v>
                </c:pt>
              </c:numCache>
            </c:numRef>
          </c:xVal>
          <c:yVal>
            <c:numRef>
              <c:f>'Structure-B'!$AC$54:$AC$592</c:f>
              <c:numCache>
                <c:formatCode>General</c:formatCode>
                <c:ptCount val="539"/>
                <c:pt idx="0">
                  <c:v>936.82297908120313</c:v>
                </c:pt>
                <c:pt idx="1">
                  <c:v>925.648285589181</c:v>
                </c:pt>
                <c:pt idx="2">
                  <c:v>914.24111745378787</c:v>
                </c:pt>
                <c:pt idx="3">
                  <c:v>903.33578689136948</c:v>
                </c:pt>
                <c:pt idx="4">
                  <c:v>892.20358542326142</c:v>
                </c:pt>
                <c:pt idx="5">
                  <c:v>881.20857093625693</c:v>
                </c:pt>
                <c:pt idx="6">
                  <c:v>870.69726207360145</c:v>
                </c:pt>
                <c:pt idx="7">
                  <c:v>868.95760778362899</c:v>
                </c:pt>
                <c:pt idx="8">
                  <c:v>867.22142932524616</c:v>
                </c:pt>
                <c:pt idx="9">
                  <c:v>865.48871975373709</c:v>
                </c:pt>
                <c:pt idx="10">
                  <c:v>863.75947213826089</c:v>
                </c:pt>
                <c:pt idx="11">
                  <c:v>862.0336795618249</c:v>
                </c:pt>
                <c:pt idx="12">
                  <c:v>860.31133512125666</c:v>
                </c:pt>
                <c:pt idx="13">
                  <c:v>858.59243192717588</c:v>
                </c:pt>
                <c:pt idx="14">
                  <c:v>856.87696310396768</c:v>
                </c:pt>
                <c:pt idx="15">
                  <c:v>855.16492178975432</c:v>
                </c:pt>
                <c:pt idx="16">
                  <c:v>853.45630113636832</c:v>
                </c:pt>
                <c:pt idx="17">
                  <c:v>851.75109430932491</c:v>
                </c:pt>
                <c:pt idx="18">
                  <c:v>850.04929448779444</c:v>
                </c:pt>
                <c:pt idx="19">
                  <c:v>848.35089486457514</c:v>
                </c:pt>
                <c:pt idx="20">
                  <c:v>846.6558886460665</c:v>
                </c:pt>
                <c:pt idx="21">
                  <c:v>844.96426905224143</c:v>
                </c:pt>
                <c:pt idx="22">
                  <c:v>843.27602931661909</c:v>
                </c:pt>
                <c:pt idx="23">
                  <c:v>841.59116268623836</c:v>
                </c:pt>
                <c:pt idx="24">
                  <c:v>839.90966242163063</c:v>
                </c:pt>
                <c:pt idx="25">
                  <c:v>838.23152179679232</c:v>
                </c:pt>
                <c:pt idx="26">
                  <c:v>836.55673409915892</c:v>
                </c:pt>
                <c:pt idx="27">
                  <c:v>834.88529262957729</c:v>
                </c:pt>
                <c:pt idx="28">
                  <c:v>833.21719070227937</c:v>
                </c:pt>
                <c:pt idx="29">
                  <c:v>831.55242164485526</c:v>
                </c:pt>
                <c:pt idx="30">
                  <c:v>829.89097879822634</c:v>
                </c:pt>
                <c:pt idx="31">
                  <c:v>828.23285551661922</c:v>
                </c:pt>
                <c:pt idx="32">
                  <c:v>826.57804516753856</c:v>
                </c:pt>
                <c:pt idx="33">
                  <c:v>824.92654113174058</c:v>
                </c:pt>
                <c:pt idx="34">
                  <c:v>823.27833680320703</c:v>
                </c:pt>
                <c:pt idx="35">
                  <c:v>821.63342558911836</c:v>
                </c:pt>
                <c:pt idx="36">
                  <c:v>819.99180090982759</c:v>
                </c:pt>
                <c:pt idx="37">
                  <c:v>818.35345619883378</c:v>
                </c:pt>
                <c:pt idx="38">
                  <c:v>816.71838490275593</c:v>
                </c:pt>
                <c:pt idx="39">
                  <c:v>815.08658048130667</c:v>
                </c:pt>
                <c:pt idx="40">
                  <c:v>813.45803640726604</c:v>
                </c:pt>
                <c:pt idx="41">
                  <c:v>811.83274616645576</c:v>
                </c:pt>
                <c:pt idx="42">
                  <c:v>810.21070325771245</c:v>
                </c:pt>
                <c:pt idx="43">
                  <c:v>808.59190119286257</c:v>
                </c:pt>
                <c:pt idx="44">
                  <c:v>806.97633349669559</c:v>
                </c:pt>
                <c:pt idx="45">
                  <c:v>805.36399370693846</c:v>
                </c:pt>
                <c:pt idx="46">
                  <c:v>803.75487537422998</c:v>
                </c:pt>
                <c:pt idx="47">
                  <c:v>802.14897206209469</c:v>
                </c:pt>
                <c:pt idx="48">
                  <c:v>800.54627734691724</c:v>
                </c:pt>
                <c:pt idx="49">
                  <c:v>798.94678481791652</c:v>
                </c:pt>
                <c:pt idx="50">
                  <c:v>797.35048807712042</c:v>
                </c:pt>
                <c:pt idx="51">
                  <c:v>795.75738073933962</c:v>
                </c:pt>
                <c:pt idx="52">
                  <c:v>794.1674564321429</c:v>
                </c:pt>
                <c:pt idx="53">
                  <c:v>792.58070879583079</c:v>
                </c:pt>
                <c:pt idx="54">
                  <c:v>790.99713148341061</c:v>
                </c:pt>
                <c:pt idx="55">
                  <c:v>789.41671816057112</c:v>
                </c:pt>
                <c:pt idx="56">
                  <c:v>787.83946250565668</c:v>
                </c:pt>
                <c:pt idx="57">
                  <c:v>786.26535820964284</c:v>
                </c:pt>
                <c:pt idx="58">
                  <c:v>784.69439897611005</c:v>
                </c:pt>
                <c:pt idx="59">
                  <c:v>783.12657852121947</c:v>
                </c:pt>
                <c:pt idx="60">
                  <c:v>781.56189057368726</c:v>
                </c:pt>
                <c:pt idx="61">
                  <c:v>780.00032887475936</c:v>
                </c:pt>
                <c:pt idx="62">
                  <c:v>778.4418871781869</c:v>
                </c:pt>
                <c:pt idx="63">
                  <c:v>776.88655925020123</c:v>
                </c:pt>
                <c:pt idx="64">
                  <c:v>775.33433886948831</c:v>
                </c:pt>
                <c:pt idx="65">
                  <c:v>773.78521982716461</c:v>
                </c:pt>
                <c:pt idx="66">
                  <c:v>772.2391959267519</c:v>
                </c:pt>
                <c:pt idx="67">
                  <c:v>770.69626098415267</c:v>
                </c:pt>
                <c:pt idx="68">
                  <c:v>769.15640882762489</c:v>
                </c:pt>
                <c:pt idx="69">
                  <c:v>767.61963329775801</c:v>
                </c:pt>
                <c:pt idx="70">
                  <c:v>766.08592824744778</c:v>
                </c:pt>
                <c:pt idx="71">
                  <c:v>764.55528754187196</c:v>
                </c:pt>
                <c:pt idx="72">
                  <c:v>763.0277050584657</c:v>
                </c:pt>
                <c:pt idx="73">
                  <c:v>761.50317468689718</c:v>
                </c:pt>
                <c:pt idx="74">
                  <c:v>759.98169032904264</c:v>
                </c:pt>
                <c:pt idx="75">
                  <c:v>758.46324589896267</c:v>
                </c:pt>
                <c:pt idx="76">
                  <c:v>756.94783532287772</c:v>
                </c:pt>
                <c:pt idx="77">
                  <c:v>755.43545253914328</c:v>
                </c:pt>
                <c:pt idx="78">
                  <c:v>753.92609149822613</c:v>
                </c:pt>
                <c:pt idx="79">
                  <c:v>752.41974616268033</c:v>
                </c:pt>
                <c:pt idx="80">
                  <c:v>750.91641050712246</c:v>
                </c:pt>
                <c:pt idx="81">
                  <c:v>749.41607851820766</c:v>
                </c:pt>
                <c:pt idx="82">
                  <c:v>747.91874419460635</c:v>
                </c:pt>
                <c:pt idx="83">
                  <c:v>746.42440154697897</c:v>
                </c:pt>
                <c:pt idx="84">
                  <c:v>744.93304459795297</c:v>
                </c:pt>
                <c:pt idx="85">
                  <c:v>743.4446673820986</c:v>
                </c:pt>
                <c:pt idx="86">
                  <c:v>741.95926394590504</c:v>
                </c:pt>
                <c:pt idx="87">
                  <c:v>740.47682834775651</c:v>
                </c:pt>
                <c:pt idx="88">
                  <c:v>738.99735465790866</c:v>
                </c:pt>
                <c:pt idx="89">
                  <c:v>737.52083695846488</c:v>
                </c:pt>
                <c:pt idx="90">
                  <c:v>736.04726934335224</c:v>
                </c:pt>
                <c:pt idx="91">
                  <c:v>734.57664591829837</c:v>
                </c:pt>
                <c:pt idx="92">
                  <c:v>733.10896080080761</c:v>
                </c:pt>
                <c:pt idx="93">
                  <c:v>731.64420812013748</c:v>
                </c:pt>
                <c:pt idx="94">
                  <c:v>730.18238201727536</c:v>
                </c:pt>
                <c:pt idx="95">
                  <c:v>728.72347664491497</c:v>
                </c:pt>
                <c:pt idx="96">
                  <c:v>727.26748616743271</c:v>
                </c:pt>
                <c:pt idx="97">
                  <c:v>725.81440476086482</c:v>
                </c:pt>
                <c:pt idx="98">
                  <c:v>724.36422661288384</c:v>
                </c:pt>
                <c:pt idx="99">
                  <c:v>722.91694592277508</c:v>
                </c:pt>
                <c:pt idx="100">
                  <c:v>721.4725569014139</c:v>
                </c:pt>
                <c:pt idx="101">
                  <c:v>720.03105377124223</c:v>
                </c:pt>
                <c:pt idx="102">
                  <c:v>718.59243076624568</c:v>
                </c:pt>
                <c:pt idx="103">
                  <c:v>717.15668213193044</c:v>
                </c:pt>
                <c:pt idx="104">
                  <c:v>715.7238021252997</c:v>
                </c:pt>
                <c:pt idx="105">
                  <c:v>714.293785014832</c:v>
                </c:pt>
                <c:pt idx="106">
                  <c:v>712.86662508045663</c:v>
                </c:pt>
                <c:pt idx="107">
                  <c:v>711.44231661353206</c:v>
                </c:pt>
                <c:pt idx="108">
                  <c:v>710.0208539168226</c:v>
                </c:pt>
                <c:pt idx="109">
                  <c:v>708.60223130447548</c:v>
                </c:pt>
                <c:pt idx="110">
                  <c:v>707.18644310199841</c:v>
                </c:pt>
                <c:pt idx="111">
                  <c:v>705.77348364623651</c:v>
                </c:pt>
                <c:pt idx="112">
                  <c:v>704.36334728535041</c:v>
                </c:pt>
                <c:pt idx="113">
                  <c:v>702.95602837879255</c:v>
                </c:pt>
                <c:pt idx="114">
                  <c:v>701.55152129728549</c:v>
                </c:pt>
                <c:pt idx="115">
                  <c:v>700.14982042279894</c:v>
                </c:pt>
                <c:pt idx="116">
                  <c:v>698.75092014852771</c:v>
                </c:pt>
                <c:pt idx="117">
                  <c:v>697.35481487886875</c:v>
                </c:pt>
                <c:pt idx="118">
                  <c:v>695.96149902939908</c:v>
                </c:pt>
                <c:pt idx="119">
                  <c:v>694.5709670268534</c:v>
                </c:pt>
                <c:pt idx="120">
                  <c:v>693.18321330910192</c:v>
                </c:pt>
                <c:pt idx="121">
                  <c:v>691.79823232512797</c:v>
                </c:pt>
                <c:pt idx="122">
                  <c:v>690.41601853500583</c:v>
                </c:pt>
                <c:pt idx="123">
                  <c:v>689.03656640987822</c:v>
                </c:pt>
                <c:pt idx="124">
                  <c:v>687.65987043193513</c:v>
                </c:pt>
                <c:pt idx="125">
                  <c:v>686.28592509439045</c:v>
                </c:pt>
                <c:pt idx="126">
                  <c:v>684.91472490146134</c:v>
                </c:pt>
                <c:pt idx="127">
                  <c:v>683.54626436834496</c:v>
                </c:pt>
                <c:pt idx="128">
                  <c:v>682.18053802119755</c:v>
                </c:pt>
                <c:pt idx="129">
                  <c:v>680.81754039711188</c:v>
                </c:pt>
                <c:pt idx="130">
                  <c:v>679.45726604409538</c:v>
                </c:pt>
                <c:pt idx="131">
                  <c:v>678.09970952104902</c:v>
                </c:pt>
                <c:pt idx="132">
                  <c:v>676.74486539774489</c:v>
                </c:pt>
                <c:pt idx="133">
                  <c:v>675.39272825480475</c:v>
                </c:pt>
                <c:pt idx="134">
                  <c:v>674.04329268367815</c:v>
                </c:pt>
                <c:pt idx="135">
                  <c:v>672.69655328662077</c:v>
                </c:pt>
                <c:pt idx="136">
                  <c:v>671.35250467667379</c:v>
                </c:pt>
                <c:pt idx="137">
                  <c:v>670.01114147764054</c:v>
                </c:pt>
                <c:pt idx="138">
                  <c:v>668.67245832406638</c:v>
                </c:pt>
                <c:pt idx="139">
                  <c:v>667.33644986121726</c:v>
                </c:pt>
                <c:pt idx="140">
                  <c:v>666.00311074505737</c:v>
                </c:pt>
                <c:pt idx="141">
                  <c:v>664.67243564222838</c:v>
                </c:pt>
                <c:pt idx="142">
                  <c:v>663.34441923002828</c:v>
                </c:pt>
                <c:pt idx="143">
                  <c:v>662.01905619638944</c:v>
                </c:pt>
                <c:pt idx="144">
                  <c:v>660.69634123985816</c:v>
                </c:pt>
                <c:pt idx="145">
                  <c:v>659.3762690695728</c:v>
                </c:pt>
                <c:pt idx="146">
                  <c:v>658.05883440524281</c:v>
                </c:pt>
                <c:pt idx="147">
                  <c:v>656.74403197712786</c:v>
                </c:pt>
                <c:pt idx="148">
                  <c:v>655.43185652601653</c:v>
                </c:pt>
                <c:pt idx="149">
                  <c:v>654.12230280320523</c:v>
                </c:pt>
                <c:pt idx="150">
                  <c:v>652.8153655704773</c:v>
                </c:pt>
                <c:pt idx="151">
                  <c:v>651.51103960008197</c:v>
                </c:pt>
                <c:pt idx="152">
                  <c:v>650.2093196747137</c:v>
                </c:pt>
                <c:pt idx="153">
                  <c:v>648.9102005874912</c:v>
                </c:pt>
                <c:pt idx="154">
                  <c:v>647.61367714193625</c:v>
                </c:pt>
                <c:pt idx="155">
                  <c:v>646.31974415195327</c:v>
                </c:pt>
                <c:pt idx="156">
                  <c:v>645.02839644180881</c:v>
                </c:pt>
                <c:pt idx="157">
                  <c:v>643.73962884611012</c:v>
                </c:pt>
                <c:pt idx="158">
                  <c:v>642.45343620978497</c:v>
                </c:pt>
                <c:pt idx="159">
                  <c:v>641.16981338806147</c:v>
                </c:pt>
                <c:pt idx="160">
                  <c:v>639.88875524644629</c:v>
                </c:pt>
                <c:pt idx="161">
                  <c:v>638.6102566607052</c:v>
                </c:pt>
                <c:pt idx="162">
                  <c:v>637.33431251684237</c:v>
                </c:pt>
                <c:pt idx="163">
                  <c:v>636.06091771107936</c:v>
                </c:pt>
                <c:pt idx="164">
                  <c:v>634.79006714983529</c:v>
                </c:pt>
                <c:pt idx="165">
                  <c:v>633.52175574970613</c:v>
                </c:pt>
                <c:pt idx="166">
                  <c:v>632.25597843744481</c:v>
                </c:pt>
                <c:pt idx="167">
                  <c:v>630.99273014994014</c:v>
                </c:pt>
                <c:pt idx="168">
                  <c:v>629.73200583419737</c:v>
                </c:pt>
                <c:pt idx="169">
                  <c:v>628.47380044731767</c:v>
                </c:pt>
                <c:pt idx="170">
                  <c:v>627.21810895647764</c:v>
                </c:pt>
                <c:pt idx="171">
                  <c:v>625.96492633890978</c:v>
                </c:pt>
                <c:pt idx="172">
                  <c:v>624.71424758188186</c:v>
                </c:pt>
                <c:pt idx="173">
                  <c:v>623.46606768267725</c:v>
                </c:pt>
                <c:pt idx="174">
                  <c:v>622.22038164857463</c:v>
                </c:pt>
                <c:pt idx="175">
                  <c:v>620.97718449682816</c:v>
                </c:pt>
                <c:pt idx="176">
                  <c:v>619.73647125464777</c:v>
                </c:pt>
                <c:pt idx="177">
                  <c:v>618.49823695917871</c:v>
                </c:pt>
                <c:pt idx="178">
                  <c:v>617.26247665748213</c:v>
                </c:pt>
                <c:pt idx="179">
                  <c:v>616.02918540651513</c:v>
                </c:pt>
                <c:pt idx="180">
                  <c:v>614.79835827311126</c:v>
                </c:pt>
                <c:pt idx="181">
                  <c:v>613.56999033396016</c:v>
                </c:pt>
                <c:pt idx="182">
                  <c:v>612.34407667558844</c:v>
                </c:pt>
                <c:pt idx="183">
                  <c:v>611.12061239434001</c:v>
                </c:pt>
                <c:pt idx="184">
                  <c:v>609.89959259635589</c:v>
                </c:pt>
                <c:pt idx="185">
                  <c:v>608.68101239755526</c:v>
                </c:pt>
                <c:pt idx="186">
                  <c:v>607.46486692361589</c:v>
                </c:pt>
                <c:pt idx="187">
                  <c:v>606.25115130995425</c:v>
                </c:pt>
                <c:pt idx="188">
                  <c:v>605.03986070170595</c:v>
                </c:pt>
                <c:pt idx="189">
                  <c:v>603.83099025370745</c:v>
                </c:pt>
                <c:pt idx="190">
                  <c:v>602.6245351304749</c:v>
                </c:pt>
                <c:pt idx="191">
                  <c:v>601.42049050618641</c:v>
                </c:pt>
                <c:pt idx="192">
                  <c:v>600.21885156466192</c:v>
                </c:pt>
                <c:pt idx="193">
                  <c:v>599.01961349934379</c:v>
                </c:pt>
                <c:pt idx="194">
                  <c:v>597.82277151327855</c:v>
                </c:pt>
                <c:pt idx="195">
                  <c:v>596.6283208190963</c:v>
                </c:pt>
                <c:pt idx="196">
                  <c:v>595.43625663899297</c:v>
                </c:pt>
                <c:pt idx="197">
                  <c:v>594.24657420470999</c:v>
                </c:pt>
                <c:pt idx="198">
                  <c:v>593.05926875751629</c:v>
                </c:pt>
                <c:pt idx="199">
                  <c:v>591.87433554818824</c:v>
                </c:pt>
                <c:pt idx="200">
                  <c:v>590.69176983699163</c:v>
                </c:pt>
                <c:pt idx="201">
                  <c:v>589.51156689366189</c:v>
                </c:pt>
                <c:pt idx="202">
                  <c:v>588.33372199738585</c:v>
                </c:pt>
                <c:pt idx="203">
                  <c:v>587.15823043678211</c:v>
                </c:pt>
                <c:pt idx="204">
                  <c:v>585.9850875098831</c:v>
                </c:pt>
                <c:pt idx="205">
                  <c:v>584.81428852411534</c:v>
                </c:pt>
                <c:pt idx="206">
                  <c:v>583.64582879628153</c:v>
                </c:pt>
                <c:pt idx="207">
                  <c:v>582.47970365254105</c:v>
                </c:pt>
                <c:pt idx="208">
                  <c:v>581.31590842839182</c:v>
                </c:pt>
                <c:pt idx="209">
                  <c:v>580.15443846865139</c:v>
                </c:pt>
                <c:pt idx="210">
                  <c:v>578.99528912743847</c:v>
                </c:pt>
                <c:pt idx="211">
                  <c:v>577.83845576815395</c:v>
                </c:pt>
                <c:pt idx="212">
                  <c:v>576.68393376346296</c:v>
                </c:pt>
                <c:pt idx="213">
                  <c:v>575.53171849527587</c:v>
                </c:pt>
                <c:pt idx="214">
                  <c:v>574.38180535473032</c:v>
                </c:pt>
                <c:pt idx="215">
                  <c:v>573.23418974217191</c:v>
                </c:pt>
                <c:pt idx="216">
                  <c:v>572.08886706713679</c:v>
                </c:pt>
                <c:pt idx="217">
                  <c:v>570.94583274833269</c:v>
                </c:pt>
                <c:pt idx="218">
                  <c:v>569.80508221362095</c:v>
                </c:pt>
                <c:pt idx="219">
                  <c:v>568.66661089999775</c:v>
                </c:pt>
                <c:pt idx="220">
                  <c:v>567.53041425357628</c:v>
                </c:pt>
                <c:pt idx="221">
                  <c:v>566.39648772956866</c:v>
                </c:pt>
                <c:pt idx="222">
                  <c:v>565.26482679226717</c:v>
                </c:pt>
                <c:pt idx="223">
                  <c:v>564.13542691502641</c:v>
                </c:pt>
                <c:pt idx="224">
                  <c:v>563.00828358024569</c:v>
                </c:pt>
                <c:pt idx="225">
                  <c:v>561.88339227934966</c:v>
                </c:pt>
                <c:pt idx="226">
                  <c:v>560.76074851277224</c:v>
                </c:pt>
                <c:pt idx="227">
                  <c:v>559.64034778993641</c:v>
                </c:pt>
                <c:pt idx="228">
                  <c:v>558.52218562923792</c:v>
                </c:pt>
                <c:pt idx="229">
                  <c:v>557.40625755802671</c:v>
                </c:pt>
                <c:pt idx="230">
                  <c:v>556.29255911258883</c:v>
                </c:pt>
                <c:pt idx="231">
                  <c:v>555.18108583812921</c:v>
                </c:pt>
                <c:pt idx="232">
                  <c:v>554.07183328875317</c:v>
                </c:pt>
                <c:pt idx="233">
                  <c:v>552.96479702744898</c:v>
                </c:pt>
                <c:pt idx="234">
                  <c:v>551.85997262607032</c:v>
                </c:pt>
                <c:pt idx="235">
                  <c:v>550.75735566531785</c:v>
                </c:pt>
                <c:pt idx="236">
                  <c:v>549.65694173472252</c:v>
                </c:pt>
                <c:pt idx="237">
                  <c:v>548.55872643262694</c:v>
                </c:pt>
                <c:pt idx="238">
                  <c:v>547.46270536616839</c:v>
                </c:pt>
                <c:pt idx="239">
                  <c:v>546.36887415126125</c:v>
                </c:pt>
                <c:pt idx="240">
                  <c:v>545.27722841257935</c:v>
                </c:pt>
                <c:pt idx="241">
                  <c:v>544.18776378353812</c:v>
                </c:pt>
                <c:pt idx="242">
                  <c:v>543.10047590627755</c:v>
                </c:pt>
                <c:pt idx="243">
                  <c:v>542.01536043164481</c:v>
                </c:pt>
                <c:pt idx="244">
                  <c:v>540.93241301917635</c:v>
                </c:pt>
                <c:pt idx="245">
                  <c:v>539.85162933708136</c:v>
                </c:pt>
                <c:pt idx="246">
                  <c:v>538.77300506222343</c:v>
                </c:pt>
                <c:pt idx="247">
                  <c:v>537.69653588010408</c:v>
                </c:pt>
                <c:pt idx="248">
                  <c:v>536.62221748484524</c:v>
                </c:pt>
                <c:pt idx="249">
                  <c:v>535.55004557917187</c:v>
                </c:pt>
                <c:pt idx="250">
                  <c:v>534.48001587439478</c:v>
                </c:pt>
                <c:pt idx="251">
                  <c:v>533.41212409039395</c:v>
                </c:pt>
                <c:pt idx="252">
                  <c:v>532.34636595560073</c:v>
                </c:pt>
                <c:pt idx="253">
                  <c:v>531.28273720698098</c:v>
                </c:pt>
                <c:pt idx="254">
                  <c:v>530.22123359001853</c:v>
                </c:pt>
                <c:pt idx="255">
                  <c:v>529.16185085869733</c:v>
                </c:pt>
                <c:pt idx="256">
                  <c:v>528.10458477548514</c:v>
                </c:pt>
                <c:pt idx="257">
                  <c:v>527.04943111131627</c:v>
                </c:pt>
                <c:pt idx="258">
                  <c:v>525.99638564557449</c:v>
                </c:pt>
                <c:pt idx="259">
                  <c:v>524.94544416607664</c:v>
                </c:pt>
                <c:pt idx="260">
                  <c:v>523.89660246905544</c:v>
                </c:pt>
                <c:pt idx="261">
                  <c:v>522.84985635914256</c:v>
                </c:pt>
                <c:pt idx="262">
                  <c:v>521.80520164935217</c:v>
                </c:pt>
                <c:pt idx="263">
                  <c:v>520.76263416106428</c:v>
                </c:pt>
                <c:pt idx="264">
                  <c:v>519.72214972400741</c:v>
                </c:pt>
                <c:pt idx="265">
                  <c:v>518.68374417624227</c:v>
                </c:pt>
                <c:pt idx="266">
                  <c:v>517.64741336414545</c:v>
                </c:pt>
                <c:pt idx="267">
                  <c:v>516.61315314239221</c:v>
                </c:pt>
                <c:pt idx="268">
                  <c:v>515.58095937394057</c:v>
                </c:pt>
                <c:pt idx="269">
                  <c:v>514.55082793001361</c:v>
                </c:pt>
                <c:pt idx="270">
                  <c:v>513.52275469008464</c:v>
                </c:pt>
                <c:pt idx="271">
                  <c:v>512.49673554185904</c:v>
                </c:pt>
                <c:pt idx="272">
                  <c:v>511.47276638125896</c:v>
                </c:pt>
                <c:pt idx="273">
                  <c:v>510.45084311240635</c:v>
                </c:pt>
                <c:pt idx="274">
                  <c:v>509.43096164760681</c:v>
                </c:pt>
                <c:pt idx="275">
                  <c:v>508.41311790733312</c:v>
                </c:pt>
                <c:pt idx="276">
                  <c:v>507.39730782020894</c:v>
                </c:pt>
                <c:pt idx="277">
                  <c:v>506.38352732299251</c:v>
                </c:pt>
                <c:pt idx="278">
                  <c:v>505.37177236056061</c:v>
                </c:pt>
                <c:pt idx="279">
                  <c:v>504.36203888589199</c:v>
                </c:pt>
                <c:pt idx="280">
                  <c:v>503.35432286005135</c:v>
                </c:pt>
                <c:pt idx="281">
                  <c:v>502.34862025217325</c:v>
                </c:pt>
                <c:pt idx="282">
                  <c:v>501.34492703944608</c:v>
                </c:pt>
                <c:pt idx="283">
                  <c:v>500.34323920709539</c:v>
                </c:pt>
                <c:pt idx="284">
                  <c:v>499.34355274836872</c:v>
                </c:pt>
                <c:pt idx="285">
                  <c:v>498.34586366451884</c:v>
                </c:pt>
                <c:pt idx="286">
                  <c:v>497.35016796478806</c:v>
                </c:pt>
                <c:pt idx="287">
                  <c:v>496.35646166639231</c:v>
                </c:pt>
                <c:pt idx="288">
                  <c:v>495.36474079450505</c:v>
                </c:pt>
                <c:pt idx="289">
                  <c:v>494.37500138224141</c:v>
                </c:pt>
                <c:pt idx="290">
                  <c:v>493.38723947064244</c:v>
                </c:pt>
                <c:pt idx="291">
                  <c:v>492.40145110865927</c:v>
                </c:pt>
                <c:pt idx="292">
                  <c:v>491.41763235313704</c:v>
                </c:pt>
                <c:pt idx="293">
                  <c:v>490.43577926879942</c:v>
                </c:pt>
                <c:pt idx="294">
                  <c:v>489.45588792823287</c:v>
                </c:pt>
                <c:pt idx="295">
                  <c:v>488.47795441187054</c:v>
                </c:pt>
                <c:pt idx="296">
                  <c:v>487.50197480797715</c:v>
                </c:pt>
                <c:pt idx="297">
                  <c:v>486.52794521263309</c:v>
                </c:pt>
                <c:pt idx="298">
                  <c:v>485.55586172971857</c:v>
                </c:pt>
                <c:pt idx="299">
                  <c:v>484.58572047089831</c:v>
                </c:pt>
                <c:pt idx="300">
                  <c:v>483.61751755560613</c:v>
                </c:pt>
                <c:pt idx="301">
                  <c:v>482.6512491110289</c:v>
                </c:pt>
                <c:pt idx="302">
                  <c:v>481.68691127209178</c:v>
                </c:pt>
                <c:pt idx="303">
                  <c:v>480.7245001814419</c:v>
                </c:pt>
                <c:pt idx="304">
                  <c:v>479.7640119894337</c:v>
                </c:pt>
                <c:pt idx="305">
                  <c:v>478.80544285411321</c:v>
                </c:pt>
                <c:pt idx="306">
                  <c:v>477.84878894120249</c:v>
                </c:pt>
                <c:pt idx="307">
                  <c:v>476.89404642408471</c:v>
                </c:pt>
                <c:pt idx="308">
                  <c:v>475.94121148378844</c:v>
                </c:pt>
                <c:pt idx="309">
                  <c:v>474.99028030897267</c:v>
                </c:pt>
                <c:pt idx="310">
                  <c:v>474.04124909591155</c:v>
                </c:pt>
                <c:pt idx="311">
                  <c:v>473.09411404847879</c:v>
                </c:pt>
                <c:pt idx="312">
                  <c:v>472.14887137813304</c:v>
                </c:pt>
                <c:pt idx="313">
                  <c:v>471.20551730390241</c:v>
                </c:pt>
                <c:pt idx="314">
                  <c:v>470.26404805236916</c:v>
                </c:pt>
                <c:pt idx="315">
                  <c:v>469.32445985765514</c:v>
                </c:pt>
                <c:pt idx="316">
                  <c:v>468.3867489614064</c:v>
                </c:pt>
                <c:pt idx="317">
                  <c:v>467.45091161277799</c:v>
                </c:pt>
                <c:pt idx="318">
                  <c:v>466.51694406841926</c:v>
                </c:pt>
                <c:pt idx="319">
                  <c:v>465.58484259245893</c:v>
                </c:pt>
                <c:pt idx="320">
                  <c:v>464.65460345648961</c:v>
                </c:pt>
                <c:pt idx="321">
                  <c:v>463.72622293955368</c:v>
                </c:pt>
                <c:pt idx="322">
                  <c:v>462.79969732812782</c:v>
                </c:pt>
                <c:pt idx="323">
                  <c:v>461.87502291610843</c:v>
                </c:pt>
                <c:pt idx="324">
                  <c:v>460.95219600479646</c:v>
                </c:pt>
                <c:pt idx="325">
                  <c:v>460.03121290288311</c:v>
                </c:pt>
                <c:pt idx="326">
                  <c:v>459.11206992643474</c:v>
                </c:pt>
                <c:pt idx="327">
                  <c:v>458.19476339887831</c:v>
                </c:pt>
                <c:pt idx="328">
                  <c:v>457.27928965098636</c:v>
                </c:pt>
                <c:pt idx="329">
                  <c:v>456.36564502086264</c:v>
                </c:pt>
                <c:pt idx="330">
                  <c:v>455.45382585392753</c:v>
                </c:pt>
                <c:pt idx="331">
                  <c:v>454.54382850290318</c:v>
                </c:pt>
                <c:pt idx="332">
                  <c:v>453.63564932779877</c:v>
                </c:pt>
                <c:pt idx="333">
                  <c:v>452.72928469589669</c:v>
                </c:pt>
                <c:pt idx="334">
                  <c:v>451.82473098173688</c:v>
                </c:pt>
                <c:pt idx="335">
                  <c:v>450.92198456710355</c:v>
                </c:pt>
                <c:pt idx="336">
                  <c:v>450.02104184100961</c:v>
                </c:pt>
                <c:pt idx="337">
                  <c:v>449.12189919968313</c:v>
                </c:pt>
                <c:pt idx="338">
                  <c:v>448.22455304655227</c:v>
                </c:pt>
                <c:pt idx="339">
                  <c:v>447.32899979223123</c:v>
                </c:pt>
                <c:pt idx="340">
                  <c:v>446.43523585450572</c:v>
                </c:pt>
                <c:pt idx="341">
                  <c:v>445.54325765831896</c:v>
                </c:pt>
                <c:pt idx="342">
                  <c:v>444.6530616357569</c:v>
                </c:pt>
                <c:pt idx="343">
                  <c:v>443.76464422603425</c:v>
                </c:pt>
                <c:pt idx="344">
                  <c:v>442.87800187548015</c:v>
                </c:pt>
                <c:pt idx="345">
                  <c:v>441.99313103752405</c:v>
                </c:pt>
                <c:pt idx="346">
                  <c:v>441.1100281726815</c:v>
                </c:pt>
                <c:pt idx="347">
                  <c:v>440.22868974853969</c:v>
                </c:pt>
                <c:pt idx="348">
                  <c:v>439.34911223974387</c:v>
                </c:pt>
                <c:pt idx="349">
                  <c:v>438.47129212798291</c:v>
                </c:pt>
                <c:pt idx="350">
                  <c:v>437.59522590197497</c:v>
                </c:pt>
                <c:pt idx="351">
                  <c:v>436.72091005745415</c:v>
                </c:pt>
                <c:pt idx="352">
                  <c:v>435.84834109715581</c:v>
                </c:pt>
                <c:pt idx="353">
                  <c:v>434.97751553080303</c:v>
                </c:pt>
                <c:pt idx="354">
                  <c:v>434.10842987509227</c:v>
                </c:pt>
                <c:pt idx="355">
                  <c:v>433.24108065367989</c:v>
                </c:pt>
                <c:pt idx="356">
                  <c:v>432.37546439716778</c:v>
                </c:pt>
                <c:pt idx="357">
                  <c:v>431.51157764308977</c:v>
                </c:pt>
                <c:pt idx="358">
                  <c:v>430.6494169358977</c:v>
                </c:pt>
                <c:pt idx="359">
                  <c:v>429.78897882694753</c:v>
                </c:pt>
                <c:pt idx="360">
                  <c:v>428.93025987448584</c:v>
                </c:pt>
                <c:pt idx="361">
                  <c:v>428.07325664363543</c:v>
                </c:pt>
                <c:pt idx="362">
                  <c:v>427.2179657063823</c:v>
                </c:pt>
                <c:pt idx="363">
                  <c:v>426.36438364156174</c:v>
                </c:pt>
                <c:pt idx="364">
                  <c:v>425.51250703484419</c:v>
                </c:pt>
                <c:pt idx="365">
                  <c:v>424.66233247872213</c:v>
                </c:pt>
                <c:pt idx="366">
                  <c:v>423.81385657249621</c:v>
                </c:pt>
                <c:pt idx="367">
                  <c:v>422.96707592226164</c:v>
                </c:pt>
                <c:pt idx="368">
                  <c:v>422.1219871408947</c:v>
                </c:pt>
                <c:pt idx="369">
                  <c:v>421.2785868480392</c:v>
                </c:pt>
                <c:pt idx="370">
                  <c:v>420.43687167009278</c:v>
                </c:pt>
                <c:pt idx="371">
                  <c:v>419.59683824019362</c:v>
                </c:pt>
                <c:pt idx="372">
                  <c:v>418.75848319820687</c:v>
                </c:pt>
                <c:pt idx="373">
                  <c:v>417.92180319071127</c:v>
                </c:pt>
                <c:pt idx="374">
                  <c:v>417.08679487098561</c:v>
                </c:pt>
                <c:pt idx="375">
                  <c:v>416.25345489899564</c:v>
                </c:pt>
                <c:pt idx="376">
                  <c:v>415.42177994138024</c:v>
                </c:pt>
                <c:pt idx="377">
                  <c:v>414.59176667143845</c:v>
                </c:pt>
                <c:pt idx="378">
                  <c:v>413.7634117691162</c:v>
                </c:pt>
                <c:pt idx="379">
                  <c:v>412.93671192099271</c:v>
                </c:pt>
                <c:pt idx="380">
                  <c:v>412.11166382026744</c:v>
                </c:pt>
                <c:pt idx="381">
                  <c:v>411.28826416674701</c:v>
                </c:pt>
                <c:pt idx="382">
                  <c:v>410.46650966683154</c:v>
                </c:pt>
                <c:pt idx="383">
                  <c:v>409.64639703350207</c:v>
                </c:pt>
                <c:pt idx="384">
                  <c:v>408.82792298630687</c:v>
                </c:pt>
                <c:pt idx="385">
                  <c:v>408.01108425134885</c:v>
                </c:pt>
                <c:pt idx="386">
                  <c:v>407.19587756127174</c:v>
                </c:pt>
                <c:pt idx="387">
                  <c:v>406.38229965524783</c:v>
                </c:pt>
                <c:pt idx="388">
                  <c:v>405.57034727896439</c:v>
                </c:pt>
                <c:pt idx="389">
                  <c:v>404.76001718461083</c:v>
                </c:pt>
                <c:pt idx="390">
                  <c:v>403.9513061308657</c:v>
                </c:pt>
                <c:pt idx="391">
                  <c:v>403.14421088288367</c:v>
                </c:pt>
                <c:pt idx="392">
                  <c:v>402.33872821228272</c:v>
                </c:pt>
                <c:pt idx="393">
                  <c:v>401.53485489713103</c:v>
                </c:pt>
                <c:pt idx="394">
                  <c:v>400.73258772193435</c:v>
                </c:pt>
                <c:pt idx="395">
                  <c:v>399.93192347762289</c:v>
                </c:pt>
                <c:pt idx="396">
                  <c:v>399.13285896153855</c:v>
                </c:pt>
                <c:pt idx="397">
                  <c:v>398.33539097742221</c:v>
                </c:pt>
                <c:pt idx="398">
                  <c:v>397.53951633540089</c:v>
                </c:pt>
                <c:pt idx="399">
                  <c:v>396.74523185197506</c:v>
                </c:pt>
                <c:pt idx="400">
                  <c:v>395.95253435000552</c:v>
                </c:pt>
                <c:pt idx="401">
                  <c:v>395.16142065870133</c:v>
                </c:pt>
                <c:pt idx="402">
                  <c:v>394.3718876136067</c:v>
                </c:pt>
                <c:pt idx="403">
                  <c:v>393.58393205658837</c:v>
                </c:pt>
                <c:pt idx="404">
                  <c:v>392.79755083582302</c:v>
                </c:pt>
                <c:pt idx="405">
                  <c:v>392.01274080578474</c:v>
                </c:pt>
                <c:pt idx="406">
                  <c:v>391.22949882723236</c:v>
                </c:pt>
                <c:pt idx="407">
                  <c:v>390.4478217671969</c:v>
                </c:pt>
                <c:pt idx="408">
                  <c:v>389.66770649896915</c:v>
                </c:pt>
                <c:pt idx="409">
                  <c:v>388.88914990208696</c:v>
                </c:pt>
                <c:pt idx="410">
                  <c:v>388.11214886232284</c:v>
                </c:pt>
                <c:pt idx="411">
                  <c:v>387.3367002716717</c:v>
                </c:pt>
                <c:pt idx="412">
                  <c:v>386.56280102833807</c:v>
                </c:pt>
                <c:pt idx="413">
                  <c:v>385.79044803672406</c:v>
                </c:pt>
                <c:pt idx="414">
                  <c:v>385.01963820741651</c:v>
                </c:pt>
                <c:pt idx="415">
                  <c:v>384.25036845717511</c:v>
                </c:pt>
                <c:pt idx="416">
                  <c:v>383.48263570891987</c:v>
                </c:pt>
                <c:pt idx="417">
                  <c:v>382.71643689171884</c:v>
                </c:pt>
                <c:pt idx="418">
                  <c:v>381.95176894077565</c:v>
                </c:pt>
                <c:pt idx="419">
                  <c:v>381.18862879741749</c:v>
                </c:pt>
                <c:pt idx="420">
                  <c:v>380.4270134090828</c:v>
                </c:pt>
                <c:pt idx="421">
                  <c:v>379.66691972930892</c:v>
                </c:pt>
                <c:pt idx="422">
                  <c:v>378.90834471772024</c:v>
                </c:pt>
                <c:pt idx="423">
                  <c:v>378.15128534001559</c:v>
                </c:pt>
                <c:pt idx="424">
                  <c:v>377.39573856795653</c:v>
                </c:pt>
                <c:pt idx="425">
                  <c:v>376.64170137935491</c:v>
                </c:pt>
                <c:pt idx="426">
                  <c:v>375.88917075806103</c:v>
                </c:pt>
                <c:pt idx="427">
                  <c:v>375.13814369395135</c:v>
                </c:pt>
                <c:pt idx="428">
                  <c:v>374.38861718291668</c:v>
                </c:pt>
                <c:pt idx="429">
                  <c:v>373.64058822684984</c:v>
                </c:pt>
                <c:pt idx="430">
                  <c:v>372.89405383363413</c:v>
                </c:pt>
                <c:pt idx="431">
                  <c:v>372.14901101713093</c:v>
                </c:pt>
                <c:pt idx="432">
                  <c:v>371.40545679716803</c:v>
                </c:pt>
                <c:pt idx="433">
                  <c:v>370.66338819952756</c:v>
                </c:pt>
                <c:pt idx="434">
                  <c:v>369.92280225593407</c:v>
                </c:pt>
                <c:pt idx="435">
                  <c:v>369.18369600404282</c:v>
                </c:pt>
                <c:pt idx="436">
                  <c:v>368.44606648742786</c:v>
                </c:pt>
                <c:pt idx="437">
                  <c:v>367.70991075557004</c:v>
                </c:pt>
                <c:pt idx="438">
                  <c:v>366.97522586384559</c:v>
                </c:pt>
                <c:pt idx="439">
                  <c:v>366.24200887351384</c:v>
                </c:pt>
                <c:pt idx="440">
                  <c:v>365.51025685170595</c:v>
                </c:pt>
                <c:pt idx="441">
                  <c:v>364.7799668714128</c:v>
                </c:pt>
                <c:pt idx="442">
                  <c:v>364.05113601147355</c:v>
                </c:pt>
                <c:pt idx="443">
                  <c:v>363.32376135656369</c:v>
                </c:pt>
                <c:pt idx="444">
                  <c:v>362.59783999718371</c:v>
                </c:pt>
                <c:pt idx="445">
                  <c:v>361.87336902964722</c:v>
                </c:pt>
                <c:pt idx="446">
                  <c:v>361.15034555606934</c:v>
                </c:pt>
                <c:pt idx="447">
                  <c:v>360.42876668435514</c:v>
                </c:pt>
                <c:pt idx="448">
                  <c:v>359.70862952818828</c:v>
                </c:pt>
                <c:pt idx="449">
                  <c:v>358.9899312070192</c:v>
                </c:pt>
                <c:pt idx="450">
                  <c:v>358.27266884605353</c:v>
                </c:pt>
                <c:pt idx="451">
                  <c:v>357.55683957624098</c:v>
                </c:pt>
                <c:pt idx="452">
                  <c:v>356.84244053426352</c:v>
                </c:pt>
                <c:pt idx="453">
                  <c:v>356.12946886252388</c:v>
                </c:pt>
                <c:pt idx="454">
                  <c:v>355.41792170913459</c:v>
                </c:pt>
                <c:pt idx="455">
                  <c:v>354.70779622790604</c:v>
                </c:pt>
                <c:pt idx="456">
                  <c:v>353.99908957833537</c:v>
                </c:pt>
                <c:pt idx="457">
                  <c:v>353.29179892559495</c:v>
                </c:pt>
                <c:pt idx="458">
                  <c:v>352.5859214405213</c:v>
                </c:pt>
                <c:pt idx="459">
                  <c:v>351.88145429960355</c:v>
                </c:pt>
                <c:pt idx="460">
                  <c:v>351.1783946849722</c:v>
                </c:pt>
                <c:pt idx="461">
                  <c:v>350.47673978438775</c:v>
                </c:pt>
                <c:pt idx="462">
                  <c:v>349.77648679122979</c:v>
                </c:pt>
                <c:pt idx="463">
                  <c:v>349.07763290448537</c:v>
                </c:pt>
                <c:pt idx="464">
                  <c:v>348.38017532873801</c:v>
                </c:pt>
                <c:pt idx="465">
                  <c:v>347.68411127415641</c:v>
                </c:pt>
                <c:pt idx="466">
                  <c:v>346.98943795648353</c:v>
                </c:pt>
                <c:pt idx="467">
                  <c:v>346.29615259702513</c:v>
                </c:pt>
                <c:pt idx="468">
                  <c:v>345.60425242263881</c:v>
                </c:pt>
                <c:pt idx="469">
                  <c:v>344.91373466572304</c:v>
                </c:pt>
                <c:pt idx="470">
                  <c:v>344.2245965642058</c:v>
                </c:pt>
                <c:pt idx="471">
                  <c:v>343.53683536153375</c:v>
                </c:pt>
                <c:pt idx="472">
                  <c:v>342.85044830666124</c:v>
                </c:pt>
                <c:pt idx="473">
                  <c:v>342.16543265403908</c:v>
                </c:pt>
                <c:pt idx="474">
                  <c:v>341.48178566360377</c:v>
                </c:pt>
                <c:pt idx="475">
                  <c:v>340.7995046007664</c:v>
                </c:pt>
                <c:pt idx="476">
                  <c:v>340.11858673640182</c:v>
                </c:pt>
                <c:pt idx="477">
                  <c:v>339.43902934683769</c:v>
                </c:pt>
                <c:pt idx="478">
                  <c:v>338.76082971384358</c:v>
                </c:pt>
                <c:pt idx="479">
                  <c:v>338.08398512461997</c:v>
                </c:pt>
                <c:pt idx="480">
                  <c:v>337.40849287178759</c:v>
                </c:pt>
                <c:pt idx="481">
                  <c:v>336.73435025337665</c:v>
                </c:pt>
                <c:pt idx="482">
                  <c:v>336.06155457281562</c:v>
                </c:pt>
                <c:pt idx="483">
                  <c:v>335.39010313892106</c:v>
                </c:pt>
                <c:pt idx="484">
                  <c:v>334.71999326588616</c:v>
                </c:pt>
                <c:pt idx="485">
                  <c:v>334.0512222732707</c:v>
                </c:pt>
                <c:pt idx="486">
                  <c:v>333.38378748598967</c:v>
                </c:pt>
                <c:pt idx="487">
                  <c:v>332.71768623430307</c:v>
                </c:pt>
                <c:pt idx="488">
                  <c:v>332.05291585380513</c:v>
                </c:pt>
                <c:pt idx="489">
                  <c:v>331.38947368541329</c:v>
                </c:pt>
                <c:pt idx="490">
                  <c:v>330.72735707535799</c:v>
                </c:pt>
                <c:pt idx="491">
                  <c:v>330.066563375172</c:v>
                </c:pt>
                <c:pt idx="492">
                  <c:v>329.40708994167971</c:v>
                </c:pt>
                <c:pt idx="493">
                  <c:v>328.74893413698629</c:v>
                </c:pt>
                <c:pt idx="494">
                  <c:v>328.09209332846774</c:v>
                </c:pt>
                <c:pt idx="495">
                  <c:v>327.43656488876002</c:v>
                </c:pt>
                <c:pt idx="496">
                  <c:v>326.78234619574835</c:v>
                </c:pt>
                <c:pt idx="497">
                  <c:v>326.12943463255726</c:v>
                </c:pt>
                <c:pt idx="498">
                  <c:v>325.47782758753948</c:v>
                </c:pt>
                <c:pt idx="499">
                  <c:v>324.82752245426605</c:v>
                </c:pt>
                <c:pt idx="500">
                  <c:v>324.17851663151549</c:v>
                </c:pt>
                <c:pt idx="501">
                  <c:v>323.53080752326377</c:v>
                </c:pt>
                <c:pt idx="502">
                  <c:v>322.88439253867347</c:v>
                </c:pt>
                <c:pt idx="503">
                  <c:v>322.23926909208387</c:v>
                </c:pt>
                <c:pt idx="504">
                  <c:v>321.59543460300023</c:v>
                </c:pt>
                <c:pt idx="505">
                  <c:v>320.95288649608381</c:v>
                </c:pt>
                <c:pt idx="506">
                  <c:v>320.31162220114135</c:v>
                </c:pt>
                <c:pt idx="507">
                  <c:v>319.67163915311477</c:v>
                </c:pt>
                <c:pt idx="508">
                  <c:v>319.03293479207099</c:v>
                </c:pt>
                <c:pt idx="509">
                  <c:v>318.39550656319182</c:v>
                </c:pt>
                <c:pt idx="510">
                  <c:v>317.75935191676336</c:v>
                </c:pt>
                <c:pt idx="511">
                  <c:v>317.12446830816629</c:v>
                </c:pt>
                <c:pt idx="512">
                  <c:v>316.49085319786531</c:v>
                </c:pt>
                <c:pt idx="513">
                  <c:v>315.85850405139911</c:v>
                </c:pt>
                <c:pt idx="514">
                  <c:v>315.22741833937022</c:v>
                </c:pt>
                <c:pt idx="515">
                  <c:v>314.59759353743499</c:v>
                </c:pt>
                <c:pt idx="516">
                  <c:v>313.96902712629338</c:v>
                </c:pt>
                <c:pt idx="517">
                  <c:v>313.3417165916789</c:v>
                </c:pt>
                <c:pt idx="518">
                  <c:v>312.71565942434859</c:v>
                </c:pt>
                <c:pt idx="519">
                  <c:v>312.09085312007289</c:v>
                </c:pt>
                <c:pt idx="520">
                  <c:v>311.46729517962586</c:v>
                </c:pt>
                <c:pt idx="521">
                  <c:v>310.84498310877478</c:v>
                </c:pt>
                <c:pt idx="522">
                  <c:v>310.22391441827062</c:v>
                </c:pt>
                <c:pt idx="523">
                  <c:v>309.60408662383776</c:v>
                </c:pt>
                <c:pt idx="524">
                  <c:v>308.98549724616424</c:v>
                </c:pt>
                <c:pt idx="525">
                  <c:v>308.36814381089164</c:v>
                </c:pt>
                <c:pt idx="526">
                  <c:v>307.75202384860546</c:v>
                </c:pt>
                <c:pt idx="527">
                  <c:v>307.13713489482495</c:v>
                </c:pt>
                <c:pt idx="528">
                  <c:v>306.52347448999365</c:v>
                </c:pt>
                <c:pt idx="529">
                  <c:v>305.9110401794689</c:v>
                </c:pt>
                <c:pt idx="530">
                  <c:v>305.2998295135128</c:v>
                </c:pt>
                <c:pt idx="531">
                  <c:v>304.68984004728185</c:v>
                </c:pt>
                <c:pt idx="532">
                  <c:v>304.08106934081729</c:v>
                </c:pt>
                <c:pt idx="533">
                  <c:v>303.47351495903553</c:v>
                </c:pt>
                <c:pt idx="534">
                  <c:v>302.86717447171827</c:v>
                </c:pt>
                <c:pt idx="535">
                  <c:v>302.26204545350271</c:v>
                </c:pt>
                <c:pt idx="536">
                  <c:v>301.65812548387197</c:v>
                </c:pt>
                <c:pt idx="537">
                  <c:v>301.05541214714538</c:v>
                </c:pt>
                <c:pt idx="538">
                  <c:v>300.45390303246876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2A1-485D-BB45-8F173E389C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008415"/>
        <c:axId val="74992095"/>
      </c:scatterChart>
      <c:valAx>
        <c:axId val="75008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TIME(DAYS)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992095"/>
        <c:crosses val="autoZero"/>
        <c:crossBetween val="midCat"/>
      </c:valAx>
      <c:valAx>
        <c:axId val="74992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FLOW</a:t>
                </a:r>
                <a:r>
                  <a:rPr lang="en-IN" baseline="0"/>
                  <a:t> RATE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084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0049660042505257"/>
          <c:y val="0.32344333922475166"/>
          <c:w val="0.11581970624685405"/>
          <c:h val="0.121682722948583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PRESSURE</a:t>
            </a:r>
            <a:r>
              <a:rPr lang="en-US" baseline="0"/>
              <a:t> V/S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'Structure-B'!$BU$48</c:f>
              <c:strCache>
                <c:ptCount val="1"/>
                <c:pt idx="0">
                  <c:v>PRESSURE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4964223136519086"/>
                  <c:y val="4.7530152502870647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="1" baseline="0"/>
                      <a:t>y = -0.1692x + 2236.2</a:t>
                    </a:r>
                    <a:br>
                      <a:rPr lang="en-US" baseline="0"/>
                    </a:br>
                    <a:r>
                      <a:rPr lang="en-US" baseline="0"/>
                      <a:t>R² = 1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'Structure-B'!$BT$49:$BT$59</c:f>
              <c:numCache>
                <c:formatCode>General</c:formatCode>
                <c:ptCount val="11"/>
                <c:pt idx="0">
                  <c:v>1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1033</c:v>
                </c:pt>
                <c:pt idx="6">
                  <c:v>1100</c:v>
                </c:pt>
                <c:pt idx="7">
                  <c:v>1185</c:v>
                </c:pt>
                <c:pt idx="8">
                  <c:v>1250</c:v>
                </c:pt>
                <c:pt idx="9">
                  <c:v>1350</c:v>
                </c:pt>
                <c:pt idx="10">
                  <c:v>1520</c:v>
                </c:pt>
              </c:numCache>
            </c:numRef>
          </c:xVal>
          <c:yVal>
            <c:numRef>
              <c:f>'Structure-B'!$BU$49:$BU$59</c:f>
              <c:numCache>
                <c:formatCode>General</c:formatCode>
                <c:ptCount val="11"/>
                <c:pt idx="0">
                  <c:v>2236</c:v>
                </c:pt>
                <c:pt idx="10">
                  <c:v>1979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FD-4AEB-8599-1F2D7B4DCAD4}"/>
            </c:ext>
          </c:extLst>
        </c:ser>
        <c:ser>
          <c:idx val="1"/>
          <c:order val="1"/>
          <c:tx>
            <c:v>POINTS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('Structure-B'!$BT$54,'Structure-B'!$BT$56)</c:f>
              <c:numCache>
                <c:formatCode>General</c:formatCode>
                <c:ptCount val="2"/>
                <c:pt idx="0">
                  <c:v>1033</c:v>
                </c:pt>
                <c:pt idx="1">
                  <c:v>1185</c:v>
                </c:pt>
              </c:numCache>
            </c:numRef>
          </c:xVal>
          <c:yVal>
            <c:numRef>
              <c:f>('Structure-B'!$BV$54,'Structure-B'!$BV$56)</c:f>
              <c:numCache>
                <c:formatCode>General</c:formatCode>
                <c:ptCount val="2"/>
                <c:pt idx="0">
                  <c:v>2001</c:v>
                </c:pt>
                <c:pt idx="1">
                  <c:v>1824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1FD-4AEB-8599-1F2D7B4DCA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9608847"/>
        <c:axId val="529609327"/>
      </c:scatterChart>
      <c:valAx>
        <c:axId val="529608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9609327"/>
        <c:crosses val="autoZero"/>
        <c:crossBetween val="midCat"/>
      </c:valAx>
      <c:valAx>
        <c:axId val="529609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PRESSURE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96088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'Structure-B'!$AM$3:$AM$53</c:f>
              <c:numCache>
                <c:formatCode>General</c:formatCode>
                <c:ptCount val="51"/>
                <c:pt idx="0">
                  <c:v>0</c:v>
                </c:pt>
                <c:pt idx="1">
                  <c:v>28</c:v>
                </c:pt>
                <c:pt idx="2">
                  <c:v>59</c:v>
                </c:pt>
                <c:pt idx="3">
                  <c:v>89</c:v>
                </c:pt>
                <c:pt idx="4">
                  <c:v>120</c:v>
                </c:pt>
                <c:pt idx="5">
                  <c:v>150</c:v>
                </c:pt>
                <c:pt idx="6">
                  <c:v>181</c:v>
                </c:pt>
                <c:pt idx="7">
                  <c:v>212</c:v>
                </c:pt>
                <c:pt idx="8">
                  <c:v>242</c:v>
                </c:pt>
                <c:pt idx="9">
                  <c:v>273</c:v>
                </c:pt>
                <c:pt idx="10">
                  <c:v>303</c:v>
                </c:pt>
                <c:pt idx="11">
                  <c:v>334</c:v>
                </c:pt>
                <c:pt idx="12">
                  <c:v>365</c:v>
                </c:pt>
                <c:pt idx="13">
                  <c:v>393</c:v>
                </c:pt>
                <c:pt idx="14">
                  <c:v>424</c:v>
                </c:pt>
                <c:pt idx="15">
                  <c:v>454</c:v>
                </c:pt>
                <c:pt idx="16">
                  <c:v>485</c:v>
                </c:pt>
                <c:pt idx="17">
                  <c:v>515</c:v>
                </c:pt>
                <c:pt idx="18">
                  <c:v>546</c:v>
                </c:pt>
                <c:pt idx="19">
                  <c:v>577</c:v>
                </c:pt>
                <c:pt idx="20">
                  <c:v>607</c:v>
                </c:pt>
                <c:pt idx="21">
                  <c:v>638</c:v>
                </c:pt>
                <c:pt idx="22">
                  <c:v>668</c:v>
                </c:pt>
                <c:pt idx="23">
                  <c:v>699</c:v>
                </c:pt>
                <c:pt idx="24">
                  <c:v>730</c:v>
                </c:pt>
                <c:pt idx="25">
                  <c:v>758</c:v>
                </c:pt>
                <c:pt idx="26">
                  <c:v>789</c:v>
                </c:pt>
                <c:pt idx="27">
                  <c:v>819</c:v>
                </c:pt>
                <c:pt idx="28">
                  <c:v>850</c:v>
                </c:pt>
                <c:pt idx="29">
                  <c:v>880</c:v>
                </c:pt>
                <c:pt idx="30">
                  <c:v>911</c:v>
                </c:pt>
                <c:pt idx="31">
                  <c:v>942</c:v>
                </c:pt>
                <c:pt idx="32">
                  <c:v>972</c:v>
                </c:pt>
                <c:pt idx="33">
                  <c:v>1003</c:v>
                </c:pt>
                <c:pt idx="34">
                  <c:v>1033</c:v>
                </c:pt>
                <c:pt idx="35">
                  <c:v>1064</c:v>
                </c:pt>
                <c:pt idx="36">
                  <c:v>1095</c:v>
                </c:pt>
                <c:pt idx="37">
                  <c:v>1124</c:v>
                </c:pt>
                <c:pt idx="38">
                  <c:v>1155</c:v>
                </c:pt>
                <c:pt idx="39">
                  <c:v>1185</c:v>
                </c:pt>
                <c:pt idx="40">
                  <c:v>1216</c:v>
                </c:pt>
                <c:pt idx="41">
                  <c:v>1246</c:v>
                </c:pt>
                <c:pt idx="42">
                  <c:v>1277</c:v>
                </c:pt>
                <c:pt idx="43">
                  <c:v>1308</c:v>
                </c:pt>
                <c:pt idx="44">
                  <c:v>1338</c:v>
                </c:pt>
                <c:pt idx="45">
                  <c:v>1369</c:v>
                </c:pt>
                <c:pt idx="46">
                  <c:v>1399</c:v>
                </c:pt>
                <c:pt idx="47">
                  <c:v>1430</c:v>
                </c:pt>
                <c:pt idx="48">
                  <c:v>1461</c:v>
                </c:pt>
                <c:pt idx="49">
                  <c:v>1489</c:v>
                </c:pt>
                <c:pt idx="50">
                  <c:v>1520</c:v>
                </c:pt>
              </c:numCache>
            </c:numRef>
          </c:xVal>
          <c:yVal>
            <c:numRef>
              <c:f>'Structure-B'!$AY$3:$AY$53</c:f>
              <c:numCache>
                <c:formatCode>General</c:formatCode>
                <c:ptCount val="51"/>
                <c:pt idx="0">
                  <c:v>32985000.000000004</c:v>
                </c:pt>
                <c:pt idx="1">
                  <c:v>32985000</c:v>
                </c:pt>
                <c:pt idx="2">
                  <c:v>32985000.000000007</c:v>
                </c:pt>
                <c:pt idx="3">
                  <c:v>32985000.000000004</c:v>
                </c:pt>
                <c:pt idx="4">
                  <c:v>32985000.000000007</c:v>
                </c:pt>
                <c:pt idx="5">
                  <c:v>32985000.000000004</c:v>
                </c:pt>
                <c:pt idx="6">
                  <c:v>32985000.000000004</c:v>
                </c:pt>
                <c:pt idx="7">
                  <c:v>32985000.000000007</c:v>
                </c:pt>
                <c:pt idx="8">
                  <c:v>32984999.999999996</c:v>
                </c:pt>
                <c:pt idx="9">
                  <c:v>32985000.000000004</c:v>
                </c:pt>
                <c:pt idx="10">
                  <c:v>32985000.000000007</c:v>
                </c:pt>
                <c:pt idx="11">
                  <c:v>32985000</c:v>
                </c:pt>
                <c:pt idx="12">
                  <c:v>32985000.000000004</c:v>
                </c:pt>
                <c:pt idx="13">
                  <c:v>32985000.000000004</c:v>
                </c:pt>
                <c:pt idx="14">
                  <c:v>32985000</c:v>
                </c:pt>
                <c:pt idx="15">
                  <c:v>32985000.000000007</c:v>
                </c:pt>
                <c:pt idx="16">
                  <c:v>32985000.000000011</c:v>
                </c:pt>
                <c:pt idx="17">
                  <c:v>32985000.000000011</c:v>
                </c:pt>
                <c:pt idx="18">
                  <c:v>32984999.999999996</c:v>
                </c:pt>
                <c:pt idx="19">
                  <c:v>32984999.999999993</c:v>
                </c:pt>
                <c:pt idx="20">
                  <c:v>32985000</c:v>
                </c:pt>
                <c:pt idx="21">
                  <c:v>32985000.000000004</c:v>
                </c:pt>
                <c:pt idx="22">
                  <c:v>32985000.000000011</c:v>
                </c:pt>
                <c:pt idx="23">
                  <c:v>32985000</c:v>
                </c:pt>
                <c:pt idx="24">
                  <c:v>32984999.999999993</c:v>
                </c:pt>
                <c:pt idx="25">
                  <c:v>32984999.999999996</c:v>
                </c:pt>
                <c:pt idx="26">
                  <c:v>32985000</c:v>
                </c:pt>
                <c:pt idx="27">
                  <c:v>32984999.999999993</c:v>
                </c:pt>
                <c:pt idx="28">
                  <c:v>32984999.999999993</c:v>
                </c:pt>
                <c:pt idx="29">
                  <c:v>32984999.999999996</c:v>
                </c:pt>
                <c:pt idx="30">
                  <c:v>32984999.999999996</c:v>
                </c:pt>
                <c:pt idx="31">
                  <c:v>32984999.999999996</c:v>
                </c:pt>
                <c:pt idx="32">
                  <c:v>32984999.999999993</c:v>
                </c:pt>
                <c:pt idx="33">
                  <c:v>32984999.999999996</c:v>
                </c:pt>
                <c:pt idx="34">
                  <c:v>32985000</c:v>
                </c:pt>
                <c:pt idx="35">
                  <c:v>32984999.999999996</c:v>
                </c:pt>
                <c:pt idx="36">
                  <c:v>32984999.999999985</c:v>
                </c:pt>
                <c:pt idx="37">
                  <c:v>32985000</c:v>
                </c:pt>
                <c:pt idx="38">
                  <c:v>32984999.999999996</c:v>
                </c:pt>
                <c:pt idx="39">
                  <c:v>32984999.999999985</c:v>
                </c:pt>
                <c:pt idx="40">
                  <c:v>32985000.000000022</c:v>
                </c:pt>
                <c:pt idx="41">
                  <c:v>32984999.999999985</c:v>
                </c:pt>
                <c:pt idx="42">
                  <c:v>32985000.000000007</c:v>
                </c:pt>
                <c:pt idx="43">
                  <c:v>32985000.000000019</c:v>
                </c:pt>
                <c:pt idx="44">
                  <c:v>32985000</c:v>
                </c:pt>
                <c:pt idx="45">
                  <c:v>32984999.999999996</c:v>
                </c:pt>
                <c:pt idx="46">
                  <c:v>32984999.999999981</c:v>
                </c:pt>
                <c:pt idx="47">
                  <c:v>32984999.999999989</c:v>
                </c:pt>
                <c:pt idx="48">
                  <c:v>32985000</c:v>
                </c:pt>
                <c:pt idx="49">
                  <c:v>32985000</c:v>
                </c:pt>
                <c:pt idx="50">
                  <c:v>32985000.000000034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419-4871-AF24-AF21E6A67F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9707983"/>
        <c:axId val="759696463"/>
      </c:scatterChart>
      <c:valAx>
        <c:axId val="7597079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9696463"/>
        <c:crosses val="autoZero"/>
        <c:crossBetween val="midCat"/>
      </c:valAx>
      <c:valAx>
        <c:axId val="75969646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97079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DRIVE</a:t>
            </a:r>
            <a:r>
              <a:rPr lang="en-IN" baseline="0"/>
              <a:t> INDEX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3.999339074399786E-2"/>
          <c:y val="0.10413907499818395"/>
          <c:w val="0.93913266559556141"/>
          <c:h val="0.74595018850932593"/>
        </c:manualLayout>
      </c:layout>
      <c:scatterChart>
        <c:scatterStyle val="smoothMarker"/>
        <c:varyColors val="0"/>
        <c:ser>
          <c:idx val="0"/>
          <c:order val="0"/>
          <c:tx>
            <c:v>DDI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'Structure-B'!$AM$3:$AM$53</c:f>
              <c:numCache>
                <c:formatCode>General</c:formatCode>
                <c:ptCount val="51"/>
                <c:pt idx="0">
                  <c:v>0</c:v>
                </c:pt>
                <c:pt idx="1">
                  <c:v>28</c:v>
                </c:pt>
                <c:pt idx="2">
                  <c:v>59</c:v>
                </c:pt>
                <c:pt idx="3">
                  <c:v>89</c:v>
                </c:pt>
                <c:pt idx="4">
                  <c:v>120</c:v>
                </c:pt>
                <c:pt idx="5">
                  <c:v>150</c:v>
                </c:pt>
                <c:pt idx="6">
                  <c:v>181</c:v>
                </c:pt>
                <c:pt idx="7">
                  <c:v>212</c:v>
                </c:pt>
                <c:pt idx="8">
                  <c:v>242</c:v>
                </c:pt>
                <c:pt idx="9">
                  <c:v>273</c:v>
                </c:pt>
                <c:pt idx="10">
                  <c:v>303</c:v>
                </c:pt>
                <c:pt idx="11">
                  <c:v>334</c:v>
                </c:pt>
                <c:pt idx="12">
                  <c:v>365</c:v>
                </c:pt>
                <c:pt idx="13">
                  <c:v>393</c:v>
                </c:pt>
                <c:pt idx="14">
                  <c:v>424</c:v>
                </c:pt>
                <c:pt idx="15">
                  <c:v>454</c:v>
                </c:pt>
                <c:pt idx="16">
                  <c:v>485</c:v>
                </c:pt>
                <c:pt idx="17">
                  <c:v>515</c:v>
                </c:pt>
                <c:pt idx="18">
                  <c:v>546</c:v>
                </c:pt>
                <c:pt idx="19">
                  <c:v>577</c:v>
                </c:pt>
                <c:pt idx="20">
                  <c:v>607</c:v>
                </c:pt>
                <c:pt idx="21">
                  <c:v>638</c:v>
                </c:pt>
                <c:pt idx="22">
                  <c:v>668</c:v>
                </c:pt>
                <c:pt idx="23">
                  <c:v>699</c:v>
                </c:pt>
                <c:pt idx="24">
                  <c:v>730</c:v>
                </c:pt>
                <c:pt idx="25">
                  <c:v>758</c:v>
                </c:pt>
                <c:pt idx="26">
                  <c:v>789</c:v>
                </c:pt>
                <c:pt idx="27">
                  <c:v>819</c:v>
                </c:pt>
                <c:pt idx="28">
                  <c:v>850</c:v>
                </c:pt>
                <c:pt idx="29">
                  <c:v>880</c:v>
                </c:pt>
                <c:pt idx="30">
                  <c:v>911</c:v>
                </c:pt>
                <c:pt idx="31">
                  <c:v>942</c:v>
                </c:pt>
                <c:pt idx="32">
                  <c:v>972</c:v>
                </c:pt>
                <c:pt idx="33">
                  <c:v>1003</c:v>
                </c:pt>
                <c:pt idx="34">
                  <c:v>1033</c:v>
                </c:pt>
                <c:pt idx="35">
                  <c:v>1064</c:v>
                </c:pt>
                <c:pt idx="36">
                  <c:v>1095</c:v>
                </c:pt>
                <c:pt idx="37">
                  <c:v>1124</c:v>
                </c:pt>
                <c:pt idx="38">
                  <c:v>1155</c:v>
                </c:pt>
                <c:pt idx="39">
                  <c:v>1185</c:v>
                </c:pt>
                <c:pt idx="40">
                  <c:v>1216</c:v>
                </c:pt>
                <c:pt idx="41">
                  <c:v>1246</c:v>
                </c:pt>
                <c:pt idx="42">
                  <c:v>1277</c:v>
                </c:pt>
                <c:pt idx="43">
                  <c:v>1308</c:v>
                </c:pt>
                <c:pt idx="44">
                  <c:v>1338</c:v>
                </c:pt>
                <c:pt idx="45">
                  <c:v>1369</c:v>
                </c:pt>
                <c:pt idx="46">
                  <c:v>1399</c:v>
                </c:pt>
                <c:pt idx="47">
                  <c:v>1430</c:v>
                </c:pt>
                <c:pt idx="48">
                  <c:v>1461</c:v>
                </c:pt>
                <c:pt idx="49">
                  <c:v>1489</c:v>
                </c:pt>
                <c:pt idx="50">
                  <c:v>1520</c:v>
                </c:pt>
              </c:numCache>
            </c:numRef>
          </c:xVal>
          <c:yVal>
            <c:numRef>
              <c:f>'Structure-B'!$BF$3:$BF$53</c:f>
              <c:numCache>
                <c:formatCode>General</c:formatCode>
                <c:ptCount val="51"/>
                <c:pt idx="0">
                  <c:v>-44.279695567808261</c:v>
                </c:pt>
                <c:pt idx="1">
                  <c:v>-20.744274836979027</c:v>
                </c:pt>
                <c:pt idx="2">
                  <c:v>-12.460153761817113</c:v>
                </c:pt>
                <c:pt idx="3">
                  <c:v>-9.9376349905815928</c:v>
                </c:pt>
                <c:pt idx="4">
                  <c:v>-8.3312702697422711</c:v>
                </c:pt>
                <c:pt idx="5">
                  <c:v>-6.9244958088801241</c:v>
                </c:pt>
                <c:pt idx="6">
                  <c:v>-5.8435752616642924</c:v>
                </c:pt>
                <c:pt idx="7">
                  <c:v>-5.0549504540516494</c:v>
                </c:pt>
                <c:pt idx="8">
                  <c:v>-4.4611335709869397</c:v>
                </c:pt>
                <c:pt idx="9">
                  <c:v>-3.9724622432513081</c:v>
                </c:pt>
                <c:pt idx="10">
                  <c:v>-3.54575479098192</c:v>
                </c:pt>
                <c:pt idx="11">
                  <c:v>-3.1996335013865322</c:v>
                </c:pt>
                <c:pt idx="12">
                  <c:v>-2.9273406111118283</c:v>
                </c:pt>
                <c:pt idx="13">
                  <c:v>-2.6672972480803749</c:v>
                </c:pt>
                <c:pt idx="14">
                  <c:v>-2.4574485514773325</c:v>
                </c:pt>
                <c:pt idx="15">
                  <c:v>-2.2628425564279135</c:v>
                </c:pt>
                <c:pt idx="16">
                  <c:v>-2.1095488573266135</c:v>
                </c:pt>
                <c:pt idx="17">
                  <c:v>-1.9898775643539683</c:v>
                </c:pt>
                <c:pt idx="18">
                  <c:v>-1.8794475332065577</c:v>
                </c:pt>
                <c:pt idx="19">
                  <c:v>-1.7733916628102695</c:v>
                </c:pt>
                <c:pt idx="20">
                  <c:v>-1.6716397242135221</c:v>
                </c:pt>
                <c:pt idx="21">
                  <c:v>-1.5870090086810158</c:v>
                </c:pt>
                <c:pt idx="22">
                  <c:v>-1.5168316857695419</c:v>
                </c:pt>
                <c:pt idx="23">
                  <c:v>-1.4545337695261618</c:v>
                </c:pt>
                <c:pt idx="24">
                  <c:v>-1.3994740613567695</c:v>
                </c:pt>
                <c:pt idx="25">
                  <c:v>-1.3429024052471337</c:v>
                </c:pt>
                <c:pt idx="26">
                  <c:v>-1.3004792840792903</c:v>
                </c:pt>
                <c:pt idx="27">
                  <c:v>-1.2636883530488241</c:v>
                </c:pt>
                <c:pt idx="28">
                  <c:v>-1.2252849086896833</c:v>
                </c:pt>
                <c:pt idx="29">
                  <c:v>-1.1903797461514249</c:v>
                </c:pt>
                <c:pt idx="30">
                  <c:v>-1.1622363077891782</c:v>
                </c:pt>
                <c:pt idx="31">
                  <c:v>-1.1447702185904896</c:v>
                </c:pt>
                <c:pt idx="32">
                  <c:v>-1.1161868384461107</c:v>
                </c:pt>
                <c:pt idx="33">
                  <c:v>-1.085448055819382</c:v>
                </c:pt>
                <c:pt idx="34">
                  <c:v>-1.0532750961416086</c:v>
                </c:pt>
                <c:pt idx="35">
                  <c:v>-1.0170755892561232</c:v>
                </c:pt>
                <c:pt idx="36">
                  <c:v>-0.98236391903946552</c:v>
                </c:pt>
                <c:pt idx="37">
                  <c:v>-0.94779822703436667</c:v>
                </c:pt>
                <c:pt idx="38">
                  <c:v>-0.91390841446762228</c:v>
                </c:pt>
                <c:pt idx="39">
                  <c:v>-0.87711634524957471</c:v>
                </c:pt>
                <c:pt idx="40">
                  <c:v>-0.84358685480935403</c:v>
                </c:pt>
                <c:pt idx="41">
                  <c:v>-0.81517776695973998</c:v>
                </c:pt>
                <c:pt idx="42">
                  <c:v>-0.79498223623986752</c:v>
                </c:pt>
                <c:pt idx="43">
                  <c:v>-0.77896291115675798</c:v>
                </c:pt>
                <c:pt idx="44">
                  <c:v>-0.76322751315463977</c:v>
                </c:pt>
                <c:pt idx="45">
                  <c:v>-0.74897319671382423</c:v>
                </c:pt>
                <c:pt idx="46">
                  <c:v>-0.73652915373200889</c:v>
                </c:pt>
                <c:pt idx="47">
                  <c:v>-0.72326865860068024</c:v>
                </c:pt>
                <c:pt idx="48">
                  <c:v>-0.71137202094485075</c:v>
                </c:pt>
                <c:pt idx="49">
                  <c:v>-0.69978265771162018</c:v>
                </c:pt>
                <c:pt idx="50">
                  <c:v>-0.68806669606285165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619-4199-8167-A3E059A50DD3}"/>
            </c:ext>
          </c:extLst>
        </c:ser>
        <c:ser>
          <c:idx val="1"/>
          <c:order val="1"/>
          <c:tx>
            <c:v>EDI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'Structure-B'!$AM$3:$AM$53</c:f>
              <c:numCache>
                <c:formatCode>General</c:formatCode>
                <c:ptCount val="51"/>
                <c:pt idx="0">
                  <c:v>0</c:v>
                </c:pt>
                <c:pt idx="1">
                  <c:v>28</c:v>
                </c:pt>
                <c:pt idx="2">
                  <c:v>59</c:v>
                </c:pt>
                <c:pt idx="3">
                  <c:v>89</c:v>
                </c:pt>
                <c:pt idx="4">
                  <c:v>120</c:v>
                </c:pt>
                <c:pt idx="5">
                  <c:v>150</c:v>
                </c:pt>
                <c:pt idx="6">
                  <c:v>181</c:v>
                </c:pt>
                <c:pt idx="7">
                  <c:v>212</c:v>
                </c:pt>
                <c:pt idx="8">
                  <c:v>242</c:v>
                </c:pt>
                <c:pt idx="9">
                  <c:v>273</c:v>
                </c:pt>
                <c:pt idx="10">
                  <c:v>303</c:v>
                </c:pt>
                <c:pt idx="11">
                  <c:v>334</c:v>
                </c:pt>
                <c:pt idx="12">
                  <c:v>365</c:v>
                </c:pt>
                <c:pt idx="13">
                  <c:v>393</c:v>
                </c:pt>
                <c:pt idx="14">
                  <c:v>424</c:v>
                </c:pt>
                <c:pt idx="15">
                  <c:v>454</c:v>
                </c:pt>
                <c:pt idx="16">
                  <c:v>485</c:v>
                </c:pt>
                <c:pt idx="17">
                  <c:v>515</c:v>
                </c:pt>
                <c:pt idx="18">
                  <c:v>546</c:v>
                </c:pt>
                <c:pt idx="19">
                  <c:v>577</c:v>
                </c:pt>
                <c:pt idx="20">
                  <c:v>607</c:v>
                </c:pt>
                <c:pt idx="21">
                  <c:v>638</c:v>
                </c:pt>
                <c:pt idx="22">
                  <c:v>668</c:v>
                </c:pt>
                <c:pt idx="23">
                  <c:v>699</c:v>
                </c:pt>
                <c:pt idx="24">
                  <c:v>730</c:v>
                </c:pt>
                <c:pt idx="25">
                  <c:v>758</c:v>
                </c:pt>
                <c:pt idx="26">
                  <c:v>789</c:v>
                </c:pt>
                <c:pt idx="27">
                  <c:v>819</c:v>
                </c:pt>
                <c:pt idx="28">
                  <c:v>850</c:v>
                </c:pt>
                <c:pt idx="29">
                  <c:v>880</c:v>
                </c:pt>
                <c:pt idx="30">
                  <c:v>911</c:v>
                </c:pt>
                <c:pt idx="31">
                  <c:v>942</c:v>
                </c:pt>
                <c:pt idx="32">
                  <c:v>972</c:v>
                </c:pt>
                <c:pt idx="33">
                  <c:v>1003</c:v>
                </c:pt>
                <c:pt idx="34">
                  <c:v>1033</c:v>
                </c:pt>
                <c:pt idx="35">
                  <c:v>1064</c:v>
                </c:pt>
                <c:pt idx="36">
                  <c:v>1095</c:v>
                </c:pt>
                <c:pt idx="37">
                  <c:v>1124</c:v>
                </c:pt>
                <c:pt idx="38">
                  <c:v>1155</c:v>
                </c:pt>
                <c:pt idx="39">
                  <c:v>1185</c:v>
                </c:pt>
                <c:pt idx="40">
                  <c:v>1216</c:v>
                </c:pt>
                <c:pt idx="41">
                  <c:v>1246</c:v>
                </c:pt>
                <c:pt idx="42">
                  <c:v>1277</c:v>
                </c:pt>
                <c:pt idx="43">
                  <c:v>1308</c:v>
                </c:pt>
                <c:pt idx="44">
                  <c:v>1338</c:v>
                </c:pt>
                <c:pt idx="45">
                  <c:v>1369</c:v>
                </c:pt>
                <c:pt idx="46">
                  <c:v>1399</c:v>
                </c:pt>
                <c:pt idx="47">
                  <c:v>1430</c:v>
                </c:pt>
                <c:pt idx="48">
                  <c:v>1461</c:v>
                </c:pt>
                <c:pt idx="49">
                  <c:v>1489</c:v>
                </c:pt>
                <c:pt idx="50">
                  <c:v>1520</c:v>
                </c:pt>
              </c:numCache>
            </c:numRef>
          </c:xVal>
          <c:yVal>
            <c:numRef>
              <c:f>'Structure-B'!$BG$3:$BG$53</c:f>
              <c:numCache>
                <c:formatCode>General</c:formatCode>
                <c:ptCount val="51"/>
                <c:pt idx="0">
                  <c:v>0.50775535806783612</c:v>
                </c:pt>
                <c:pt idx="1">
                  <c:v>0.24690342636084531</c:v>
                </c:pt>
                <c:pt idx="2">
                  <c:v>0.15430803484850203</c:v>
                </c:pt>
                <c:pt idx="3">
                  <c:v>0.12770308782416681</c:v>
                </c:pt>
                <c:pt idx="4">
                  <c:v>0.11107521116310434</c:v>
                </c:pt>
                <c:pt idx="5">
                  <c:v>9.5548742477946036E-2</c:v>
                </c:pt>
                <c:pt idx="6">
                  <c:v>8.3449365561140756E-2</c:v>
                </c:pt>
                <c:pt idx="7">
                  <c:v>7.4623239564624383E-2</c:v>
                </c:pt>
                <c:pt idx="8">
                  <c:v>6.7937437490198788E-2</c:v>
                </c:pt>
                <c:pt idx="9">
                  <c:v>6.2409821208179915E-2</c:v>
                </c:pt>
                <c:pt idx="10">
                  <c:v>5.7359480466751614E-2</c:v>
                </c:pt>
                <c:pt idx="11">
                  <c:v>5.3302119931170462E-2</c:v>
                </c:pt>
                <c:pt idx="12">
                  <c:v>5.0176654885442637E-2</c:v>
                </c:pt>
                <c:pt idx="13">
                  <c:v>4.6880251196838855E-2</c:v>
                </c:pt>
                <c:pt idx="14">
                  <c:v>4.4376147415671148E-2</c:v>
                </c:pt>
                <c:pt idx="15">
                  <c:v>4.1917222290028609E-2</c:v>
                </c:pt>
                <c:pt idx="16">
                  <c:v>4.0094127290298986E-2</c:v>
                </c:pt>
                <c:pt idx="17">
                  <c:v>3.8747593915628376E-2</c:v>
                </c:pt>
                <c:pt idx="18">
                  <c:v>3.7502921074499686E-2</c:v>
                </c:pt>
                <c:pt idx="19">
                  <c:v>3.6241212003934521E-2</c:v>
                </c:pt>
                <c:pt idx="20">
                  <c:v>3.4941336476677035E-2</c:v>
                </c:pt>
                <c:pt idx="21">
                  <c:v>3.39370891996481E-2</c:v>
                </c:pt>
                <c:pt idx="22">
                  <c:v>3.3143741352634745E-2</c:v>
                </c:pt>
                <c:pt idx="23">
                  <c:v>3.2483396070896259E-2</c:v>
                </c:pt>
                <c:pt idx="24">
                  <c:v>3.1928146426040971E-2</c:v>
                </c:pt>
                <c:pt idx="25">
                  <c:v>3.1221986506235751E-2</c:v>
                </c:pt>
                <c:pt idx="26">
                  <c:v>3.0862333483851732E-2</c:v>
                </c:pt>
                <c:pt idx="27">
                  <c:v>3.057852628721484E-2</c:v>
                </c:pt>
                <c:pt idx="28">
                  <c:v>3.0239680563749753E-2</c:v>
                </c:pt>
                <c:pt idx="29">
                  <c:v>2.9933342122980936E-2</c:v>
                </c:pt>
                <c:pt idx="30">
                  <c:v>2.9785699009871013E-2</c:v>
                </c:pt>
                <c:pt idx="31">
                  <c:v>2.9889716038344741E-2</c:v>
                </c:pt>
                <c:pt idx="32">
                  <c:v>2.9663922354240074E-2</c:v>
                </c:pt>
                <c:pt idx="33">
                  <c:v>2.9370055260805127E-2</c:v>
                </c:pt>
                <c:pt idx="34">
                  <c:v>2.8990694089649389E-2</c:v>
                </c:pt>
                <c:pt idx="35">
                  <c:v>2.8484430489162597E-2</c:v>
                </c:pt>
                <c:pt idx="36">
                  <c:v>2.798566520273043E-2</c:v>
                </c:pt>
                <c:pt idx="37">
                  <c:v>2.7428209655700475E-2</c:v>
                </c:pt>
                <c:pt idx="38">
                  <c:v>2.6887866724429308E-2</c:v>
                </c:pt>
                <c:pt idx="39">
                  <c:v>2.6214443163988584E-2</c:v>
                </c:pt>
                <c:pt idx="40">
                  <c:v>2.5618848444862879E-2</c:v>
                </c:pt>
                <c:pt idx="41">
                  <c:v>2.5136236887848114E-2</c:v>
                </c:pt>
                <c:pt idx="42">
                  <c:v>2.4896584341919905E-2</c:v>
                </c:pt>
                <c:pt idx="43">
                  <c:v>2.4770267641229415E-2</c:v>
                </c:pt>
                <c:pt idx="44">
                  <c:v>2.4625813840389955E-2</c:v>
                </c:pt>
                <c:pt idx="45">
                  <c:v>2.4526804856337986E-2</c:v>
                </c:pt>
                <c:pt idx="46">
                  <c:v>2.4462763170572544E-2</c:v>
                </c:pt>
                <c:pt idx="47">
                  <c:v>2.4370860123832178E-2</c:v>
                </c:pt>
                <c:pt idx="48">
                  <c:v>2.4312790260717115E-2</c:v>
                </c:pt>
                <c:pt idx="49">
                  <c:v>2.4221271854804553E-2</c:v>
                </c:pt>
                <c:pt idx="50">
                  <c:v>2.4147314773570235E-2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B619-4199-8167-A3E059A50DD3}"/>
            </c:ext>
          </c:extLst>
        </c:ser>
        <c:ser>
          <c:idx val="2"/>
          <c:order val="2"/>
          <c:tx>
            <c:v>WDI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'Structure-B'!$AM$3:$AM$53</c:f>
              <c:numCache>
                <c:formatCode>General</c:formatCode>
                <c:ptCount val="51"/>
                <c:pt idx="0">
                  <c:v>0</c:v>
                </c:pt>
                <c:pt idx="1">
                  <c:v>28</c:v>
                </c:pt>
                <c:pt idx="2">
                  <c:v>59</c:v>
                </c:pt>
                <c:pt idx="3">
                  <c:v>89</c:v>
                </c:pt>
                <c:pt idx="4">
                  <c:v>120</c:v>
                </c:pt>
                <c:pt idx="5">
                  <c:v>150</c:v>
                </c:pt>
                <c:pt idx="6">
                  <c:v>181</c:v>
                </c:pt>
                <c:pt idx="7">
                  <c:v>212</c:v>
                </c:pt>
                <c:pt idx="8">
                  <c:v>242</c:v>
                </c:pt>
                <c:pt idx="9">
                  <c:v>273</c:v>
                </c:pt>
                <c:pt idx="10">
                  <c:v>303</c:v>
                </c:pt>
                <c:pt idx="11">
                  <c:v>334</c:v>
                </c:pt>
                <c:pt idx="12">
                  <c:v>365</c:v>
                </c:pt>
                <c:pt idx="13">
                  <c:v>393</c:v>
                </c:pt>
                <c:pt idx="14">
                  <c:v>424</c:v>
                </c:pt>
                <c:pt idx="15">
                  <c:v>454</c:v>
                </c:pt>
                <c:pt idx="16">
                  <c:v>485</c:v>
                </c:pt>
                <c:pt idx="17">
                  <c:v>515</c:v>
                </c:pt>
                <c:pt idx="18">
                  <c:v>546</c:v>
                </c:pt>
                <c:pt idx="19">
                  <c:v>577</c:v>
                </c:pt>
                <c:pt idx="20">
                  <c:v>607</c:v>
                </c:pt>
                <c:pt idx="21">
                  <c:v>638</c:v>
                </c:pt>
                <c:pt idx="22">
                  <c:v>668</c:v>
                </c:pt>
                <c:pt idx="23">
                  <c:v>699</c:v>
                </c:pt>
                <c:pt idx="24">
                  <c:v>730</c:v>
                </c:pt>
                <c:pt idx="25">
                  <c:v>758</c:v>
                </c:pt>
                <c:pt idx="26">
                  <c:v>789</c:v>
                </c:pt>
                <c:pt idx="27">
                  <c:v>819</c:v>
                </c:pt>
                <c:pt idx="28">
                  <c:v>850</c:v>
                </c:pt>
                <c:pt idx="29">
                  <c:v>880</c:v>
                </c:pt>
                <c:pt idx="30">
                  <c:v>911</c:v>
                </c:pt>
                <c:pt idx="31">
                  <c:v>942</c:v>
                </c:pt>
                <c:pt idx="32">
                  <c:v>972</c:v>
                </c:pt>
                <c:pt idx="33">
                  <c:v>1003</c:v>
                </c:pt>
                <c:pt idx="34">
                  <c:v>1033</c:v>
                </c:pt>
                <c:pt idx="35">
                  <c:v>1064</c:v>
                </c:pt>
                <c:pt idx="36">
                  <c:v>1095</c:v>
                </c:pt>
                <c:pt idx="37">
                  <c:v>1124</c:v>
                </c:pt>
                <c:pt idx="38">
                  <c:v>1155</c:v>
                </c:pt>
                <c:pt idx="39">
                  <c:v>1185</c:v>
                </c:pt>
                <c:pt idx="40">
                  <c:v>1216</c:v>
                </c:pt>
                <c:pt idx="41">
                  <c:v>1246</c:v>
                </c:pt>
                <c:pt idx="42">
                  <c:v>1277</c:v>
                </c:pt>
                <c:pt idx="43">
                  <c:v>1308</c:v>
                </c:pt>
                <c:pt idx="44">
                  <c:v>1338</c:v>
                </c:pt>
                <c:pt idx="45">
                  <c:v>1369</c:v>
                </c:pt>
                <c:pt idx="46">
                  <c:v>1399</c:v>
                </c:pt>
                <c:pt idx="47">
                  <c:v>1430</c:v>
                </c:pt>
                <c:pt idx="48">
                  <c:v>1461</c:v>
                </c:pt>
                <c:pt idx="49">
                  <c:v>1489</c:v>
                </c:pt>
                <c:pt idx="50">
                  <c:v>1520</c:v>
                </c:pt>
              </c:numCache>
            </c:numRef>
          </c:xVal>
          <c:yVal>
            <c:numRef>
              <c:f>'Structure-B'!$BH$3:$BH$53</c:f>
              <c:numCache>
                <c:formatCode>General</c:formatCode>
                <c:ptCount val="51"/>
                <c:pt idx="0">
                  <c:v>44.771940209740428</c:v>
                </c:pt>
                <c:pt idx="1">
                  <c:v>21.497371410618182</c:v>
                </c:pt>
                <c:pt idx="2">
                  <c:v>13.305845726968613</c:v>
                </c:pt>
                <c:pt idx="3">
                  <c:v>10.809931902757427</c:v>
                </c:pt>
                <c:pt idx="4">
                  <c:v>9.2201950585791685</c:v>
                </c:pt>
                <c:pt idx="5">
                  <c:v>7.8289470664021783</c:v>
                </c:pt>
                <c:pt idx="6">
                  <c:v>6.760125896103153</c:v>
                </c:pt>
                <c:pt idx="7">
                  <c:v>5.9803272144870254</c:v>
                </c:pt>
                <c:pt idx="8">
                  <c:v>5.3931961334967404</c:v>
                </c:pt>
                <c:pt idx="9">
                  <c:v>4.9100524220431288</c:v>
                </c:pt>
                <c:pt idx="10">
                  <c:v>4.4883953105151688</c:v>
                </c:pt>
                <c:pt idx="11">
                  <c:v>4.1463313814553624</c:v>
                </c:pt>
                <c:pt idx="12">
                  <c:v>3.8771639562263864</c:v>
                </c:pt>
                <c:pt idx="13">
                  <c:v>3.6204169968835367</c:v>
                </c:pt>
                <c:pt idx="14">
                  <c:v>3.4130724040616616</c:v>
                </c:pt>
                <c:pt idx="15">
                  <c:v>3.2209253341378852</c:v>
                </c:pt>
                <c:pt idx="16">
                  <c:v>3.0694547300363153</c:v>
                </c:pt>
                <c:pt idx="17">
                  <c:v>2.9511299704383407</c:v>
                </c:pt>
                <c:pt idx="18">
                  <c:v>2.8419446121320577</c:v>
                </c:pt>
                <c:pt idx="19">
                  <c:v>2.7371504508063347</c:v>
                </c:pt>
                <c:pt idx="20">
                  <c:v>2.6366983877368453</c:v>
                </c:pt>
                <c:pt idx="21">
                  <c:v>2.553071919481368</c:v>
                </c:pt>
                <c:pt idx="22">
                  <c:v>2.4836879444169075</c:v>
                </c:pt>
                <c:pt idx="23">
                  <c:v>2.4220503734552654</c:v>
                </c:pt>
                <c:pt idx="24">
                  <c:v>2.3675459149307283</c:v>
                </c:pt>
                <c:pt idx="25">
                  <c:v>2.3116804187408979</c:v>
                </c:pt>
                <c:pt idx="26">
                  <c:v>2.2696169505954384</c:v>
                </c:pt>
                <c:pt idx="27">
                  <c:v>2.2331098267616087</c:v>
                </c:pt>
                <c:pt idx="28">
                  <c:v>2.1950452281259332</c:v>
                </c:pt>
                <c:pt idx="29">
                  <c:v>2.1604464040284439</c:v>
                </c:pt>
                <c:pt idx="30">
                  <c:v>2.1324506087793069</c:v>
                </c:pt>
                <c:pt idx="31">
                  <c:v>2.1148805025521447</c:v>
                </c:pt>
                <c:pt idx="32">
                  <c:v>2.0865229160918703</c:v>
                </c:pt>
                <c:pt idx="33">
                  <c:v>2.0560780005585766</c:v>
                </c:pt>
                <c:pt idx="34">
                  <c:v>2.024284402051959</c:v>
                </c:pt>
                <c:pt idx="35">
                  <c:v>1.9885911587669605</c:v>
                </c:pt>
                <c:pt idx="36">
                  <c:v>1.9543782538367347</c:v>
                </c:pt>
                <c:pt idx="37">
                  <c:v>1.9203700173786662</c:v>
                </c:pt>
                <c:pt idx="38">
                  <c:v>1.8870205477431927</c:v>
                </c:pt>
                <c:pt idx="39">
                  <c:v>1.8509019020855857</c:v>
                </c:pt>
                <c:pt idx="40">
                  <c:v>1.8179680063644916</c:v>
                </c:pt>
                <c:pt idx="41">
                  <c:v>1.7900415300718915</c:v>
                </c:pt>
                <c:pt idx="42">
                  <c:v>1.7700856518979478</c:v>
                </c:pt>
                <c:pt idx="43">
                  <c:v>1.7541926435155291</c:v>
                </c:pt>
                <c:pt idx="44">
                  <c:v>1.7386016993142499</c:v>
                </c:pt>
                <c:pt idx="45">
                  <c:v>1.7244463918574862</c:v>
                </c:pt>
                <c:pt idx="46">
                  <c:v>1.7120663905614359</c:v>
                </c:pt>
                <c:pt idx="47">
                  <c:v>1.6988977984768479</c:v>
                </c:pt>
                <c:pt idx="48">
                  <c:v>1.6870592306841337</c:v>
                </c:pt>
                <c:pt idx="49">
                  <c:v>1.6755613858568157</c:v>
                </c:pt>
                <c:pt idx="50">
                  <c:v>1.6639193812892821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B619-4199-8167-A3E059A50D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9745903"/>
        <c:axId val="759750223"/>
      </c:scatterChart>
      <c:valAx>
        <c:axId val="759745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9750223"/>
        <c:crosses val="autoZero"/>
        <c:crossBetween val="midCat"/>
      </c:valAx>
      <c:valAx>
        <c:axId val="759750223"/>
        <c:scaling>
          <c:orientation val="minMax"/>
          <c:max val="1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97459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 baseline="0"/>
              <a:t> N (OOIP)    V/S  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069333795749556"/>
          <c:y val="0.12821703060910114"/>
          <c:w val="0.88606301928629172"/>
          <c:h val="0.8238901125355681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'Structure-B'!$BO$3:$BO$53</c:f>
              <c:numCache>
                <c:formatCode>General</c:formatCode>
                <c:ptCount val="51"/>
                <c:pt idx="0">
                  <c:v>-52371.335459853959</c:v>
                </c:pt>
                <c:pt idx="1">
                  <c:v>-313860.00535355479</c:v>
                </c:pt>
                <c:pt idx="2">
                  <c:v>337045.17858461186</c:v>
                </c:pt>
                <c:pt idx="3">
                  <c:v>1307198.8440055975</c:v>
                </c:pt>
                <c:pt idx="4">
                  <c:v>1861325.5308343805</c:v>
                </c:pt>
                <c:pt idx="5">
                  <c:v>2265649.3243154492</c:v>
                </c:pt>
                <c:pt idx="6">
                  <c:v>2782490.955026051</c:v>
                </c:pt>
                <c:pt idx="7">
                  <c:v>3357416.6811632328</c:v>
                </c:pt>
                <c:pt idx="8">
                  <c:v>3855438.0003269799</c:v>
                </c:pt>
                <c:pt idx="9">
                  <c:v>4279100.3919537123</c:v>
                </c:pt>
                <c:pt idx="10">
                  <c:v>4741111.5498958426</c:v>
                </c:pt>
                <c:pt idx="11">
                  <c:v>5296417.5377357593</c:v>
                </c:pt>
                <c:pt idx="12">
                  <c:v>5842501.3390767062</c:v>
                </c:pt>
                <c:pt idx="13">
                  <c:v>6350391.0573590267</c:v>
                </c:pt>
                <c:pt idx="14">
                  <c:v>6917143.48636699</c:v>
                </c:pt>
                <c:pt idx="15">
                  <c:v>7406038.5344332643</c:v>
                </c:pt>
                <c:pt idx="16">
                  <c:v>7930749.4152016295</c:v>
                </c:pt>
                <c:pt idx="17">
                  <c:v>8362991.0726322671</c:v>
                </c:pt>
                <c:pt idx="18">
                  <c:v>8670640.1957928557</c:v>
                </c:pt>
                <c:pt idx="19">
                  <c:v>8931585.8947726004</c:v>
                </c:pt>
                <c:pt idx="20">
                  <c:v>9189561.3764582984</c:v>
                </c:pt>
                <c:pt idx="21">
                  <c:v>9477732.7043381911</c:v>
                </c:pt>
                <c:pt idx="22">
                  <c:v>9718448.5426217671</c:v>
                </c:pt>
                <c:pt idx="23">
                  <c:v>9907659.9674472194</c:v>
                </c:pt>
                <c:pt idx="24">
                  <c:v>10093065.860183565</c:v>
                </c:pt>
                <c:pt idx="25">
                  <c:v>10267862.566722888</c:v>
                </c:pt>
                <c:pt idx="26">
                  <c:v>10438883.44549215</c:v>
                </c:pt>
                <c:pt idx="27">
                  <c:v>10494315.484797297</c:v>
                </c:pt>
                <c:pt idx="28">
                  <c:v>10491365.80790196</c:v>
                </c:pt>
                <c:pt idx="29">
                  <c:v>10503537.172635477</c:v>
                </c:pt>
                <c:pt idx="30">
                  <c:v>10467240.958417844</c:v>
                </c:pt>
                <c:pt idx="31">
                  <c:v>10415300.914012561</c:v>
                </c:pt>
                <c:pt idx="32">
                  <c:v>10272439.401296081</c:v>
                </c:pt>
                <c:pt idx="33">
                  <c:v>10261365.07657476</c:v>
                </c:pt>
                <c:pt idx="34">
                  <c:v>10338854.610226335</c:v>
                </c:pt>
                <c:pt idx="35">
                  <c:v>10462508.615581626</c:v>
                </c:pt>
                <c:pt idx="36">
                  <c:v>10671443.151543539</c:v>
                </c:pt>
                <c:pt idx="37">
                  <c:v>10911162.749608193</c:v>
                </c:pt>
                <c:pt idx="38">
                  <c:v>11114774.280830376</c:v>
                </c:pt>
                <c:pt idx="39">
                  <c:v>11309409.183701972</c:v>
                </c:pt>
                <c:pt idx="40">
                  <c:v>11577799.356859859</c:v>
                </c:pt>
                <c:pt idx="41">
                  <c:v>11810479.789704219</c:v>
                </c:pt>
                <c:pt idx="42">
                  <c:v>11944688.442930017</c:v>
                </c:pt>
                <c:pt idx="43">
                  <c:v>11950874.659512457</c:v>
                </c:pt>
                <c:pt idx="44">
                  <c:v>11918085.701232417</c:v>
                </c:pt>
                <c:pt idx="45">
                  <c:v>11879743.355889177</c:v>
                </c:pt>
                <c:pt idx="46">
                  <c:v>11830067.515003635</c:v>
                </c:pt>
                <c:pt idx="47">
                  <c:v>11737204.42549599</c:v>
                </c:pt>
                <c:pt idx="48">
                  <c:v>11668584.225909283</c:v>
                </c:pt>
                <c:pt idx="49">
                  <c:v>11599793.903147958</c:v>
                </c:pt>
                <c:pt idx="50">
                  <c:v>11524504.92378189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9BD-449C-B0CB-6E30439322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6262591"/>
        <c:axId val="1656279871"/>
      </c:scatterChart>
      <c:valAx>
        <c:axId val="1656262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6279871"/>
        <c:crosses val="autoZero"/>
        <c:crossBetween val="midCat"/>
      </c:valAx>
      <c:valAx>
        <c:axId val="1656279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N</a:t>
                </a:r>
                <a:r>
                  <a:rPr lang="en-IN" b="1" baseline="0"/>
                  <a:t> (OOIP)</a:t>
                </a:r>
                <a:endParaRPr lang="en-IN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62625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WOR</a:t>
            </a:r>
            <a:r>
              <a:rPr lang="en-IN" baseline="0"/>
              <a:t> &amp; WOR' V/S TIME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WOR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'Well_B-1'!$Q$2:$Q$36</c:f>
              <c:numCache>
                <c:formatCode>General</c:formatCode>
                <c:ptCount val="35"/>
                <c:pt idx="0">
                  <c:v>0</c:v>
                </c:pt>
                <c:pt idx="1">
                  <c:v>31</c:v>
                </c:pt>
                <c:pt idx="2">
                  <c:v>61</c:v>
                </c:pt>
                <c:pt idx="3">
                  <c:v>92</c:v>
                </c:pt>
                <c:pt idx="4">
                  <c:v>122</c:v>
                </c:pt>
                <c:pt idx="5">
                  <c:v>153</c:v>
                </c:pt>
                <c:pt idx="6">
                  <c:v>184</c:v>
                </c:pt>
                <c:pt idx="7">
                  <c:v>214</c:v>
                </c:pt>
                <c:pt idx="8">
                  <c:v>245</c:v>
                </c:pt>
                <c:pt idx="9">
                  <c:v>275</c:v>
                </c:pt>
                <c:pt idx="10">
                  <c:v>306</c:v>
                </c:pt>
                <c:pt idx="11">
                  <c:v>337</c:v>
                </c:pt>
                <c:pt idx="12">
                  <c:v>365</c:v>
                </c:pt>
                <c:pt idx="13">
                  <c:v>396</c:v>
                </c:pt>
                <c:pt idx="14">
                  <c:v>426</c:v>
                </c:pt>
                <c:pt idx="15">
                  <c:v>457</c:v>
                </c:pt>
                <c:pt idx="16">
                  <c:v>487</c:v>
                </c:pt>
                <c:pt idx="17">
                  <c:v>518</c:v>
                </c:pt>
                <c:pt idx="18">
                  <c:v>549</c:v>
                </c:pt>
                <c:pt idx="19">
                  <c:v>579</c:v>
                </c:pt>
                <c:pt idx="20">
                  <c:v>610</c:v>
                </c:pt>
                <c:pt idx="21">
                  <c:v>640</c:v>
                </c:pt>
                <c:pt idx="22">
                  <c:v>671</c:v>
                </c:pt>
                <c:pt idx="23">
                  <c:v>702</c:v>
                </c:pt>
                <c:pt idx="24">
                  <c:v>730</c:v>
                </c:pt>
                <c:pt idx="25">
                  <c:v>761</c:v>
                </c:pt>
                <c:pt idx="26">
                  <c:v>791</c:v>
                </c:pt>
                <c:pt idx="27">
                  <c:v>822</c:v>
                </c:pt>
                <c:pt idx="28">
                  <c:v>852</c:v>
                </c:pt>
                <c:pt idx="29">
                  <c:v>883</c:v>
                </c:pt>
                <c:pt idx="30">
                  <c:v>914</c:v>
                </c:pt>
                <c:pt idx="31">
                  <c:v>944</c:v>
                </c:pt>
                <c:pt idx="32">
                  <c:v>975</c:v>
                </c:pt>
                <c:pt idx="33">
                  <c:v>1005</c:v>
                </c:pt>
                <c:pt idx="34">
                  <c:v>1036</c:v>
                </c:pt>
              </c:numCache>
            </c:numRef>
          </c:xVal>
          <c:yVal>
            <c:numRef>
              <c:f>'Well_B-1'!$R$2:$R$36</c:f>
              <c:numCache>
                <c:formatCode>0.00</c:formatCode>
                <c:ptCount val="35"/>
                <c:pt idx="0">
                  <c:v>1.3169616919084323E-5</c:v>
                </c:pt>
                <c:pt idx="1">
                  <c:v>3.9562627721115476E-2</c:v>
                </c:pt>
                <c:pt idx="2">
                  <c:v>1.1684987234412048E-2</c:v>
                </c:pt>
                <c:pt idx="3">
                  <c:v>0</c:v>
                </c:pt>
                <c:pt idx="4">
                  <c:v>9.6471172213557055E-2</c:v>
                </c:pt>
                <c:pt idx="5">
                  <c:v>6.0584137879473407E-2</c:v>
                </c:pt>
                <c:pt idx="6">
                  <c:v>7.9105796282509688E-2</c:v>
                </c:pt>
                <c:pt idx="7">
                  <c:v>9.0316094176800657E-2</c:v>
                </c:pt>
                <c:pt idx="8">
                  <c:v>6.3732213661041981E-2</c:v>
                </c:pt>
                <c:pt idx="9">
                  <c:v>5.9776547276118683E-2</c:v>
                </c:pt>
                <c:pt idx="10">
                  <c:v>0.16022359853910667</c:v>
                </c:pt>
                <c:pt idx="11">
                  <c:v>0.27258195892549614</c:v>
                </c:pt>
                <c:pt idx="12">
                  <c:v>0.51282053047000464</c:v>
                </c:pt>
                <c:pt idx="13">
                  <c:v>0.47196380752125305</c:v>
                </c:pt>
                <c:pt idx="14">
                  <c:v>0.52244372171310782</c:v>
                </c:pt>
                <c:pt idx="15">
                  <c:v>0.51010854346838541</c:v>
                </c:pt>
                <c:pt idx="16">
                  <c:v>0.13673437798883428</c:v>
                </c:pt>
                <c:pt idx="17">
                  <c:v>0.16004783254390989</c:v>
                </c:pt>
                <c:pt idx="18">
                  <c:v>3.0885315638098394</c:v>
                </c:pt>
                <c:pt idx="19">
                  <c:v>3.8871118819174613</c:v>
                </c:pt>
                <c:pt idx="20">
                  <c:v>1.5261110035737304</c:v>
                </c:pt>
                <c:pt idx="21">
                  <c:v>0.42586998495739559</c:v>
                </c:pt>
                <c:pt idx="22">
                  <c:v>0.37532297571906514</c:v>
                </c:pt>
                <c:pt idx="23">
                  <c:v>0.30538441213487449</c:v>
                </c:pt>
                <c:pt idx="24">
                  <c:v>0.32218534659162129</c:v>
                </c:pt>
                <c:pt idx="25">
                  <c:v>0.22720891717903788</c:v>
                </c:pt>
                <c:pt idx="26">
                  <c:v>0.19870030505770869</c:v>
                </c:pt>
                <c:pt idx="27">
                  <c:v>0.22579521852383802</c:v>
                </c:pt>
                <c:pt idx="28">
                  <c:v>0.68880110936878325</c:v>
                </c:pt>
                <c:pt idx="29">
                  <c:v>1.8543579476359453</c:v>
                </c:pt>
                <c:pt idx="30">
                  <c:v>1.3942338747957208</c:v>
                </c:pt>
                <c:pt idx="31">
                  <c:v>1.2880568954043943</c:v>
                </c:pt>
                <c:pt idx="32">
                  <c:v>1.3217206479556523</c:v>
                </c:pt>
                <c:pt idx="33">
                  <c:v>4.6034023694875499</c:v>
                </c:pt>
                <c:pt idx="34">
                  <c:v>6.0053350160756933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8E-4335-9AEE-23F8DAB7E625}"/>
            </c:ext>
          </c:extLst>
        </c:ser>
        <c:ser>
          <c:idx val="1"/>
          <c:order val="1"/>
          <c:tx>
            <c:v>WOR'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'Well_B-1'!$Q$2:$Q$36</c:f>
              <c:numCache>
                <c:formatCode>General</c:formatCode>
                <c:ptCount val="35"/>
                <c:pt idx="0">
                  <c:v>0</c:v>
                </c:pt>
                <c:pt idx="1">
                  <c:v>31</c:v>
                </c:pt>
                <c:pt idx="2">
                  <c:v>61</c:v>
                </c:pt>
                <c:pt idx="3">
                  <c:v>92</c:v>
                </c:pt>
                <c:pt idx="4">
                  <c:v>122</c:v>
                </c:pt>
                <c:pt idx="5">
                  <c:v>153</c:v>
                </c:pt>
                <c:pt idx="6">
                  <c:v>184</c:v>
                </c:pt>
                <c:pt idx="7">
                  <c:v>214</c:v>
                </c:pt>
                <c:pt idx="8">
                  <c:v>245</c:v>
                </c:pt>
                <c:pt idx="9">
                  <c:v>275</c:v>
                </c:pt>
                <c:pt idx="10">
                  <c:v>306</c:v>
                </c:pt>
                <c:pt idx="11">
                  <c:v>337</c:v>
                </c:pt>
                <c:pt idx="12">
                  <c:v>365</c:v>
                </c:pt>
                <c:pt idx="13">
                  <c:v>396</c:v>
                </c:pt>
                <c:pt idx="14">
                  <c:v>426</c:v>
                </c:pt>
                <c:pt idx="15">
                  <c:v>457</c:v>
                </c:pt>
                <c:pt idx="16">
                  <c:v>487</c:v>
                </c:pt>
                <c:pt idx="17">
                  <c:v>518</c:v>
                </c:pt>
                <c:pt idx="18">
                  <c:v>549</c:v>
                </c:pt>
                <c:pt idx="19">
                  <c:v>579</c:v>
                </c:pt>
                <c:pt idx="20">
                  <c:v>610</c:v>
                </c:pt>
                <c:pt idx="21">
                  <c:v>640</c:v>
                </c:pt>
                <c:pt idx="22">
                  <c:v>671</c:v>
                </c:pt>
                <c:pt idx="23">
                  <c:v>702</c:v>
                </c:pt>
                <c:pt idx="24">
                  <c:v>730</c:v>
                </c:pt>
                <c:pt idx="25">
                  <c:v>761</c:v>
                </c:pt>
                <c:pt idx="26">
                  <c:v>791</c:v>
                </c:pt>
                <c:pt idx="27">
                  <c:v>822</c:v>
                </c:pt>
                <c:pt idx="28">
                  <c:v>852</c:v>
                </c:pt>
                <c:pt idx="29">
                  <c:v>883</c:v>
                </c:pt>
                <c:pt idx="30">
                  <c:v>914</c:v>
                </c:pt>
                <c:pt idx="31">
                  <c:v>944</c:v>
                </c:pt>
                <c:pt idx="32">
                  <c:v>975</c:v>
                </c:pt>
                <c:pt idx="33">
                  <c:v>1005</c:v>
                </c:pt>
                <c:pt idx="34">
                  <c:v>1036</c:v>
                </c:pt>
              </c:numCache>
            </c:numRef>
          </c:xVal>
          <c:yVal>
            <c:numRef>
              <c:f>'Well_B-1'!$S$2:$S$35</c:f>
              <c:numCache>
                <c:formatCode>General</c:formatCode>
                <c:ptCount val="34"/>
                <c:pt idx="1">
                  <c:v>1.9134127241791744E-4</c:v>
                </c:pt>
                <c:pt idx="2">
                  <c:v>-6.4856766755927008E-4</c:v>
                </c:pt>
                <c:pt idx="3">
                  <c:v>1.3899374586745083E-3</c:v>
                </c:pt>
                <c:pt idx="4">
                  <c:v>9.9318258818808874E-4</c:v>
                </c:pt>
                <c:pt idx="5">
                  <c:v>-2.800867085652801E-4</c:v>
                </c:pt>
                <c:pt idx="6">
                  <c:v>4.8740911962831556E-4</c:v>
                </c:pt>
                <c:pt idx="7">
                  <c:v>-2.5202594461422469E-4</c:v>
                </c:pt>
                <c:pt idx="8">
                  <c:v>-5.0064830984724543E-4</c:v>
                </c:pt>
                <c:pt idx="9">
                  <c:v>1.5818259816076179E-3</c:v>
                </c:pt>
                <c:pt idx="10">
                  <c:v>3.432345349183507E-3</c:v>
                </c:pt>
                <c:pt idx="11">
                  <c:v>5.9762191852694574E-3</c:v>
                </c:pt>
                <c:pt idx="12">
                  <c:v>3.3793533660297784E-3</c:v>
                </c:pt>
                <c:pt idx="13">
                  <c:v>1.5775723349349474E-4</c:v>
                </c:pt>
                <c:pt idx="14">
                  <c:v>6.2532354011692385E-4</c:v>
                </c:pt>
                <c:pt idx="15">
                  <c:v>-6.3231039954798948E-3</c:v>
                </c:pt>
                <c:pt idx="16">
                  <c:v>-5.7387001790897632E-3</c:v>
                </c:pt>
                <c:pt idx="17">
                  <c:v>4.7609632029371053E-2</c:v>
                </c:pt>
                <c:pt idx="18">
                  <c:v>6.1099410645468054E-2</c:v>
                </c:pt>
                <c:pt idx="19">
                  <c:v>-2.5613451807149329E-2</c:v>
                </c:pt>
                <c:pt idx="20">
                  <c:v>-5.6741670441968289E-2</c:v>
                </c:pt>
                <c:pt idx="21">
                  <c:v>-1.8865377505814181E-2</c:v>
                </c:pt>
                <c:pt idx="22">
                  <c:v>-1.943315690685824E-3</c:v>
                </c:pt>
                <c:pt idx="23">
                  <c:v>-9.006377818210823E-4</c:v>
                </c:pt>
                <c:pt idx="24">
                  <c:v>-1.3250083890819766E-3</c:v>
                </c:pt>
                <c:pt idx="25">
                  <c:v>-2.0243449431788952E-3</c:v>
                </c:pt>
                <c:pt idx="26">
                  <c:v>-2.31753877901616E-5</c:v>
                </c:pt>
                <c:pt idx="27">
                  <c:v>8.0344394149356492E-3</c:v>
                </c:pt>
                <c:pt idx="28">
                  <c:v>2.6697749657575529E-2</c:v>
                </c:pt>
                <c:pt idx="29">
                  <c:v>1.1377947829466734E-2</c:v>
                </c:pt>
                <c:pt idx="30">
                  <c:v>-9.2836238070746063E-3</c:v>
                </c:pt>
                <c:pt idx="31">
                  <c:v>-1.1887414236076812E-3</c:v>
                </c:pt>
                <c:pt idx="32">
                  <c:v>5.4349925804641895E-2</c:v>
                </c:pt>
                <c:pt idx="33">
                  <c:v>7.6780563411803962E-2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68E-4335-9AEE-23F8DAB7E6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987919"/>
        <c:axId val="2086998479"/>
      </c:scatterChart>
      <c:valAx>
        <c:axId val="2086987919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998479"/>
        <c:crosses val="autoZero"/>
        <c:crossBetween val="midCat"/>
      </c:valAx>
      <c:valAx>
        <c:axId val="2086998479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WOR</a:t>
                </a:r>
                <a:r>
                  <a:rPr lang="en-IN" baseline="0"/>
                  <a:t> &amp; WOR'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9879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EXPONENTIAL</a:t>
            </a:r>
            <a:r>
              <a:rPr lang="en-IN" baseline="0"/>
              <a:t> GRAPH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PRODUCTION HISTORY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'Well_B-1'!$U$3:$U$37</c:f>
              <c:numCache>
                <c:formatCode>General</c:formatCode>
                <c:ptCount val="35"/>
                <c:pt idx="0">
                  <c:v>0</c:v>
                </c:pt>
                <c:pt idx="1">
                  <c:v>1.0333333333333334</c:v>
                </c:pt>
                <c:pt idx="2">
                  <c:v>2.0333333333333332</c:v>
                </c:pt>
                <c:pt idx="3">
                  <c:v>3.0666666666666669</c:v>
                </c:pt>
                <c:pt idx="4">
                  <c:v>4.0666666666666664</c:v>
                </c:pt>
                <c:pt idx="5">
                  <c:v>5.0999999999999996</c:v>
                </c:pt>
                <c:pt idx="6">
                  <c:v>6.1333333333333337</c:v>
                </c:pt>
                <c:pt idx="7">
                  <c:v>7.1333333333333337</c:v>
                </c:pt>
                <c:pt idx="8">
                  <c:v>8.1666666666666661</c:v>
                </c:pt>
                <c:pt idx="9">
                  <c:v>9.1666666666666661</c:v>
                </c:pt>
                <c:pt idx="10">
                  <c:v>10.199999999999999</c:v>
                </c:pt>
                <c:pt idx="11">
                  <c:v>11.233333333333333</c:v>
                </c:pt>
                <c:pt idx="12">
                  <c:v>12.166666666666666</c:v>
                </c:pt>
                <c:pt idx="13">
                  <c:v>13.2</c:v>
                </c:pt>
                <c:pt idx="14">
                  <c:v>14.2</c:v>
                </c:pt>
                <c:pt idx="15">
                  <c:v>15.233333333333333</c:v>
                </c:pt>
                <c:pt idx="16">
                  <c:v>16.233333333333334</c:v>
                </c:pt>
                <c:pt idx="17">
                  <c:v>17.266666666666666</c:v>
                </c:pt>
                <c:pt idx="18">
                  <c:v>18.3</c:v>
                </c:pt>
                <c:pt idx="19">
                  <c:v>19.3</c:v>
                </c:pt>
                <c:pt idx="20">
                  <c:v>20.333333333333332</c:v>
                </c:pt>
                <c:pt idx="21">
                  <c:v>21.333333333333332</c:v>
                </c:pt>
                <c:pt idx="22">
                  <c:v>22.366666666666667</c:v>
                </c:pt>
                <c:pt idx="23">
                  <c:v>23.4</c:v>
                </c:pt>
                <c:pt idx="24">
                  <c:v>24.333333333333332</c:v>
                </c:pt>
                <c:pt idx="25">
                  <c:v>25.366666666666667</c:v>
                </c:pt>
                <c:pt idx="26">
                  <c:v>26.366666666666667</c:v>
                </c:pt>
                <c:pt idx="27">
                  <c:v>27.4</c:v>
                </c:pt>
                <c:pt idx="28">
                  <c:v>28.4</c:v>
                </c:pt>
                <c:pt idx="29">
                  <c:v>29.433333333333334</c:v>
                </c:pt>
                <c:pt idx="30">
                  <c:v>30.466666666666665</c:v>
                </c:pt>
                <c:pt idx="31">
                  <c:v>31.466666666666665</c:v>
                </c:pt>
                <c:pt idx="32">
                  <c:v>32.5</c:v>
                </c:pt>
                <c:pt idx="33">
                  <c:v>33.5</c:v>
                </c:pt>
                <c:pt idx="34">
                  <c:v>34.533333333333331</c:v>
                </c:pt>
              </c:numCache>
            </c:numRef>
          </c:xVal>
          <c:yVal>
            <c:numRef>
              <c:f>'Well_B-1'!$C$2:$C$36</c:f>
              <c:numCache>
                <c:formatCode>0</c:formatCode>
                <c:ptCount val="35"/>
                <c:pt idx="0">
                  <c:v>61.627677419354839</c:v>
                </c:pt>
                <c:pt idx="1">
                  <c:v>404.13573333333335</c:v>
                </c:pt>
                <c:pt idx="2">
                  <c:v>92.132774193548386</c:v>
                </c:pt>
                <c:pt idx="3">
                  <c:v>1.6000000000000001E-3</c:v>
                </c:pt>
                <c:pt idx="4">
                  <c:v>294.15783870967743</c:v>
                </c:pt>
                <c:pt idx="5">
                  <c:v>250.25129032258064</c:v>
                </c:pt>
                <c:pt idx="6">
                  <c:v>239.67603333333332</c:v>
                </c:pt>
                <c:pt idx="7">
                  <c:v>242.79248387096774</c:v>
                </c:pt>
                <c:pt idx="8">
                  <c:v>265.80793333333332</c:v>
                </c:pt>
                <c:pt idx="9">
                  <c:v>266.62203225806451</c:v>
                </c:pt>
                <c:pt idx="10">
                  <c:v>256.4581935483871</c:v>
                </c:pt>
                <c:pt idx="11">
                  <c:v>221.89642857142857</c:v>
                </c:pt>
                <c:pt idx="12">
                  <c:v>179.06822580645161</c:v>
                </c:pt>
                <c:pt idx="13">
                  <c:v>131.51443333333333</c:v>
                </c:pt>
                <c:pt idx="14">
                  <c:v>159.49054838709679</c:v>
                </c:pt>
                <c:pt idx="15">
                  <c:v>124.44906666666667</c:v>
                </c:pt>
                <c:pt idx="16">
                  <c:v>43.508709677419354</c:v>
                </c:pt>
                <c:pt idx="17">
                  <c:v>47.0262903225806</c:v>
                </c:pt>
                <c:pt idx="18">
                  <c:v>64.519566666666606</c:v>
                </c:pt>
                <c:pt idx="19">
                  <c:v>70.502903225806406</c:v>
                </c:pt>
                <c:pt idx="20">
                  <c:v>99.569166666666661</c:v>
                </c:pt>
                <c:pt idx="21">
                  <c:v>158.19583870967742</c:v>
                </c:pt>
                <c:pt idx="22">
                  <c:v>163.52003225806399</c:v>
                </c:pt>
                <c:pt idx="23">
                  <c:v>166.99803571428501</c:v>
                </c:pt>
                <c:pt idx="24">
                  <c:v>170.88438709677399</c:v>
                </c:pt>
                <c:pt idx="25">
                  <c:v>172.94333333333299</c:v>
                </c:pt>
                <c:pt idx="26">
                  <c:v>162.90941935483872</c:v>
                </c:pt>
                <c:pt idx="27">
                  <c:v>171.71963333333332</c:v>
                </c:pt>
                <c:pt idx="28">
                  <c:v>100.6151935483871</c:v>
                </c:pt>
                <c:pt idx="29">
                  <c:v>100.90645161290323</c:v>
                </c:pt>
                <c:pt idx="30">
                  <c:v>140.16773333333333</c:v>
                </c:pt>
                <c:pt idx="31">
                  <c:v>139.02761290322579</c:v>
                </c:pt>
                <c:pt idx="32">
                  <c:v>131.71683333333334</c:v>
                </c:pt>
                <c:pt idx="33">
                  <c:v>75.807870967741934</c:v>
                </c:pt>
                <c:pt idx="34">
                  <c:v>18.952677419354838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DC9-4B50-9A34-DD762CD946C7}"/>
            </c:ext>
          </c:extLst>
        </c:ser>
        <c:ser>
          <c:idx val="0"/>
          <c:order val="1"/>
          <c:tx>
            <c:v>NEW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7.0728671697316503E-2"/>
                  <c:y val="-0.20678818837466706"/>
                </c:manualLayout>
              </c:layout>
              <c:numFmt formatCode="#,##0.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'Well_B-1'!$U$35:$U$37</c:f>
              <c:numCache>
                <c:formatCode>General</c:formatCode>
                <c:ptCount val="3"/>
                <c:pt idx="0">
                  <c:v>32.5</c:v>
                </c:pt>
                <c:pt idx="1">
                  <c:v>33.5</c:v>
                </c:pt>
                <c:pt idx="2">
                  <c:v>34.533333333333331</c:v>
                </c:pt>
              </c:numCache>
            </c:numRef>
          </c:xVal>
          <c:yVal>
            <c:numRef>
              <c:f>'Well_B-1'!$C$34:$C$36</c:f>
              <c:numCache>
                <c:formatCode>0</c:formatCode>
                <c:ptCount val="3"/>
                <c:pt idx="0">
                  <c:v>131.71683333333334</c:v>
                </c:pt>
                <c:pt idx="1">
                  <c:v>75.807870967741934</c:v>
                </c:pt>
                <c:pt idx="2">
                  <c:v>18.952677419354838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DC9-4B50-9A34-DD762CD946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048735"/>
        <c:axId val="75049215"/>
      </c:scatterChart>
      <c:valAx>
        <c:axId val="75048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TIME(MONTHS)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49215"/>
        <c:crosses val="autoZero"/>
        <c:crossBetween val="midCat"/>
      </c:valAx>
      <c:valAx>
        <c:axId val="75049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FLOW</a:t>
                </a:r>
                <a:r>
                  <a:rPr lang="en-IN" baseline="0"/>
                  <a:t> RATE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487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WOR &amp; WOR' V/S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WOR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'Well_B-2'!$S$2:$S$57</c:f>
              <c:numCache>
                <c:formatCode>General</c:formatCode>
                <c:ptCount val="56"/>
                <c:pt idx="0">
                  <c:v>0</c:v>
                </c:pt>
                <c:pt idx="1">
                  <c:v>31</c:v>
                </c:pt>
                <c:pt idx="2">
                  <c:v>61</c:v>
                </c:pt>
                <c:pt idx="3">
                  <c:v>92</c:v>
                </c:pt>
                <c:pt idx="4">
                  <c:v>122</c:v>
                </c:pt>
                <c:pt idx="5">
                  <c:v>153</c:v>
                </c:pt>
                <c:pt idx="6">
                  <c:v>184</c:v>
                </c:pt>
                <c:pt idx="7">
                  <c:v>214</c:v>
                </c:pt>
                <c:pt idx="8">
                  <c:v>245</c:v>
                </c:pt>
                <c:pt idx="9">
                  <c:v>275</c:v>
                </c:pt>
                <c:pt idx="10">
                  <c:v>306</c:v>
                </c:pt>
                <c:pt idx="11">
                  <c:v>337</c:v>
                </c:pt>
                <c:pt idx="12">
                  <c:v>365</c:v>
                </c:pt>
                <c:pt idx="13">
                  <c:v>396</c:v>
                </c:pt>
                <c:pt idx="14">
                  <c:v>426</c:v>
                </c:pt>
                <c:pt idx="15">
                  <c:v>457</c:v>
                </c:pt>
                <c:pt idx="16">
                  <c:v>487</c:v>
                </c:pt>
                <c:pt idx="17">
                  <c:v>518</c:v>
                </c:pt>
                <c:pt idx="18">
                  <c:v>549</c:v>
                </c:pt>
                <c:pt idx="19">
                  <c:v>579</c:v>
                </c:pt>
                <c:pt idx="20">
                  <c:v>610</c:v>
                </c:pt>
                <c:pt idx="21">
                  <c:v>640</c:v>
                </c:pt>
                <c:pt idx="22">
                  <c:v>671</c:v>
                </c:pt>
                <c:pt idx="23">
                  <c:v>702</c:v>
                </c:pt>
                <c:pt idx="24">
                  <c:v>730</c:v>
                </c:pt>
                <c:pt idx="25">
                  <c:v>761</c:v>
                </c:pt>
                <c:pt idx="26">
                  <c:v>791</c:v>
                </c:pt>
                <c:pt idx="27">
                  <c:v>822</c:v>
                </c:pt>
                <c:pt idx="28">
                  <c:v>852</c:v>
                </c:pt>
                <c:pt idx="29">
                  <c:v>883</c:v>
                </c:pt>
                <c:pt idx="30">
                  <c:v>914</c:v>
                </c:pt>
                <c:pt idx="31">
                  <c:v>944</c:v>
                </c:pt>
                <c:pt idx="32">
                  <c:v>975</c:v>
                </c:pt>
                <c:pt idx="33">
                  <c:v>1005</c:v>
                </c:pt>
                <c:pt idx="34">
                  <c:v>1036</c:v>
                </c:pt>
                <c:pt idx="35">
                  <c:v>1067</c:v>
                </c:pt>
                <c:pt idx="36">
                  <c:v>1096</c:v>
                </c:pt>
                <c:pt idx="37">
                  <c:v>1127</c:v>
                </c:pt>
                <c:pt idx="38">
                  <c:v>1157</c:v>
                </c:pt>
                <c:pt idx="39">
                  <c:v>1188</c:v>
                </c:pt>
                <c:pt idx="40">
                  <c:v>1218</c:v>
                </c:pt>
                <c:pt idx="41">
                  <c:v>1249</c:v>
                </c:pt>
                <c:pt idx="42">
                  <c:v>1280</c:v>
                </c:pt>
                <c:pt idx="43">
                  <c:v>1310</c:v>
                </c:pt>
                <c:pt idx="44">
                  <c:v>1341</c:v>
                </c:pt>
                <c:pt idx="45">
                  <c:v>1371</c:v>
                </c:pt>
                <c:pt idx="46">
                  <c:v>1402</c:v>
                </c:pt>
                <c:pt idx="47">
                  <c:v>1433</c:v>
                </c:pt>
                <c:pt idx="48">
                  <c:v>1461</c:v>
                </c:pt>
                <c:pt idx="49">
                  <c:v>1492</c:v>
                </c:pt>
                <c:pt idx="50">
                  <c:v>1522</c:v>
                </c:pt>
                <c:pt idx="51">
                  <c:v>1553</c:v>
                </c:pt>
                <c:pt idx="52">
                  <c:v>1583</c:v>
                </c:pt>
                <c:pt idx="53">
                  <c:v>1614</c:v>
                </c:pt>
                <c:pt idx="54">
                  <c:v>1645</c:v>
                </c:pt>
                <c:pt idx="55">
                  <c:v>1675</c:v>
                </c:pt>
              </c:numCache>
            </c:numRef>
          </c:xVal>
          <c:yVal>
            <c:numRef>
              <c:f>'Well_B-2'!$T$2:$T$57</c:f>
              <c:numCache>
                <c:formatCode>General</c:formatCode>
                <c:ptCount val="56"/>
                <c:pt idx="0">
                  <c:v>0</c:v>
                </c:pt>
                <c:pt idx="1">
                  <c:v>5.0492545418937959E-3</c:v>
                </c:pt>
                <c:pt idx="2">
                  <c:v>3.0042533099274666E-3</c:v>
                </c:pt>
                <c:pt idx="3">
                  <c:v>5.7310664270304561E-3</c:v>
                </c:pt>
                <c:pt idx="4">
                  <c:v>9.7198220231974938E-3</c:v>
                </c:pt>
                <c:pt idx="5">
                  <c:v>8.043124003342934E-3</c:v>
                </c:pt>
                <c:pt idx="6">
                  <c:v>1.0653833765739326E-2</c:v>
                </c:pt>
                <c:pt idx="7">
                  <c:v>1.2159576856237806E-2</c:v>
                </c:pt>
                <c:pt idx="8">
                  <c:v>1.4717636314518598E-2</c:v>
                </c:pt>
                <c:pt idx="9">
                  <c:v>2.4925303279310463E-2</c:v>
                </c:pt>
                <c:pt idx="10">
                  <c:v>0.10430100327120383</c:v>
                </c:pt>
                <c:pt idx="11">
                  <c:v>4.2233413905300943E-2</c:v>
                </c:pt>
                <c:pt idx="12">
                  <c:v>2.1883006881085517E-2</c:v>
                </c:pt>
                <c:pt idx="13">
                  <c:v>2.5314712673542388E-2</c:v>
                </c:pt>
                <c:pt idx="14">
                  <c:v>2.4674375744268603E-2</c:v>
                </c:pt>
                <c:pt idx="15">
                  <c:v>2.5264284094688911E-2</c:v>
                </c:pt>
                <c:pt idx="16">
                  <c:v>2.3912289402307264E-2</c:v>
                </c:pt>
                <c:pt idx="17">
                  <c:v>2.7988040077398607E-2</c:v>
                </c:pt>
                <c:pt idx="18">
                  <c:v>1.61099859894594E-2</c:v>
                </c:pt>
                <c:pt idx="19">
                  <c:v>1.3449392367663716E-2</c:v>
                </c:pt>
                <c:pt idx="20">
                  <c:v>1.1123989956553363E-2</c:v>
                </c:pt>
                <c:pt idx="21">
                  <c:v>1.4201981589105139E-2</c:v>
                </c:pt>
                <c:pt idx="22">
                  <c:v>1.5010247497489495E-2</c:v>
                </c:pt>
                <c:pt idx="23">
                  <c:v>1.7669266508532042E-2</c:v>
                </c:pt>
                <c:pt idx="24">
                  <c:v>2.0717638720348316E-2</c:v>
                </c:pt>
                <c:pt idx="25">
                  <c:v>2.2446428272804943E-2</c:v>
                </c:pt>
                <c:pt idx="26">
                  <c:v>1.9204050454180891E-2</c:v>
                </c:pt>
                <c:pt idx="27">
                  <c:v>2.8099579431743207E-2</c:v>
                </c:pt>
                <c:pt idx="28">
                  <c:v>1.4534765087701349E-2</c:v>
                </c:pt>
                <c:pt idx="29">
                  <c:v>1.1792433640962812E-2</c:v>
                </c:pt>
                <c:pt idx="30">
                  <c:v>6.3380590666600204E-3</c:v>
                </c:pt>
                <c:pt idx="31">
                  <c:v>6.9580774909327432E-6</c:v>
                </c:pt>
                <c:pt idx="32">
                  <c:v>2.3179236393889285E-3</c:v>
                </c:pt>
                <c:pt idx="33">
                  <c:v>1.4172763096794256E-2</c:v>
                </c:pt>
                <c:pt idx="34">
                  <c:v>2.6176865156699987E-2</c:v>
                </c:pt>
                <c:pt idx="35">
                  <c:v>5.2163866945304511E-2</c:v>
                </c:pt>
                <c:pt idx="36">
                  <c:v>7.3854798475830541E-2</c:v>
                </c:pt>
                <c:pt idx="37">
                  <c:v>5.7691825395789339E-3</c:v>
                </c:pt>
                <c:pt idx="38">
                  <c:v>0</c:v>
                </c:pt>
                <c:pt idx="39">
                  <c:v>2.7595277226051098E-3</c:v>
                </c:pt>
                <c:pt idx="40">
                  <c:v>1.2033903820787109E-2</c:v>
                </c:pt>
                <c:pt idx="41">
                  <c:v>1.1766190793655663E-2</c:v>
                </c:pt>
                <c:pt idx="42">
                  <c:v>1.147258874433643E-2</c:v>
                </c:pt>
                <c:pt idx="43">
                  <c:v>3.060196858189152E-3</c:v>
                </c:pt>
                <c:pt idx="44">
                  <c:v>0</c:v>
                </c:pt>
                <c:pt idx="45">
                  <c:v>1.2531052141418473E-2</c:v>
                </c:pt>
                <c:pt idx="46">
                  <c:v>3.9744447422991967E-3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1.3043823376968113E-4</c:v>
                </c:pt>
                <c:pt idx="54">
                  <c:v>1.3668710711941126E-3</c:v>
                </c:pt>
                <c:pt idx="55">
                  <c:v>3.7240412644173318E-3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3BCF-4068-BB7D-6759792B2D58}"/>
            </c:ext>
          </c:extLst>
        </c:ser>
        <c:ser>
          <c:idx val="1"/>
          <c:order val="1"/>
          <c:tx>
            <c:v>WOR'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'Well_B-2'!$S$2:$S$57</c:f>
              <c:numCache>
                <c:formatCode>General</c:formatCode>
                <c:ptCount val="56"/>
                <c:pt idx="0">
                  <c:v>0</c:v>
                </c:pt>
                <c:pt idx="1">
                  <c:v>31</c:v>
                </c:pt>
                <c:pt idx="2">
                  <c:v>61</c:v>
                </c:pt>
                <c:pt idx="3">
                  <c:v>92</c:v>
                </c:pt>
                <c:pt idx="4">
                  <c:v>122</c:v>
                </c:pt>
                <c:pt idx="5">
                  <c:v>153</c:v>
                </c:pt>
                <c:pt idx="6">
                  <c:v>184</c:v>
                </c:pt>
                <c:pt idx="7">
                  <c:v>214</c:v>
                </c:pt>
                <c:pt idx="8">
                  <c:v>245</c:v>
                </c:pt>
                <c:pt idx="9">
                  <c:v>275</c:v>
                </c:pt>
                <c:pt idx="10">
                  <c:v>306</c:v>
                </c:pt>
                <c:pt idx="11">
                  <c:v>337</c:v>
                </c:pt>
                <c:pt idx="12">
                  <c:v>365</c:v>
                </c:pt>
                <c:pt idx="13">
                  <c:v>396</c:v>
                </c:pt>
                <c:pt idx="14">
                  <c:v>426</c:v>
                </c:pt>
                <c:pt idx="15">
                  <c:v>457</c:v>
                </c:pt>
                <c:pt idx="16">
                  <c:v>487</c:v>
                </c:pt>
                <c:pt idx="17">
                  <c:v>518</c:v>
                </c:pt>
                <c:pt idx="18">
                  <c:v>549</c:v>
                </c:pt>
                <c:pt idx="19">
                  <c:v>579</c:v>
                </c:pt>
                <c:pt idx="20">
                  <c:v>610</c:v>
                </c:pt>
                <c:pt idx="21">
                  <c:v>640</c:v>
                </c:pt>
                <c:pt idx="22">
                  <c:v>671</c:v>
                </c:pt>
                <c:pt idx="23">
                  <c:v>702</c:v>
                </c:pt>
                <c:pt idx="24">
                  <c:v>730</c:v>
                </c:pt>
                <c:pt idx="25">
                  <c:v>761</c:v>
                </c:pt>
                <c:pt idx="26">
                  <c:v>791</c:v>
                </c:pt>
                <c:pt idx="27">
                  <c:v>822</c:v>
                </c:pt>
                <c:pt idx="28">
                  <c:v>852</c:v>
                </c:pt>
                <c:pt idx="29">
                  <c:v>883</c:v>
                </c:pt>
                <c:pt idx="30">
                  <c:v>914</c:v>
                </c:pt>
                <c:pt idx="31">
                  <c:v>944</c:v>
                </c:pt>
                <c:pt idx="32">
                  <c:v>975</c:v>
                </c:pt>
                <c:pt idx="33">
                  <c:v>1005</c:v>
                </c:pt>
                <c:pt idx="34">
                  <c:v>1036</c:v>
                </c:pt>
                <c:pt idx="35">
                  <c:v>1067</c:v>
                </c:pt>
                <c:pt idx="36">
                  <c:v>1096</c:v>
                </c:pt>
                <c:pt idx="37">
                  <c:v>1127</c:v>
                </c:pt>
                <c:pt idx="38">
                  <c:v>1157</c:v>
                </c:pt>
                <c:pt idx="39">
                  <c:v>1188</c:v>
                </c:pt>
                <c:pt idx="40">
                  <c:v>1218</c:v>
                </c:pt>
                <c:pt idx="41">
                  <c:v>1249</c:v>
                </c:pt>
                <c:pt idx="42">
                  <c:v>1280</c:v>
                </c:pt>
                <c:pt idx="43">
                  <c:v>1310</c:v>
                </c:pt>
                <c:pt idx="44">
                  <c:v>1341</c:v>
                </c:pt>
                <c:pt idx="45">
                  <c:v>1371</c:v>
                </c:pt>
                <c:pt idx="46">
                  <c:v>1402</c:v>
                </c:pt>
                <c:pt idx="47">
                  <c:v>1433</c:v>
                </c:pt>
                <c:pt idx="48">
                  <c:v>1461</c:v>
                </c:pt>
                <c:pt idx="49">
                  <c:v>1492</c:v>
                </c:pt>
                <c:pt idx="50">
                  <c:v>1522</c:v>
                </c:pt>
                <c:pt idx="51">
                  <c:v>1553</c:v>
                </c:pt>
                <c:pt idx="52">
                  <c:v>1583</c:v>
                </c:pt>
                <c:pt idx="53">
                  <c:v>1614</c:v>
                </c:pt>
                <c:pt idx="54">
                  <c:v>1645</c:v>
                </c:pt>
                <c:pt idx="55">
                  <c:v>1675</c:v>
                </c:pt>
              </c:numCache>
            </c:numRef>
          </c:xVal>
          <c:yVal>
            <c:numRef>
              <c:f>'Well_B-2'!$U$2:$U$57</c:f>
              <c:numCache>
                <c:formatCode>General</c:formatCode>
                <c:ptCount val="56"/>
                <c:pt idx="1">
                  <c:v>4.9250054261106009E-5</c:v>
                </c:pt>
                <c:pt idx="2">
                  <c:v>1.1177244018633773E-5</c:v>
                </c:pt>
                <c:pt idx="3">
                  <c:v>1.1009129038147585E-4</c:v>
                </c:pt>
                <c:pt idx="4">
                  <c:v>3.7902583218237346E-5</c:v>
                </c:pt>
                <c:pt idx="5">
                  <c:v>1.5064705524868259E-5</c:v>
                </c:pt>
                <c:pt idx="6">
                  <c:v>6.7482833654014299E-5</c:v>
                </c:pt>
                <c:pt idx="7">
                  <c:v>6.66197139144143E-5</c:v>
                </c:pt>
                <c:pt idx="8">
                  <c:v>2.0927420365692879E-4</c:v>
                </c:pt>
                <c:pt idx="9">
                  <c:v>1.4685797861751677E-3</c:v>
                </c:pt>
                <c:pt idx="10">
                  <c:v>2.7916307461274965E-4</c:v>
                </c:pt>
                <c:pt idx="11">
                  <c:v>-1.3969151930528527E-3</c:v>
                </c:pt>
                <c:pt idx="12">
                  <c:v>-2.867576479959077E-4</c:v>
                </c:pt>
                <c:pt idx="13">
                  <c:v>4.5760145298083382E-5</c:v>
                </c:pt>
                <c:pt idx="14">
                  <c:v>-8.266980139914301E-7</c:v>
                </c:pt>
                <c:pt idx="15">
                  <c:v>-1.2493218720677702E-5</c:v>
                </c:pt>
                <c:pt idx="16">
                  <c:v>4.4651737421470428E-5</c:v>
                </c:pt>
                <c:pt idx="17">
                  <c:v>-1.2584360343303005E-4</c:v>
                </c:pt>
                <c:pt idx="18">
                  <c:v>-2.3833848704483428E-4</c:v>
                </c:pt>
                <c:pt idx="19">
                  <c:v>-8.1737639883705518E-5</c:v>
                </c:pt>
                <c:pt idx="20">
                  <c:v>1.2337528220351183E-5</c:v>
                </c:pt>
                <c:pt idx="21">
                  <c:v>6.3709140015346413E-5</c:v>
                </c:pt>
                <c:pt idx="22">
                  <c:v>5.5923950313337157E-5</c:v>
                </c:pt>
                <c:pt idx="23">
                  <c:v>9.6735444455234255E-5</c:v>
                </c:pt>
                <c:pt idx="24">
                  <c:v>8.0968843462252545E-5</c:v>
                </c:pt>
                <c:pt idx="25">
                  <c:v>-2.4812922396187289E-5</c:v>
                </c:pt>
                <c:pt idx="26">
                  <c:v>9.2674609162922362E-5</c:v>
                </c:pt>
                <c:pt idx="27">
                  <c:v>-7.6545661745566255E-5</c:v>
                </c:pt>
                <c:pt idx="28">
                  <c:v>-2.6733025886525234E-4</c:v>
                </c:pt>
                <c:pt idx="29">
                  <c:v>-1.3220493582324726E-4</c:v>
                </c:pt>
                <c:pt idx="30">
                  <c:v>-1.9320451743396521E-4</c:v>
                </c:pt>
                <c:pt idx="31">
                  <c:v>-6.590385946346052E-5</c:v>
                </c:pt>
                <c:pt idx="32">
                  <c:v>2.3222631179185775E-4</c:v>
                </c:pt>
                <c:pt idx="33">
                  <c:v>3.9113018880837795E-4</c:v>
                </c:pt>
                <c:pt idx="34">
                  <c:v>6.1275973949210085E-4</c:v>
                </c:pt>
                <c:pt idx="35">
                  <c:v>7.9463222198550927E-4</c:v>
                </c:pt>
                <c:pt idx="36">
                  <c:v>-7.7324474009542632E-4</c:v>
                </c:pt>
                <c:pt idx="37">
                  <c:v>-1.2107344012431236E-3</c:v>
                </c:pt>
                <c:pt idx="38">
                  <c:v>-4.9338603556947938E-5</c:v>
                </c:pt>
                <c:pt idx="39">
                  <c:v>1.9727711181618212E-4</c:v>
                </c:pt>
                <c:pt idx="40">
                  <c:v>1.4765021427951726E-4</c:v>
                </c:pt>
                <c:pt idx="41">
                  <c:v>-9.05346897501095E-6</c:v>
                </c:pt>
                <c:pt idx="42">
                  <c:v>-1.4272121205682808E-4</c:v>
                </c:pt>
                <c:pt idx="43">
                  <c:v>-1.8807522531699066E-4</c:v>
                </c:pt>
                <c:pt idx="44">
                  <c:v>1.5525992267589054E-4</c:v>
                </c:pt>
                <c:pt idx="45">
                  <c:v>6.5154831840970434E-5</c:v>
                </c:pt>
                <c:pt idx="46">
                  <c:v>-2.0211374421642698E-4</c:v>
                </c:pt>
                <c:pt idx="47">
                  <c:v>-6.7363470208460966E-5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2.1383317011423134E-6</c:v>
                </c:pt>
                <c:pt idx="53">
                  <c:v>2.2046307599905042E-5</c:v>
                </c:pt>
                <c:pt idx="54">
                  <c:v>5.8911525092584437E-5</c:v>
                </c:pt>
                <c:pt idx="55">
                  <c:v>8.3092466333988611E-7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3BCF-4068-BB7D-6759792B2D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919279"/>
        <c:axId val="2086919759"/>
      </c:scatterChart>
      <c:valAx>
        <c:axId val="2086919279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919759"/>
        <c:crosses val="autoZero"/>
        <c:crossBetween val="midCat"/>
      </c:valAx>
      <c:valAx>
        <c:axId val="2086919759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WOR</a:t>
                </a:r>
                <a:r>
                  <a:rPr lang="en-IN" baseline="0"/>
                  <a:t> &amp; WOR'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9192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EXPONENTIAL</a:t>
            </a:r>
            <a:r>
              <a:rPr lang="en-IN" baseline="0"/>
              <a:t> PLOT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16348381452318461"/>
          <c:y val="0.14856481481481484"/>
          <c:w val="0.65497485366925867"/>
          <c:h val="0.64586431904345276"/>
        </c:manualLayout>
      </c:layout>
      <c:scatterChart>
        <c:scatterStyle val="lineMarker"/>
        <c:varyColors val="0"/>
        <c:ser>
          <c:idx val="0"/>
          <c:order val="0"/>
          <c:tx>
            <c:v>PRODUCTION HISTORY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'Well_B-2'!$W$3:$W$58</c:f>
              <c:numCache>
                <c:formatCode>General</c:formatCode>
                <c:ptCount val="56"/>
                <c:pt idx="0">
                  <c:v>0</c:v>
                </c:pt>
                <c:pt idx="1">
                  <c:v>31</c:v>
                </c:pt>
                <c:pt idx="2">
                  <c:v>61</c:v>
                </c:pt>
                <c:pt idx="3">
                  <c:v>92</c:v>
                </c:pt>
                <c:pt idx="4">
                  <c:v>122</c:v>
                </c:pt>
                <c:pt idx="5">
                  <c:v>153</c:v>
                </c:pt>
                <c:pt idx="6">
                  <c:v>184</c:v>
                </c:pt>
                <c:pt idx="7">
                  <c:v>214</c:v>
                </c:pt>
                <c:pt idx="8">
                  <c:v>245</c:v>
                </c:pt>
                <c:pt idx="9">
                  <c:v>275</c:v>
                </c:pt>
                <c:pt idx="10">
                  <c:v>306</c:v>
                </c:pt>
                <c:pt idx="11">
                  <c:v>337</c:v>
                </c:pt>
                <c:pt idx="12">
                  <c:v>365</c:v>
                </c:pt>
                <c:pt idx="13">
                  <c:v>396</c:v>
                </c:pt>
                <c:pt idx="14">
                  <c:v>426</c:v>
                </c:pt>
                <c:pt idx="15">
                  <c:v>457</c:v>
                </c:pt>
                <c:pt idx="16">
                  <c:v>487</c:v>
                </c:pt>
                <c:pt idx="17">
                  <c:v>518</c:v>
                </c:pt>
                <c:pt idx="18">
                  <c:v>549</c:v>
                </c:pt>
                <c:pt idx="19">
                  <c:v>579</c:v>
                </c:pt>
                <c:pt idx="20">
                  <c:v>610</c:v>
                </c:pt>
                <c:pt idx="21">
                  <c:v>640</c:v>
                </c:pt>
                <c:pt idx="22">
                  <c:v>671</c:v>
                </c:pt>
                <c:pt idx="23">
                  <c:v>702</c:v>
                </c:pt>
                <c:pt idx="24">
                  <c:v>730</c:v>
                </c:pt>
                <c:pt idx="25">
                  <c:v>761</c:v>
                </c:pt>
                <c:pt idx="26">
                  <c:v>791</c:v>
                </c:pt>
                <c:pt idx="27">
                  <c:v>822</c:v>
                </c:pt>
                <c:pt idx="28">
                  <c:v>852</c:v>
                </c:pt>
                <c:pt idx="29">
                  <c:v>883</c:v>
                </c:pt>
                <c:pt idx="30">
                  <c:v>914</c:v>
                </c:pt>
                <c:pt idx="31">
                  <c:v>944</c:v>
                </c:pt>
                <c:pt idx="32">
                  <c:v>975</c:v>
                </c:pt>
                <c:pt idx="33">
                  <c:v>1005</c:v>
                </c:pt>
                <c:pt idx="34">
                  <c:v>1036</c:v>
                </c:pt>
                <c:pt idx="35">
                  <c:v>1067</c:v>
                </c:pt>
                <c:pt idx="36">
                  <c:v>1096</c:v>
                </c:pt>
                <c:pt idx="37">
                  <c:v>1127</c:v>
                </c:pt>
                <c:pt idx="38">
                  <c:v>1157</c:v>
                </c:pt>
                <c:pt idx="39">
                  <c:v>1188</c:v>
                </c:pt>
                <c:pt idx="40">
                  <c:v>1218</c:v>
                </c:pt>
                <c:pt idx="41">
                  <c:v>1249</c:v>
                </c:pt>
                <c:pt idx="42">
                  <c:v>1280</c:v>
                </c:pt>
                <c:pt idx="43">
                  <c:v>1310</c:v>
                </c:pt>
                <c:pt idx="44">
                  <c:v>1341</c:v>
                </c:pt>
                <c:pt idx="45">
                  <c:v>1371</c:v>
                </c:pt>
                <c:pt idx="46">
                  <c:v>1402</c:v>
                </c:pt>
                <c:pt idx="47">
                  <c:v>1433</c:v>
                </c:pt>
                <c:pt idx="48">
                  <c:v>1461</c:v>
                </c:pt>
                <c:pt idx="49">
                  <c:v>1492</c:v>
                </c:pt>
                <c:pt idx="50">
                  <c:v>1522</c:v>
                </c:pt>
                <c:pt idx="51">
                  <c:v>1553</c:v>
                </c:pt>
                <c:pt idx="52">
                  <c:v>1583</c:v>
                </c:pt>
                <c:pt idx="53">
                  <c:v>1614</c:v>
                </c:pt>
                <c:pt idx="54">
                  <c:v>1645</c:v>
                </c:pt>
                <c:pt idx="55">
                  <c:v>1675</c:v>
                </c:pt>
              </c:numCache>
            </c:numRef>
          </c:xVal>
          <c:yVal>
            <c:numRef>
              <c:f>'Well_B-2'!$C$2:$C$57</c:f>
              <c:numCache>
                <c:formatCode>0</c:formatCode>
                <c:ptCount val="56"/>
                <c:pt idx="0">
                  <c:v>406.09529032258064</c:v>
                </c:pt>
                <c:pt idx="1">
                  <c:v>554.87133333333327</c:v>
                </c:pt>
                <c:pt idx="2">
                  <c:v>406.7723870967742</c:v>
                </c:pt>
                <c:pt idx="3">
                  <c:v>377.68360000000001</c:v>
                </c:pt>
                <c:pt idx="4">
                  <c:v>406.6568387096774</c:v>
                </c:pt>
                <c:pt idx="5">
                  <c:v>418.67783870967747</c:v>
                </c:pt>
                <c:pt idx="6">
                  <c:v>412.20263333333332</c:v>
                </c:pt>
                <c:pt idx="7">
                  <c:v>359.38674193548388</c:v>
                </c:pt>
                <c:pt idx="8">
                  <c:v>367.94686666666672</c:v>
                </c:pt>
                <c:pt idx="9">
                  <c:v>360.94429032258063</c:v>
                </c:pt>
                <c:pt idx="10">
                  <c:v>307.70954838709673</c:v>
                </c:pt>
                <c:pt idx="11">
                  <c:v>293.29000000000002</c:v>
                </c:pt>
                <c:pt idx="12">
                  <c:v>277.15525806451615</c:v>
                </c:pt>
                <c:pt idx="13">
                  <c:v>283.78753333333333</c:v>
                </c:pt>
                <c:pt idx="14">
                  <c:v>286.19241935483871</c:v>
                </c:pt>
                <c:pt idx="15">
                  <c:v>266.96826666666664</c:v>
                </c:pt>
                <c:pt idx="16">
                  <c:v>223.49600000000001</c:v>
                </c:pt>
                <c:pt idx="17">
                  <c:v>241.56483870967699</c:v>
                </c:pt>
                <c:pt idx="18">
                  <c:v>467.29103333333302</c:v>
                </c:pt>
                <c:pt idx="19">
                  <c:v>532.035967741935</c:v>
                </c:pt>
                <c:pt idx="20">
                  <c:v>490.60183333333333</c:v>
                </c:pt>
                <c:pt idx="21">
                  <c:v>430.12399999999997</c:v>
                </c:pt>
                <c:pt idx="22">
                  <c:v>439.60693548387098</c:v>
                </c:pt>
                <c:pt idx="23">
                  <c:v>437.63192857142798</c:v>
                </c:pt>
                <c:pt idx="24">
                  <c:v>445.02332258064502</c:v>
                </c:pt>
                <c:pt idx="25">
                  <c:v>426.56020000000001</c:v>
                </c:pt>
                <c:pt idx="26">
                  <c:v>381.16474193548385</c:v>
                </c:pt>
                <c:pt idx="27">
                  <c:v>440.79249999999996</c:v>
                </c:pt>
                <c:pt idx="28">
                  <c:v>431.33187096774196</c:v>
                </c:pt>
                <c:pt idx="29">
                  <c:v>356.60480645161289</c:v>
                </c:pt>
                <c:pt idx="30">
                  <c:v>504.89283333333333</c:v>
                </c:pt>
                <c:pt idx="31">
                  <c:v>524.89470967741943</c:v>
                </c:pt>
                <c:pt idx="32">
                  <c:v>518.01663333333329</c:v>
                </c:pt>
                <c:pt idx="33">
                  <c:v>465.56948387096776</c:v>
                </c:pt>
                <c:pt idx="34">
                  <c:v>279.93496774193551</c:v>
                </c:pt>
                <c:pt idx="35">
                  <c:v>262.31058620689652</c:v>
                </c:pt>
                <c:pt idx="36">
                  <c:v>325.98187096774194</c:v>
                </c:pt>
                <c:pt idx="37">
                  <c:v>349.82203333333331</c:v>
                </c:pt>
                <c:pt idx="38">
                  <c:v>335.56454838709681</c:v>
                </c:pt>
                <c:pt idx="39">
                  <c:v>343.71889999999996</c:v>
                </c:pt>
                <c:pt idx="40">
                  <c:v>358.53700000000003</c:v>
                </c:pt>
                <c:pt idx="41">
                  <c:v>366.09116129032253</c:v>
                </c:pt>
                <c:pt idx="42">
                  <c:v>306.54256666666669</c:v>
                </c:pt>
                <c:pt idx="43">
                  <c:v>230.20009677419355</c:v>
                </c:pt>
                <c:pt idx="44">
                  <c:v>229.49789999999999</c:v>
                </c:pt>
                <c:pt idx="45">
                  <c:v>110.70141935483872</c:v>
                </c:pt>
                <c:pt idx="46">
                  <c:v>237.17990322580647</c:v>
                </c:pt>
                <c:pt idx="47">
                  <c:v>244.41132142857143</c:v>
                </c:pt>
                <c:pt idx="48">
                  <c:v>274.05932258064519</c:v>
                </c:pt>
                <c:pt idx="49">
                  <c:v>221.52253333333334</c:v>
                </c:pt>
                <c:pt idx="50">
                  <c:v>208.84990322580646</c:v>
                </c:pt>
                <c:pt idx="51">
                  <c:v>244.4365</c:v>
                </c:pt>
                <c:pt idx="52">
                  <c:v>239.31180645161291</c:v>
                </c:pt>
                <c:pt idx="53">
                  <c:v>225.5476129032258</c:v>
                </c:pt>
                <c:pt idx="54">
                  <c:v>190.96663333333333</c:v>
                </c:pt>
                <c:pt idx="55">
                  <c:v>205.40074193548386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E4D-47DB-A3BD-34161F52DC35}"/>
            </c:ext>
          </c:extLst>
        </c:ser>
        <c:ser>
          <c:idx val="1"/>
          <c:order val="1"/>
          <c:tx>
            <c:v>NEW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5.6687769902263291E-2"/>
                  <c:y val="-0.16129436020691737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="1" baseline="0"/>
                      <a:t>y = 4580.8e</a:t>
                    </a:r>
                    <a:r>
                      <a:rPr lang="en-US" b="1" baseline="30000"/>
                      <a:t>-0.002x</a:t>
                    </a:r>
                    <a:br>
                      <a:rPr lang="en-US" baseline="0"/>
                    </a:br>
                    <a:r>
                      <a:rPr lang="en-US" baseline="0"/>
                      <a:t>R² = 0.789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'Well_B-2'!$W$51:$W$58</c:f>
              <c:numCache>
                <c:formatCode>General</c:formatCode>
                <c:ptCount val="8"/>
                <c:pt idx="0">
                  <c:v>1461</c:v>
                </c:pt>
                <c:pt idx="1">
                  <c:v>1492</c:v>
                </c:pt>
                <c:pt idx="2">
                  <c:v>1522</c:v>
                </c:pt>
                <c:pt idx="3">
                  <c:v>1553</c:v>
                </c:pt>
                <c:pt idx="4">
                  <c:v>1583</c:v>
                </c:pt>
                <c:pt idx="5">
                  <c:v>1614</c:v>
                </c:pt>
                <c:pt idx="6">
                  <c:v>1645</c:v>
                </c:pt>
                <c:pt idx="7">
                  <c:v>1675</c:v>
                </c:pt>
              </c:numCache>
            </c:numRef>
          </c:xVal>
          <c:yVal>
            <c:numRef>
              <c:f>'Well_B-2'!$C$50:$C$57</c:f>
              <c:numCache>
                <c:formatCode>0</c:formatCode>
                <c:ptCount val="8"/>
                <c:pt idx="0">
                  <c:v>274.05932258064519</c:v>
                </c:pt>
                <c:pt idx="1">
                  <c:v>221.52253333333334</c:v>
                </c:pt>
                <c:pt idx="2">
                  <c:v>208.84990322580646</c:v>
                </c:pt>
                <c:pt idx="3">
                  <c:v>244.4365</c:v>
                </c:pt>
                <c:pt idx="4">
                  <c:v>239.31180645161291</c:v>
                </c:pt>
                <c:pt idx="5">
                  <c:v>225.5476129032258</c:v>
                </c:pt>
                <c:pt idx="6">
                  <c:v>190.96663333333333</c:v>
                </c:pt>
                <c:pt idx="7">
                  <c:v>205.40074193548386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E4D-47DB-A3BD-34161F52DC35}"/>
            </c:ext>
          </c:extLst>
        </c:ser>
        <c:ser>
          <c:idx val="2"/>
          <c:order val="2"/>
          <c:tx>
            <c:v>EXTRAPOLATION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'Well_B-2'!$AA$54:$AA$641</c:f>
              <c:numCache>
                <c:formatCode>General</c:formatCode>
                <c:ptCount val="588"/>
                <c:pt idx="0">
                  <c:v>1553</c:v>
                </c:pt>
                <c:pt idx="1">
                  <c:v>1583</c:v>
                </c:pt>
                <c:pt idx="2">
                  <c:v>1614</c:v>
                </c:pt>
                <c:pt idx="3">
                  <c:v>1645</c:v>
                </c:pt>
                <c:pt idx="4">
                  <c:v>1675</c:v>
                </c:pt>
                <c:pt idx="5">
                  <c:v>1676</c:v>
                </c:pt>
                <c:pt idx="6">
                  <c:v>1677</c:v>
                </c:pt>
                <c:pt idx="7">
                  <c:v>1678</c:v>
                </c:pt>
                <c:pt idx="8">
                  <c:v>1679</c:v>
                </c:pt>
                <c:pt idx="9">
                  <c:v>1680</c:v>
                </c:pt>
                <c:pt idx="10">
                  <c:v>1681</c:v>
                </c:pt>
                <c:pt idx="11">
                  <c:v>1682</c:v>
                </c:pt>
                <c:pt idx="12">
                  <c:v>1683</c:v>
                </c:pt>
                <c:pt idx="13">
                  <c:v>1684</c:v>
                </c:pt>
                <c:pt idx="14">
                  <c:v>1685</c:v>
                </c:pt>
                <c:pt idx="15">
                  <c:v>1686</c:v>
                </c:pt>
                <c:pt idx="16">
                  <c:v>1687</c:v>
                </c:pt>
                <c:pt idx="17">
                  <c:v>1688</c:v>
                </c:pt>
                <c:pt idx="18">
                  <c:v>1689</c:v>
                </c:pt>
                <c:pt idx="19">
                  <c:v>1690</c:v>
                </c:pt>
                <c:pt idx="20">
                  <c:v>1691</c:v>
                </c:pt>
                <c:pt idx="21">
                  <c:v>1692</c:v>
                </c:pt>
                <c:pt idx="22">
                  <c:v>1693</c:v>
                </c:pt>
                <c:pt idx="23">
                  <c:v>1694</c:v>
                </c:pt>
                <c:pt idx="24">
                  <c:v>1695</c:v>
                </c:pt>
                <c:pt idx="25">
                  <c:v>1696</c:v>
                </c:pt>
                <c:pt idx="26">
                  <c:v>1697</c:v>
                </c:pt>
                <c:pt idx="27">
                  <c:v>1698</c:v>
                </c:pt>
                <c:pt idx="28">
                  <c:v>1699</c:v>
                </c:pt>
                <c:pt idx="29">
                  <c:v>1700</c:v>
                </c:pt>
                <c:pt idx="30">
                  <c:v>1701</c:v>
                </c:pt>
                <c:pt idx="31">
                  <c:v>1702</c:v>
                </c:pt>
                <c:pt idx="32">
                  <c:v>1703</c:v>
                </c:pt>
                <c:pt idx="33">
                  <c:v>1704</c:v>
                </c:pt>
                <c:pt idx="34">
                  <c:v>1705</c:v>
                </c:pt>
                <c:pt idx="35">
                  <c:v>1706</c:v>
                </c:pt>
                <c:pt idx="36">
                  <c:v>1707</c:v>
                </c:pt>
                <c:pt idx="37">
                  <c:v>1708</c:v>
                </c:pt>
                <c:pt idx="38">
                  <c:v>1709</c:v>
                </c:pt>
                <c:pt idx="39">
                  <c:v>1710</c:v>
                </c:pt>
                <c:pt idx="40">
                  <c:v>1711</c:v>
                </c:pt>
                <c:pt idx="41">
                  <c:v>1712</c:v>
                </c:pt>
                <c:pt idx="42">
                  <c:v>1713</c:v>
                </c:pt>
                <c:pt idx="43">
                  <c:v>1714</c:v>
                </c:pt>
                <c:pt idx="44">
                  <c:v>1715</c:v>
                </c:pt>
                <c:pt idx="45">
                  <c:v>1716</c:v>
                </c:pt>
                <c:pt idx="46">
                  <c:v>1717</c:v>
                </c:pt>
                <c:pt idx="47">
                  <c:v>1718</c:v>
                </c:pt>
                <c:pt idx="48">
                  <c:v>1719</c:v>
                </c:pt>
                <c:pt idx="49">
                  <c:v>1720</c:v>
                </c:pt>
                <c:pt idx="50">
                  <c:v>1721</c:v>
                </c:pt>
                <c:pt idx="51">
                  <c:v>1722</c:v>
                </c:pt>
                <c:pt idx="52">
                  <c:v>1723</c:v>
                </c:pt>
                <c:pt idx="53">
                  <c:v>1724</c:v>
                </c:pt>
                <c:pt idx="54">
                  <c:v>1725</c:v>
                </c:pt>
                <c:pt idx="55">
                  <c:v>1726</c:v>
                </c:pt>
                <c:pt idx="56">
                  <c:v>1727</c:v>
                </c:pt>
                <c:pt idx="57">
                  <c:v>1728</c:v>
                </c:pt>
                <c:pt idx="58">
                  <c:v>1729</c:v>
                </c:pt>
                <c:pt idx="59">
                  <c:v>1730</c:v>
                </c:pt>
                <c:pt idx="60">
                  <c:v>1731</c:v>
                </c:pt>
                <c:pt idx="61">
                  <c:v>1732</c:v>
                </c:pt>
                <c:pt idx="62">
                  <c:v>1733</c:v>
                </c:pt>
                <c:pt idx="63">
                  <c:v>1734</c:v>
                </c:pt>
                <c:pt idx="64">
                  <c:v>1735</c:v>
                </c:pt>
                <c:pt idx="65">
                  <c:v>1736</c:v>
                </c:pt>
                <c:pt idx="66">
                  <c:v>1737</c:v>
                </c:pt>
                <c:pt idx="67">
                  <c:v>1738</c:v>
                </c:pt>
                <c:pt idx="68">
                  <c:v>1739</c:v>
                </c:pt>
                <c:pt idx="69">
                  <c:v>1740</c:v>
                </c:pt>
                <c:pt idx="70">
                  <c:v>1741</c:v>
                </c:pt>
                <c:pt idx="71">
                  <c:v>1742</c:v>
                </c:pt>
                <c:pt idx="72">
                  <c:v>1743</c:v>
                </c:pt>
                <c:pt idx="73">
                  <c:v>1744</c:v>
                </c:pt>
                <c:pt idx="74">
                  <c:v>1745</c:v>
                </c:pt>
                <c:pt idx="75">
                  <c:v>1746</c:v>
                </c:pt>
                <c:pt idx="76">
                  <c:v>1747</c:v>
                </c:pt>
                <c:pt idx="77">
                  <c:v>1748</c:v>
                </c:pt>
                <c:pt idx="78">
                  <c:v>1749</c:v>
                </c:pt>
                <c:pt idx="79">
                  <c:v>1750</c:v>
                </c:pt>
                <c:pt idx="80">
                  <c:v>1751</c:v>
                </c:pt>
                <c:pt idx="81">
                  <c:v>1752</c:v>
                </c:pt>
                <c:pt idx="82">
                  <c:v>1753</c:v>
                </c:pt>
                <c:pt idx="83">
                  <c:v>1754</c:v>
                </c:pt>
                <c:pt idx="84">
                  <c:v>1755</c:v>
                </c:pt>
                <c:pt idx="85">
                  <c:v>1756</c:v>
                </c:pt>
                <c:pt idx="86">
                  <c:v>1757</c:v>
                </c:pt>
                <c:pt idx="87">
                  <c:v>1758</c:v>
                </c:pt>
                <c:pt idx="88">
                  <c:v>1759</c:v>
                </c:pt>
                <c:pt idx="89">
                  <c:v>1760</c:v>
                </c:pt>
                <c:pt idx="90">
                  <c:v>1761</c:v>
                </c:pt>
                <c:pt idx="91">
                  <c:v>1762</c:v>
                </c:pt>
                <c:pt idx="92">
                  <c:v>1763</c:v>
                </c:pt>
                <c:pt idx="93">
                  <c:v>1764</c:v>
                </c:pt>
                <c:pt idx="94">
                  <c:v>1765</c:v>
                </c:pt>
                <c:pt idx="95">
                  <c:v>1766</c:v>
                </c:pt>
                <c:pt idx="96">
                  <c:v>1767</c:v>
                </c:pt>
                <c:pt idx="97">
                  <c:v>1768</c:v>
                </c:pt>
                <c:pt idx="98">
                  <c:v>1769</c:v>
                </c:pt>
                <c:pt idx="99">
                  <c:v>1770</c:v>
                </c:pt>
                <c:pt idx="100">
                  <c:v>1771</c:v>
                </c:pt>
                <c:pt idx="101">
                  <c:v>1772</c:v>
                </c:pt>
                <c:pt idx="102">
                  <c:v>1773</c:v>
                </c:pt>
                <c:pt idx="103">
                  <c:v>1774</c:v>
                </c:pt>
                <c:pt idx="104">
                  <c:v>1775</c:v>
                </c:pt>
                <c:pt idx="105">
                  <c:v>1776</c:v>
                </c:pt>
                <c:pt idx="106">
                  <c:v>1777</c:v>
                </c:pt>
                <c:pt idx="107">
                  <c:v>1778</c:v>
                </c:pt>
                <c:pt idx="108">
                  <c:v>1779</c:v>
                </c:pt>
                <c:pt idx="109">
                  <c:v>1780</c:v>
                </c:pt>
                <c:pt idx="110">
                  <c:v>1781</c:v>
                </c:pt>
                <c:pt idx="111">
                  <c:v>1782</c:v>
                </c:pt>
                <c:pt idx="112">
                  <c:v>1783</c:v>
                </c:pt>
                <c:pt idx="113">
                  <c:v>1784</c:v>
                </c:pt>
                <c:pt idx="114">
                  <c:v>1785</c:v>
                </c:pt>
                <c:pt idx="115">
                  <c:v>1786</c:v>
                </c:pt>
                <c:pt idx="116">
                  <c:v>1787</c:v>
                </c:pt>
                <c:pt idx="117">
                  <c:v>1788</c:v>
                </c:pt>
                <c:pt idx="118">
                  <c:v>1789</c:v>
                </c:pt>
                <c:pt idx="119">
                  <c:v>1790</c:v>
                </c:pt>
                <c:pt idx="120">
                  <c:v>1791</c:v>
                </c:pt>
                <c:pt idx="121">
                  <c:v>1792</c:v>
                </c:pt>
                <c:pt idx="122">
                  <c:v>1793</c:v>
                </c:pt>
                <c:pt idx="123">
                  <c:v>1794</c:v>
                </c:pt>
                <c:pt idx="124">
                  <c:v>1795</c:v>
                </c:pt>
                <c:pt idx="125">
                  <c:v>1796</c:v>
                </c:pt>
                <c:pt idx="126">
                  <c:v>1797</c:v>
                </c:pt>
                <c:pt idx="127">
                  <c:v>1798</c:v>
                </c:pt>
                <c:pt idx="128">
                  <c:v>1799</c:v>
                </c:pt>
                <c:pt idx="129">
                  <c:v>1800</c:v>
                </c:pt>
                <c:pt idx="130">
                  <c:v>1801</c:v>
                </c:pt>
                <c:pt idx="131">
                  <c:v>1802</c:v>
                </c:pt>
                <c:pt idx="132">
                  <c:v>1803</c:v>
                </c:pt>
                <c:pt idx="133">
                  <c:v>1804</c:v>
                </c:pt>
                <c:pt idx="134">
                  <c:v>1805</c:v>
                </c:pt>
                <c:pt idx="135">
                  <c:v>1806</c:v>
                </c:pt>
                <c:pt idx="136">
                  <c:v>1807</c:v>
                </c:pt>
                <c:pt idx="137">
                  <c:v>1808</c:v>
                </c:pt>
                <c:pt idx="138">
                  <c:v>1809</c:v>
                </c:pt>
                <c:pt idx="139">
                  <c:v>1810</c:v>
                </c:pt>
                <c:pt idx="140">
                  <c:v>1811</c:v>
                </c:pt>
                <c:pt idx="141">
                  <c:v>1812</c:v>
                </c:pt>
                <c:pt idx="142">
                  <c:v>1813</c:v>
                </c:pt>
                <c:pt idx="143">
                  <c:v>1814</c:v>
                </c:pt>
                <c:pt idx="144">
                  <c:v>1815</c:v>
                </c:pt>
                <c:pt idx="145">
                  <c:v>1816</c:v>
                </c:pt>
                <c:pt idx="146">
                  <c:v>1817</c:v>
                </c:pt>
                <c:pt idx="147">
                  <c:v>1818</c:v>
                </c:pt>
                <c:pt idx="148">
                  <c:v>1819</c:v>
                </c:pt>
                <c:pt idx="149">
                  <c:v>1820</c:v>
                </c:pt>
                <c:pt idx="150">
                  <c:v>1821</c:v>
                </c:pt>
                <c:pt idx="151">
                  <c:v>1822</c:v>
                </c:pt>
                <c:pt idx="152">
                  <c:v>1823</c:v>
                </c:pt>
                <c:pt idx="153">
                  <c:v>1824</c:v>
                </c:pt>
                <c:pt idx="154">
                  <c:v>1825</c:v>
                </c:pt>
                <c:pt idx="155">
                  <c:v>1826</c:v>
                </c:pt>
                <c:pt idx="156">
                  <c:v>1827</c:v>
                </c:pt>
                <c:pt idx="157">
                  <c:v>1828</c:v>
                </c:pt>
                <c:pt idx="158">
                  <c:v>1829</c:v>
                </c:pt>
                <c:pt idx="159">
                  <c:v>1830</c:v>
                </c:pt>
                <c:pt idx="160">
                  <c:v>1831</c:v>
                </c:pt>
                <c:pt idx="161">
                  <c:v>1832</c:v>
                </c:pt>
                <c:pt idx="162">
                  <c:v>1833</c:v>
                </c:pt>
                <c:pt idx="163">
                  <c:v>1834</c:v>
                </c:pt>
                <c:pt idx="164">
                  <c:v>1835</c:v>
                </c:pt>
                <c:pt idx="165">
                  <c:v>1836</c:v>
                </c:pt>
                <c:pt idx="166">
                  <c:v>1837</c:v>
                </c:pt>
                <c:pt idx="167">
                  <c:v>1838</c:v>
                </c:pt>
                <c:pt idx="168">
                  <c:v>1839</c:v>
                </c:pt>
                <c:pt idx="169">
                  <c:v>1840</c:v>
                </c:pt>
                <c:pt idx="170">
                  <c:v>1841</c:v>
                </c:pt>
                <c:pt idx="171">
                  <c:v>1842</c:v>
                </c:pt>
                <c:pt idx="172">
                  <c:v>1843</c:v>
                </c:pt>
                <c:pt idx="173">
                  <c:v>1844</c:v>
                </c:pt>
                <c:pt idx="174">
                  <c:v>1845</c:v>
                </c:pt>
                <c:pt idx="175">
                  <c:v>1846</c:v>
                </c:pt>
                <c:pt idx="176">
                  <c:v>1847</c:v>
                </c:pt>
                <c:pt idx="177">
                  <c:v>1848</c:v>
                </c:pt>
                <c:pt idx="178">
                  <c:v>1849</c:v>
                </c:pt>
                <c:pt idx="179">
                  <c:v>1850</c:v>
                </c:pt>
                <c:pt idx="180">
                  <c:v>1851</c:v>
                </c:pt>
                <c:pt idx="181">
                  <c:v>1852</c:v>
                </c:pt>
                <c:pt idx="182">
                  <c:v>1853</c:v>
                </c:pt>
                <c:pt idx="183">
                  <c:v>1854</c:v>
                </c:pt>
                <c:pt idx="184">
                  <c:v>1855</c:v>
                </c:pt>
                <c:pt idx="185">
                  <c:v>1856</c:v>
                </c:pt>
                <c:pt idx="186">
                  <c:v>1857</c:v>
                </c:pt>
                <c:pt idx="187">
                  <c:v>1858</c:v>
                </c:pt>
                <c:pt idx="188">
                  <c:v>1859</c:v>
                </c:pt>
                <c:pt idx="189">
                  <c:v>1860</c:v>
                </c:pt>
                <c:pt idx="190">
                  <c:v>1861</c:v>
                </c:pt>
                <c:pt idx="191">
                  <c:v>1862</c:v>
                </c:pt>
                <c:pt idx="192">
                  <c:v>1863</c:v>
                </c:pt>
                <c:pt idx="193">
                  <c:v>1864</c:v>
                </c:pt>
                <c:pt idx="194">
                  <c:v>1865</c:v>
                </c:pt>
                <c:pt idx="195">
                  <c:v>1866</c:v>
                </c:pt>
                <c:pt idx="196">
                  <c:v>1867</c:v>
                </c:pt>
                <c:pt idx="197">
                  <c:v>1868</c:v>
                </c:pt>
                <c:pt idx="198">
                  <c:v>1869</c:v>
                </c:pt>
                <c:pt idx="199">
                  <c:v>1870</c:v>
                </c:pt>
                <c:pt idx="200">
                  <c:v>1871</c:v>
                </c:pt>
                <c:pt idx="201">
                  <c:v>1872</c:v>
                </c:pt>
                <c:pt idx="202">
                  <c:v>1873</c:v>
                </c:pt>
                <c:pt idx="203">
                  <c:v>1874</c:v>
                </c:pt>
                <c:pt idx="204">
                  <c:v>1875</c:v>
                </c:pt>
                <c:pt idx="205">
                  <c:v>1876</c:v>
                </c:pt>
                <c:pt idx="206">
                  <c:v>1877</c:v>
                </c:pt>
                <c:pt idx="207">
                  <c:v>1878</c:v>
                </c:pt>
                <c:pt idx="208">
                  <c:v>1879</c:v>
                </c:pt>
                <c:pt idx="209">
                  <c:v>1880</c:v>
                </c:pt>
                <c:pt idx="210">
                  <c:v>1881</c:v>
                </c:pt>
                <c:pt idx="211">
                  <c:v>1882</c:v>
                </c:pt>
                <c:pt idx="212">
                  <c:v>1883</c:v>
                </c:pt>
                <c:pt idx="213">
                  <c:v>1884</c:v>
                </c:pt>
                <c:pt idx="214">
                  <c:v>1885</c:v>
                </c:pt>
                <c:pt idx="215">
                  <c:v>1886</c:v>
                </c:pt>
                <c:pt idx="216">
                  <c:v>1887</c:v>
                </c:pt>
                <c:pt idx="217">
                  <c:v>1888</c:v>
                </c:pt>
                <c:pt idx="218">
                  <c:v>1889</c:v>
                </c:pt>
                <c:pt idx="219">
                  <c:v>1890</c:v>
                </c:pt>
                <c:pt idx="220">
                  <c:v>1891</c:v>
                </c:pt>
                <c:pt idx="221">
                  <c:v>1892</c:v>
                </c:pt>
                <c:pt idx="222">
                  <c:v>1893</c:v>
                </c:pt>
                <c:pt idx="223">
                  <c:v>1894</c:v>
                </c:pt>
                <c:pt idx="224">
                  <c:v>1895</c:v>
                </c:pt>
                <c:pt idx="225">
                  <c:v>1896</c:v>
                </c:pt>
                <c:pt idx="226">
                  <c:v>1897</c:v>
                </c:pt>
                <c:pt idx="227">
                  <c:v>1898</c:v>
                </c:pt>
                <c:pt idx="228">
                  <c:v>1899</c:v>
                </c:pt>
                <c:pt idx="229">
                  <c:v>1900</c:v>
                </c:pt>
                <c:pt idx="230">
                  <c:v>1901</c:v>
                </c:pt>
                <c:pt idx="231">
                  <c:v>1902</c:v>
                </c:pt>
                <c:pt idx="232">
                  <c:v>1903</c:v>
                </c:pt>
                <c:pt idx="233">
                  <c:v>1904</c:v>
                </c:pt>
                <c:pt idx="234">
                  <c:v>1905</c:v>
                </c:pt>
                <c:pt idx="235">
                  <c:v>1906</c:v>
                </c:pt>
                <c:pt idx="236">
                  <c:v>1907</c:v>
                </c:pt>
                <c:pt idx="237">
                  <c:v>1908</c:v>
                </c:pt>
                <c:pt idx="238">
                  <c:v>1909</c:v>
                </c:pt>
                <c:pt idx="239">
                  <c:v>1910</c:v>
                </c:pt>
                <c:pt idx="240">
                  <c:v>1911</c:v>
                </c:pt>
                <c:pt idx="241">
                  <c:v>1912</c:v>
                </c:pt>
                <c:pt idx="242">
                  <c:v>1913</c:v>
                </c:pt>
                <c:pt idx="243">
                  <c:v>1914</c:v>
                </c:pt>
                <c:pt idx="244">
                  <c:v>1915</c:v>
                </c:pt>
                <c:pt idx="245">
                  <c:v>1916</c:v>
                </c:pt>
                <c:pt idx="246">
                  <c:v>1917</c:v>
                </c:pt>
                <c:pt idx="247">
                  <c:v>1918</c:v>
                </c:pt>
                <c:pt idx="248">
                  <c:v>1919</c:v>
                </c:pt>
                <c:pt idx="249">
                  <c:v>1920</c:v>
                </c:pt>
                <c:pt idx="250">
                  <c:v>1921</c:v>
                </c:pt>
                <c:pt idx="251">
                  <c:v>1922</c:v>
                </c:pt>
                <c:pt idx="252">
                  <c:v>1923</c:v>
                </c:pt>
                <c:pt idx="253">
                  <c:v>1924</c:v>
                </c:pt>
                <c:pt idx="254">
                  <c:v>1925</c:v>
                </c:pt>
                <c:pt idx="255">
                  <c:v>1926</c:v>
                </c:pt>
                <c:pt idx="256">
                  <c:v>1927</c:v>
                </c:pt>
                <c:pt idx="257">
                  <c:v>1928</c:v>
                </c:pt>
                <c:pt idx="258">
                  <c:v>1929</c:v>
                </c:pt>
                <c:pt idx="259">
                  <c:v>1930</c:v>
                </c:pt>
                <c:pt idx="260">
                  <c:v>1931</c:v>
                </c:pt>
                <c:pt idx="261">
                  <c:v>1932</c:v>
                </c:pt>
                <c:pt idx="262">
                  <c:v>1933</c:v>
                </c:pt>
                <c:pt idx="263">
                  <c:v>1934</c:v>
                </c:pt>
                <c:pt idx="264">
                  <c:v>1935</c:v>
                </c:pt>
                <c:pt idx="265">
                  <c:v>1936</c:v>
                </c:pt>
                <c:pt idx="266">
                  <c:v>1937</c:v>
                </c:pt>
                <c:pt idx="267">
                  <c:v>1938</c:v>
                </c:pt>
                <c:pt idx="268">
                  <c:v>1939</c:v>
                </c:pt>
                <c:pt idx="269">
                  <c:v>1940</c:v>
                </c:pt>
                <c:pt idx="270">
                  <c:v>1941</c:v>
                </c:pt>
                <c:pt idx="271">
                  <c:v>1942</c:v>
                </c:pt>
                <c:pt idx="272">
                  <c:v>1943</c:v>
                </c:pt>
                <c:pt idx="273">
                  <c:v>1944</c:v>
                </c:pt>
                <c:pt idx="274">
                  <c:v>1945</c:v>
                </c:pt>
                <c:pt idx="275">
                  <c:v>1946</c:v>
                </c:pt>
                <c:pt idx="276">
                  <c:v>1947</c:v>
                </c:pt>
                <c:pt idx="277">
                  <c:v>1948</c:v>
                </c:pt>
                <c:pt idx="278">
                  <c:v>1949</c:v>
                </c:pt>
                <c:pt idx="279">
                  <c:v>1950</c:v>
                </c:pt>
                <c:pt idx="280">
                  <c:v>1951</c:v>
                </c:pt>
                <c:pt idx="281">
                  <c:v>1952</c:v>
                </c:pt>
                <c:pt idx="282">
                  <c:v>1953</c:v>
                </c:pt>
                <c:pt idx="283">
                  <c:v>1954</c:v>
                </c:pt>
                <c:pt idx="284">
                  <c:v>1955</c:v>
                </c:pt>
                <c:pt idx="285">
                  <c:v>1956</c:v>
                </c:pt>
                <c:pt idx="286">
                  <c:v>1957</c:v>
                </c:pt>
                <c:pt idx="287">
                  <c:v>1958</c:v>
                </c:pt>
                <c:pt idx="288">
                  <c:v>1959</c:v>
                </c:pt>
                <c:pt idx="289">
                  <c:v>1960</c:v>
                </c:pt>
                <c:pt idx="290">
                  <c:v>1961</c:v>
                </c:pt>
                <c:pt idx="291">
                  <c:v>1962</c:v>
                </c:pt>
                <c:pt idx="292">
                  <c:v>1963</c:v>
                </c:pt>
                <c:pt idx="293">
                  <c:v>1964</c:v>
                </c:pt>
                <c:pt idx="294">
                  <c:v>1965</c:v>
                </c:pt>
                <c:pt idx="295">
                  <c:v>1966</c:v>
                </c:pt>
                <c:pt idx="296">
                  <c:v>1967</c:v>
                </c:pt>
                <c:pt idx="297">
                  <c:v>1968</c:v>
                </c:pt>
                <c:pt idx="298">
                  <c:v>1969</c:v>
                </c:pt>
                <c:pt idx="299">
                  <c:v>1970</c:v>
                </c:pt>
                <c:pt idx="300">
                  <c:v>1971</c:v>
                </c:pt>
                <c:pt idx="301">
                  <c:v>1972</c:v>
                </c:pt>
                <c:pt idx="302">
                  <c:v>1973</c:v>
                </c:pt>
                <c:pt idx="303">
                  <c:v>1974</c:v>
                </c:pt>
                <c:pt idx="304">
                  <c:v>1975</c:v>
                </c:pt>
                <c:pt idx="305">
                  <c:v>1976</c:v>
                </c:pt>
                <c:pt idx="306">
                  <c:v>1977</c:v>
                </c:pt>
                <c:pt idx="307">
                  <c:v>1978</c:v>
                </c:pt>
                <c:pt idx="308">
                  <c:v>1979</c:v>
                </c:pt>
                <c:pt idx="309">
                  <c:v>1980</c:v>
                </c:pt>
                <c:pt idx="310">
                  <c:v>1981</c:v>
                </c:pt>
                <c:pt idx="311">
                  <c:v>1982</c:v>
                </c:pt>
                <c:pt idx="312">
                  <c:v>1983</c:v>
                </c:pt>
                <c:pt idx="313">
                  <c:v>1984</c:v>
                </c:pt>
                <c:pt idx="314">
                  <c:v>1985</c:v>
                </c:pt>
                <c:pt idx="315">
                  <c:v>1986</c:v>
                </c:pt>
                <c:pt idx="316">
                  <c:v>1987</c:v>
                </c:pt>
                <c:pt idx="317">
                  <c:v>1988</c:v>
                </c:pt>
                <c:pt idx="318">
                  <c:v>1989</c:v>
                </c:pt>
                <c:pt idx="319">
                  <c:v>1990</c:v>
                </c:pt>
                <c:pt idx="320">
                  <c:v>1991</c:v>
                </c:pt>
                <c:pt idx="321">
                  <c:v>1992</c:v>
                </c:pt>
                <c:pt idx="322">
                  <c:v>1993</c:v>
                </c:pt>
                <c:pt idx="323">
                  <c:v>1994</c:v>
                </c:pt>
                <c:pt idx="324">
                  <c:v>1995</c:v>
                </c:pt>
                <c:pt idx="325">
                  <c:v>1996</c:v>
                </c:pt>
                <c:pt idx="326">
                  <c:v>1997</c:v>
                </c:pt>
                <c:pt idx="327">
                  <c:v>1998</c:v>
                </c:pt>
                <c:pt idx="328">
                  <c:v>1999</c:v>
                </c:pt>
                <c:pt idx="329">
                  <c:v>2000</c:v>
                </c:pt>
                <c:pt idx="330">
                  <c:v>2001</c:v>
                </c:pt>
                <c:pt idx="331">
                  <c:v>2002</c:v>
                </c:pt>
                <c:pt idx="332">
                  <c:v>2003</c:v>
                </c:pt>
                <c:pt idx="333">
                  <c:v>2004</c:v>
                </c:pt>
                <c:pt idx="334">
                  <c:v>2005</c:v>
                </c:pt>
                <c:pt idx="335">
                  <c:v>2006</c:v>
                </c:pt>
                <c:pt idx="336">
                  <c:v>2007</c:v>
                </c:pt>
                <c:pt idx="337">
                  <c:v>2008</c:v>
                </c:pt>
                <c:pt idx="338">
                  <c:v>2009</c:v>
                </c:pt>
                <c:pt idx="339">
                  <c:v>2010</c:v>
                </c:pt>
                <c:pt idx="340">
                  <c:v>2011</c:v>
                </c:pt>
                <c:pt idx="341">
                  <c:v>2012</c:v>
                </c:pt>
                <c:pt idx="342">
                  <c:v>2013</c:v>
                </c:pt>
                <c:pt idx="343">
                  <c:v>2014</c:v>
                </c:pt>
                <c:pt idx="344">
                  <c:v>2015</c:v>
                </c:pt>
                <c:pt idx="345">
                  <c:v>2016</c:v>
                </c:pt>
                <c:pt idx="346">
                  <c:v>2017</c:v>
                </c:pt>
                <c:pt idx="347">
                  <c:v>2018</c:v>
                </c:pt>
                <c:pt idx="348">
                  <c:v>2019</c:v>
                </c:pt>
                <c:pt idx="349">
                  <c:v>2020</c:v>
                </c:pt>
                <c:pt idx="350">
                  <c:v>2021</c:v>
                </c:pt>
                <c:pt idx="351">
                  <c:v>2022</c:v>
                </c:pt>
                <c:pt idx="352">
                  <c:v>2023</c:v>
                </c:pt>
                <c:pt idx="353">
                  <c:v>2024</c:v>
                </c:pt>
                <c:pt idx="354">
                  <c:v>2025</c:v>
                </c:pt>
                <c:pt idx="355">
                  <c:v>2026</c:v>
                </c:pt>
                <c:pt idx="356">
                  <c:v>2027</c:v>
                </c:pt>
                <c:pt idx="357">
                  <c:v>2028</c:v>
                </c:pt>
                <c:pt idx="358">
                  <c:v>2029</c:v>
                </c:pt>
                <c:pt idx="359">
                  <c:v>2030</c:v>
                </c:pt>
                <c:pt idx="360">
                  <c:v>2031</c:v>
                </c:pt>
                <c:pt idx="361">
                  <c:v>2032</c:v>
                </c:pt>
                <c:pt idx="362">
                  <c:v>2033</c:v>
                </c:pt>
                <c:pt idx="363">
                  <c:v>2034</c:v>
                </c:pt>
                <c:pt idx="364">
                  <c:v>2035</c:v>
                </c:pt>
                <c:pt idx="365">
                  <c:v>2036</c:v>
                </c:pt>
                <c:pt idx="366">
                  <c:v>2037</c:v>
                </c:pt>
                <c:pt idx="367">
                  <c:v>2038</c:v>
                </c:pt>
                <c:pt idx="368">
                  <c:v>2039</c:v>
                </c:pt>
                <c:pt idx="369">
                  <c:v>2040</c:v>
                </c:pt>
                <c:pt idx="370">
                  <c:v>2041</c:v>
                </c:pt>
                <c:pt idx="371">
                  <c:v>2042</c:v>
                </c:pt>
                <c:pt idx="372">
                  <c:v>2043</c:v>
                </c:pt>
                <c:pt idx="373">
                  <c:v>2044</c:v>
                </c:pt>
                <c:pt idx="374">
                  <c:v>2045</c:v>
                </c:pt>
                <c:pt idx="375">
                  <c:v>2046</c:v>
                </c:pt>
                <c:pt idx="376">
                  <c:v>2047</c:v>
                </c:pt>
                <c:pt idx="377">
                  <c:v>2048</c:v>
                </c:pt>
                <c:pt idx="378">
                  <c:v>2049</c:v>
                </c:pt>
                <c:pt idx="379">
                  <c:v>2050</c:v>
                </c:pt>
                <c:pt idx="380">
                  <c:v>2051</c:v>
                </c:pt>
                <c:pt idx="381">
                  <c:v>2052</c:v>
                </c:pt>
                <c:pt idx="382">
                  <c:v>2053</c:v>
                </c:pt>
                <c:pt idx="383">
                  <c:v>2054</c:v>
                </c:pt>
                <c:pt idx="384">
                  <c:v>2055</c:v>
                </c:pt>
                <c:pt idx="385">
                  <c:v>2056</c:v>
                </c:pt>
                <c:pt idx="386">
                  <c:v>2057</c:v>
                </c:pt>
                <c:pt idx="387">
                  <c:v>2058</c:v>
                </c:pt>
                <c:pt idx="388">
                  <c:v>2059</c:v>
                </c:pt>
                <c:pt idx="389">
                  <c:v>2060</c:v>
                </c:pt>
                <c:pt idx="390">
                  <c:v>2061</c:v>
                </c:pt>
                <c:pt idx="391">
                  <c:v>2062</c:v>
                </c:pt>
                <c:pt idx="392">
                  <c:v>2063</c:v>
                </c:pt>
                <c:pt idx="393">
                  <c:v>2064</c:v>
                </c:pt>
                <c:pt idx="394">
                  <c:v>2065</c:v>
                </c:pt>
                <c:pt idx="395">
                  <c:v>2066</c:v>
                </c:pt>
                <c:pt idx="396">
                  <c:v>2067</c:v>
                </c:pt>
                <c:pt idx="397">
                  <c:v>2068</c:v>
                </c:pt>
                <c:pt idx="398">
                  <c:v>2069</c:v>
                </c:pt>
                <c:pt idx="399">
                  <c:v>2070</c:v>
                </c:pt>
                <c:pt idx="400">
                  <c:v>2071</c:v>
                </c:pt>
                <c:pt idx="401">
                  <c:v>2072</c:v>
                </c:pt>
                <c:pt idx="402">
                  <c:v>2073</c:v>
                </c:pt>
                <c:pt idx="403">
                  <c:v>2074</c:v>
                </c:pt>
                <c:pt idx="404">
                  <c:v>2075</c:v>
                </c:pt>
                <c:pt idx="405">
                  <c:v>2076</c:v>
                </c:pt>
                <c:pt idx="406">
                  <c:v>2077</c:v>
                </c:pt>
                <c:pt idx="407">
                  <c:v>2078</c:v>
                </c:pt>
                <c:pt idx="408">
                  <c:v>2079</c:v>
                </c:pt>
                <c:pt idx="409">
                  <c:v>2080</c:v>
                </c:pt>
                <c:pt idx="410">
                  <c:v>2081</c:v>
                </c:pt>
                <c:pt idx="411">
                  <c:v>2082</c:v>
                </c:pt>
                <c:pt idx="412">
                  <c:v>2083</c:v>
                </c:pt>
                <c:pt idx="413">
                  <c:v>2084</c:v>
                </c:pt>
                <c:pt idx="414">
                  <c:v>2085</c:v>
                </c:pt>
                <c:pt idx="415">
                  <c:v>2086</c:v>
                </c:pt>
                <c:pt idx="416">
                  <c:v>2087</c:v>
                </c:pt>
                <c:pt idx="417">
                  <c:v>2088</c:v>
                </c:pt>
                <c:pt idx="418">
                  <c:v>2089</c:v>
                </c:pt>
                <c:pt idx="419">
                  <c:v>2090</c:v>
                </c:pt>
                <c:pt idx="420">
                  <c:v>2091</c:v>
                </c:pt>
                <c:pt idx="421">
                  <c:v>2092</c:v>
                </c:pt>
                <c:pt idx="422">
                  <c:v>2093</c:v>
                </c:pt>
                <c:pt idx="423">
                  <c:v>2094</c:v>
                </c:pt>
                <c:pt idx="424">
                  <c:v>2095</c:v>
                </c:pt>
                <c:pt idx="425">
                  <c:v>2096</c:v>
                </c:pt>
                <c:pt idx="426">
                  <c:v>2097</c:v>
                </c:pt>
                <c:pt idx="427">
                  <c:v>2098</c:v>
                </c:pt>
                <c:pt idx="428">
                  <c:v>2099</c:v>
                </c:pt>
                <c:pt idx="429">
                  <c:v>2100</c:v>
                </c:pt>
                <c:pt idx="430">
                  <c:v>2101</c:v>
                </c:pt>
                <c:pt idx="431">
                  <c:v>2102</c:v>
                </c:pt>
                <c:pt idx="432">
                  <c:v>2103</c:v>
                </c:pt>
                <c:pt idx="433">
                  <c:v>2104</c:v>
                </c:pt>
                <c:pt idx="434">
                  <c:v>2105</c:v>
                </c:pt>
                <c:pt idx="435">
                  <c:v>2106</c:v>
                </c:pt>
                <c:pt idx="436">
                  <c:v>2107</c:v>
                </c:pt>
                <c:pt idx="437">
                  <c:v>2108</c:v>
                </c:pt>
                <c:pt idx="438">
                  <c:v>2109</c:v>
                </c:pt>
                <c:pt idx="439">
                  <c:v>2110</c:v>
                </c:pt>
                <c:pt idx="440">
                  <c:v>2111</c:v>
                </c:pt>
                <c:pt idx="441">
                  <c:v>2112</c:v>
                </c:pt>
                <c:pt idx="442">
                  <c:v>2113</c:v>
                </c:pt>
                <c:pt idx="443">
                  <c:v>2114</c:v>
                </c:pt>
                <c:pt idx="444">
                  <c:v>2115</c:v>
                </c:pt>
                <c:pt idx="445">
                  <c:v>2116</c:v>
                </c:pt>
                <c:pt idx="446">
                  <c:v>2117</c:v>
                </c:pt>
                <c:pt idx="447">
                  <c:v>2118</c:v>
                </c:pt>
                <c:pt idx="448">
                  <c:v>2119</c:v>
                </c:pt>
                <c:pt idx="449">
                  <c:v>2120</c:v>
                </c:pt>
                <c:pt idx="450">
                  <c:v>2121</c:v>
                </c:pt>
                <c:pt idx="451">
                  <c:v>2122</c:v>
                </c:pt>
                <c:pt idx="452">
                  <c:v>2123</c:v>
                </c:pt>
                <c:pt idx="453">
                  <c:v>2124</c:v>
                </c:pt>
                <c:pt idx="454">
                  <c:v>2125</c:v>
                </c:pt>
                <c:pt idx="455">
                  <c:v>2126</c:v>
                </c:pt>
                <c:pt idx="456">
                  <c:v>2127</c:v>
                </c:pt>
                <c:pt idx="457">
                  <c:v>2128</c:v>
                </c:pt>
                <c:pt idx="458">
                  <c:v>2129</c:v>
                </c:pt>
                <c:pt idx="459">
                  <c:v>2130</c:v>
                </c:pt>
                <c:pt idx="460">
                  <c:v>2131</c:v>
                </c:pt>
                <c:pt idx="461">
                  <c:v>2132</c:v>
                </c:pt>
                <c:pt idx="462">
                  <c:v>2133</c:v>
                </c:pt>
                <c:pt idx="463">
                  <c:v>2134</c:v>
                </c:pt>
                <c:pt idx="464">
                  <c:v>2135</c:v>
                </c:pt>
                <c:pt idx="465">
                  <c:v>2136</c:v>
                </c:pt>
                <c:pt idx="466">
                  <c:v>2137</c:v>
                </c:pt>
                <c:pt idx="467">
                  <c:v>2138</c:v>
                </c:pt>
                <c:pt idx="468">
                  <c:v>2139</c:v>
                </c:pt>
                <c:pt idx="469">
                  <c:v>2140</c:v>
                </c:pt>
                <c:pt idx="470">
                  <c:v>2141</c:v>
                </c:pt>
                <c:pt idx="471">
                  <c:v>2142</c:v>
                </c:pt>
                <c:pt idx="472">
                  <c:v>2143</c:v>
                </c:pt>
                <c:pt idx="473">
                  <c:v>2144</c:v>
                </c:pt>
                <c:pt idx="474">
                  <c:v>2145</c:v>
                </c:pt>
                <c:pt idx="475">
                  <c:v>2146</c:v>
                </c:pt>
                <c:pt idx="476">
                  <c:v>2147</c:v>
                </c:pt>
                <c:pt idx="477">
                  <c:v>2148</c:v>
                </c:pt>
                <c:pt idx="478">
                  <c:v>2149</c:v>
                </c:pt>
                <c:pt idx="479">
                  <c:v>2150</c:v>
                </c:pt>
                <c:pt idx="480">
                  <c:v>2151</c:v>
                </c:pt>
                <c:pt idx="481">
                  <c:v>2152</c:v>
                </c:pt>
                <c:pt idx="482">
                  <c:v>2153</c:v>
                </c:pt>
                <c:pt idx="483">
                  <c:v>2154</c:v>
                </c:pt>
                <c:pt idx="484">
                  <c:v>2155</c:v>
                </c:pt>
                <c:pt idx="485">
                  <c:v>2156</c:v>
                </c:pt>
                <c:pt idx="486">
                  <c:v>2157</c:v>
                </c:pt>
                <c:pt idx="487">
                  <c:v>2158</c:v>
                </c:pt>
                <c:pt idx="488">
                  <c:v>2159</c:v>
                </c:pt>
                <c:pt idx="489">
                  <c:v>2160</c:v>
                </c:pt>
                <c:pt idx="490">
                  <c:v>2161</c:v>
                </c:pt>
                <c:pt idx="491">
                  <c:v>2162</c:v>
                </c:pt>
                <c:pt idx="492">
                  <c:v>2163</c:v>
                </c:pt>
                <c:pt idx="493">
                  <c:v>2164</c:v>
                </c:pt>
                <c:pt idx="494">
                  <c:v>2165</c:v>
                </c:pt>
                <c:pt idx="495">
                  <c:v>2166</c:v>
                </c:pt>
                <c:pt idx="496">
                  <c:v>2167</c:v>
                </c:pt>
                <c:pt idx="497">
                  <c:v>2168</c:v>
                </c:pt>
                <c:pt idx="498">
                  <c:v>2169</c:v>
                </c:pt>
                <c:pt idx="499">
                  <c:v>2170</c:v>
                </c:pt>
                <c:pt idx="500">
                  <c:v>2171</c:v>
                </c:pt>
                <c:pt idx="501">
                  <c:v>2172</c:v>
                </c:pt>
                <c:pt idx="502">
                  <c:v>2173</c:v>
                </c:pt>
                <c:pt idx="503">
                  <c:v>2174</c:v>
                </c:pt>
                <c:pt idx="504">
                  <c:v>2175</c:v>
                </c:pt>
                <c:pt idx="505">
                  <c:v>2176</c:v>
                </c:pt>
                <c:pt idx="506">
                  <c:v>2177</c:v>
                </c:pt>
                <c:pt idx="507">
                  <c:v>2178</c:v>
                </c:pt>
                <c:pt idx="508">
                  <c:v>2179</c:v>
                </c:pt>
                <c:pt idx="509">
                  <c:v>2180</c:v>
                </c:pt>
                <c:pt idx="510">
                  <c:v>2181</c:v>
                </c:pt>
                <c:pt idx="511">
                  <c:v>2182</c:v>
                </c:pt>
                <c:pt idx="512">
                  <c:v>2183</c:v>
                </c:pt>
                <c:pt idx="513">
                  <c:v>2184</c:v>
                </c:pt>
                <c:pt idx="514">
                  <c:v>2185</c:v>
                </c:pt>
                <c:pt idx="515">
                  <c:v>2186</c:v>
                </c:pt>
                <c:pt idx="516">
                  <c:v>2187</c:v>
                </c:pt>
                <c:pt idx="517">
                  <c:v>2188</c:v>
                </c:pt>
                <c:pt idx="518">
                  <c:v>2189</c:v>
                </c:pt>
                <c:pt idx="519">
                  <c:v>2190</c:v>
                </c:pt>
                <c:pt idx="520">
                  <c:v>2191</c:v>
                </c:pt>
                <c:pt idx="521">
                  <c:v>2192</c:v>
                </c:pt>
                <c:pt idx="522">
                  <c:v>2193</c:v>
                </c:pt>
                <c:pt idx="523">
                  <c:v>2194</c:v>
                </c:pt>
                <c:pt idx="524">
                  <c:v>2195</c:v>
                </c:pt>
                <c:pt idx="525">
                  <c:v>2196</c:v>
                </c:pt>
                <c:pt idx="526">
                  <c:v>2197</c:v>
                </c:pt>
                <c:pt idx="527">
                  <c:v>2198</c:v>
                </c:pt>
                <c:pt idx="528">
                  <c:v>2199</c:v>
                </c:pt>
                <c:pt idx="529">
                  <c:v>2200</c:v>
                </c:pt>
                <c:pt idx="530">
                  <c:v>2201</c:v>
                </c:pt>
                <c:pt idx="531">
                  <c:v>2202</c:v>
                </c:pt>
                <c:pt idx="532">
                  <c:v>2203</c:v>
                </c:pt>
                <c:pt idx="533">
                  <c:v>2204</c:v>
                </c:pt>
                <c:pt idx="534">
                  <c:v>2205</c:v>
                </c:pt>
                <c:pt idx="535">
                  <c:v>2206</c:v>
                </c:pt>
                <c:pt idx="536">
                  <c:v>2207</c:v>
                </c:pt>
                <c:pt idx="537">
                  <c:v>2208</c:v>
                </c:pt>
                <c:pt idx="538">
                  <c:v>2209</c:v>
                </c:pt>
                <c:pt idx="539">
                  <c:v>2210</c:v>
                </c:pt>
                <c:pt idx="540">
                  <c:v>2211</c:v>
                </c:pt>
                <c:pt idx="541">
                  <c:v>2212</c:v>
                </c:pt>
                <c:pt idx="542">
                  <c:v>2213</c:v>
                </c:pt>
                <c:pt idx="543">
                  <c:v>2214</c:v>
                </c:pt>
                <c:pt idx="544">
                  <c:v>2215</c:v>
                </c:pt>
                <c:pt idx="545">
                  <c:v>2216</c:v>
                </c:pt>
                <c:pt idx="546">
                  <c:v>2217</c:v>
                </c:pt>
                <c:pt idx="547">
                  <c:v>2218</c:v>
                </c:pt>
                <c:pt idx="548">
                  <c:v>2219</c:v>
                </c:pt>
                <c:pt idx="549">
                  <c:v>2220</c:v>
                </c:pt>
                <c:pt idx="550">
                  <c:v>2221</c:v>
                </c:pt>
                <c:pt idx="551">
                  <c:v>2222</c:v>
                </c:pt>
                <c:pt idx="552">
                  <c:v>2223</c:v>
                </c:pt>
                <c:pt idx="553">
                  <c:v>2224</c:v>
                </c:pt>
                <c:pt idx="554">
                  <c:v>2225</c:v>
                </c:pt>
                <c:pt idx="555">
                  <c:v>2226</c:v>
                </c:pt>
                <c:pt idx="556">
                  <c:v>2227</c:v>
                </c:pt>
                <c:pt idx="557">
                  <c:v>2228</c:v>
                </c:pt>
                <c:pt idx="558">
                  <c:v>2229</c:v>
                </c:pt>
                <c:pt idx="559">
                  <c:v>2230</c:v>
                </c:pt>
                <c:pt idx="560">
                  <c:v>2231</c:v>
                </c:pt>
                <c:pt idx="561">
                  <c:v>2232</c:v>
                </c:pt>
                <c:pt idx="562">
                  <c:v>2233</c:v>
                </c:pt>
                <c:pt idx="563">
                  <c:v>2234</c:v>
                </c:pt>
                <c:pt idx="564">
                  <c:v>2235</c:v>
                </c:pt>
                <c:pt idx="565">
                  <c:v>2236</c:v>
                </c:pt>
                <c:pt idx="566">
                  <c:v>2237</c:v>
                </c:pt>
                <c:pt idx="567">
                  <c:v>2238</c:v>
                </c:pt>
                <c:pt idx="568">
                  <c:v>2239</c:v>
                </c:pt>
                <c:pt idx="569">
                  <c:v>2240</c:v>
                </c:pt>
                <c:pt idx="570">
                  <c:v>2241</c:v>
                </c:pt>
                <c:pt idx="571">
                  <c:v>2242</c:v>
                </c:pt>
                <c:pt idx="572">
                  <c:v>2243</c:v>
                </c:pt>
                <c:pt idx="573">
                  <c:v>2244</c:v>
                </c:pt>
                <c:pt idx="574">
                  <c:v>2245</c:v>
                </c:pt>
                <c:pt idx="575">
                  <c:v>2246</c:v>
                </c:pt>
                <c:pt idx="576">
                  <c:v>2247</c:v>
                </c:pt>
                <c:pt idx="577">
                  <c:v>2248</c:v>
                </c:pt>
                <c:pt idx="578">
                  <c:v>2249</c:v>
                </c:pt>
                <c:pt idx="579">
                  <c:v>2250</c:v>
                </c:pt>
                <c:pt idx="580">
                  <c:v>2251</c:v>
                </c:pt>
                <c:pt idx="581">
                  <c:v>2252</c:v>
                </c:pt>
                <c:pt idx="582">
                  <c:v>2253</c:v>
                </c:pt>
                <c:pt idx="583">
                  <c:v>2254</c:v>
                </c:pt>
                <c:pt idx="584">
                  <c:v>2255</c:v>
                </c:pt>
                <c:pt idx="585">
                  <c:v>2256</c:v>
                </c:pt>
                <c:pt idx="586">
                  <c:v>2257</c:v>
                </c:pt>
                <c:pt idx="587">
                  <c:v>2258</c:v>
                </c:pt>
              </c:numCache>
            </c:numRef>
          </c:xVal>
          <c:yVal>
            <c:numRef>
              <c:f>'Well_B-2'!$AB$54:$AB$641</c:f>
              <c:numCache>
                <c:formatCode>General</c:formatCode>
                <c:ptCount val="588"/>
                <c:pt idx="0">
                  <c:v>205.12692509353727</c:v>
                </c:pt>
                <c:pt idx="1">
                  <c:v>193.18126293628623</c:v>
                </c:pt>
                <c:pt idx="2">
                  <c:v>181.56776308250502</c:v>
                </c:pt>
                <c:pt idx="3">
                  <c:v>170.65243331418537</c:v>
                </c:pt>
                <c:pt idx="4">
                  <c:v>160.71440926515089</c:v>
                </c:pt>
                <c:pt idx="5">
                  <c:v>160.39330166126038</c:v>
                </c:pt>
                <c:pt idx="6">
                  <c:v>160.07283563079028</c:v>
                </c:pt>
                <c:pt idx="7">
                  <c:v>159.75300989187625</c:v>
                </c:pt>
                <c:pt idx="8">
                  <c:v>159.43382316521468</c:v>
                </c:pt>
                <c:pt idx="9">
                  <c:v>159.11527417405841</c:v>
                </c:pt>
                <c:pt idx="10">
                  <c:v>158.79736164421095</c:v>
                </c:pt>
                <c:pt idx="11">
                  <c:v>158.48008430402186</c:v>
                </c:pt>
                <c:pt idx="12">
                  <c:v>158.16344088438123</c:v>
                </c:pt>
                <c:pt idx="13">
                  <c:v>157.84743011871507</c:v>
                </c:pt>
                <c:pt idx="14">
                  <c:v>157.53205074297981</c:v>
                </c:pt>
                <c:pt idx="15">
                  <c:v>157.21730149565761</c:v>
                </c:pt>
                <c:pt idx="16">
                  <c:v>156.90318111775096</c:v>
                </c:pt>
                <c:pt idx="17">
                  <c:v>156.58968835277804</c:v>
                </c:pt>
                <c:pt idx="18">
                  <c:v>156.27682194676726</c:v>
                </c:pt>
                <c:pt idx="19">
                  <c:v>155.96458064825268</c:v>
                </c:pt>
                <c:pt idx="20">
                  <c:v>155.6529632082686</c:v>
                </c:pt>
                <c:pt idx="21">
                  <c:v>155.34196838034495</c:v>
                </c:pt>
                <c:pt idx="22">
                  <c:v>155.03159492050187</c:v>
                </c:pt>
                <c:pt idx="23">
                  <c:v>154.72184158724528</c:v>
                </c:pt>
                <c:pt idx="24">
                  <c:v>154.41270714156124</c:v>
                </c:pt>
                <c:pt idx="25">
                  <c:v>154.10419034691174</c:v>
                </c:pt>
                <c:pt idx="26">
                  <c:v>153.79628996922901</c:v>
                </c:pt>
                <c:pt idx="27">
                  <c:v>153.48900477691129</c:v>
                </c:pt>
                <c:pt idx="28">
                  <c:v>153.18233354081727</c:v>
                </c:pt>
                <c:pt idx="29">
                  <c:v>152.87627503426171</c:v>
                </c:pt>
                <c:pt idx="30">
                  <c:v>152.57082803301009</c:v>
                </c:pt>
                <c:pt idx="31">
                  <c:v>152.26599131527408</c:v>
                </c:pt>
                <c:pt idx="32">
                  <c:v>151.96176366170627</c:v>
                </c:pt>
                <c:pt idx="33">
                  <c:v>151.65814385539579</c:v>
                </c:pt>
                <c:pt idx="34">
                  <c:v>151.35513068186287</c:v>
                </c:pt>
                <c:pt idx="35">
                  <c:v>151.05272292905457</c:v>
                </c:pt>
                <c:pt idx="36">
                  <c:v>150.75091938733931</c:v>
                </c:pt>
                <c:pt idx="37">
                  <c:v>150.44971884950269</c:v>
                </c:pt>
                <c:pt idx="38">
                  <c:v>150.14912011074199</c:v>
                </c:pt>
                <c:pt idx="39">
                  <c:v>149.84912196866199</c:v>
                </c:pt>
                <c:pt idx="40">
                  <c:v>149.54972322326961</c:v>
                </c:pt>
                <c:pt idx="41">
                  <c:v>149.25092267696957</c:v>
                </c:pt>
                <c:pt idx="42">
                  <c:v>148.95271913455917</c:v>
                </c:pt>
                <c:pt idx="43">
                  <c:v>148.655111403224</c:v>
                </c:pt>
                <c:pt idx="44">
                  <c:v>148.35809829253259</c:v>
                </c:pt>
                <c:pt idx="45">
                  <c:v>148.06167861443217</c:v>
                </c:pt>
                <c:pt idx="46">
                  <c:v>147.7658511832436</c:v>
                </c:pt>
                <c:pt idx="47">
                  <c:v>147.47061481565686</c:v>
                </c:pt>
                <c:pt idx="48">
                  <c:v>147.17596833072594</c:v>
                </c:pt>
                <c:pt idx="49">
                  <c:v>146.88191054986461</c:v>
                </c:pt>
                <c:pt idx="50">
                  <c:v>146.5884402968413</c:v>
                </c:pt>
                <c:pt idx="51">
                  <c:v>146.29555639777467</c:v>
                </c:pt>
                <c:pt idx="52">
                  <c:v>146.00325768112862</c:v>
                </c:pt>
                <c:pt idx="53">
                  <c:v>145.71154297770806</c:v>
                </c:pt>
                <c:pt idx="54">
                  <c:v>145.42041112065363</c:v>
                </c:pt>
                <c:pt idx="55">
                  <c:v>145.1298609454376</c:v>
                </c:pt>
                <c:pt idx="56">
                  <c:v>144.8398912898588</c:v>
                </c:pt>
                <c:pt idx="57">
                  <c:v>144.55050099403837</c:v>
                </c:pt>
                <c:pt idx="58">
                  <c:v>144.26168890041458</c:v>
                </c:pt>
                <c:pt idx="59">
                  <c:v>143.97345385373882</c:v>
                </c:pt>
                <c:pt idx="60">
                  <c:v>143.68579470107034</c:v>
                </c:pt>
                <c:pt idx="61">
                  <c:v>143.39871029177235</c:v>
                </c:pt>
                <c:pt idx="62">
                  <c:v>143.11219947750661</c:v>
                </c:pt>
                <c:pt idx="63">
                  <c:v>142.8262611122297</c:v>
                </c:pt>
                <c:pt idx="64">
                  <c:v>142.54089405218758</c:v>
                </c:pt>
                <c:pt idx="65">
                  <c:v>142.25609715591182</c:v>
                </c:pt>
                <c:pt idx="66">
                  <c:v>141.97186928421428</c:v>
                </c:pt>
                <c:pt idx="67">
                  <c:v>141.68820930018325</c:v>
                </c:pt>
                <c:pt idx="68">
                  <c:v>141.40511606917823</c:v>
                </c:pt>
                <c:pt idx="69">
                  <c:v>141.12258845882613</c:v>
                </c:pt>
                <c:pt idx="70">
                  <c:v>140.84062533901596</c:v>
                </c:pt>
                <c:pt idx="71">
                  <c:v>140.55922558189499</c:v>
                </c:pt>
                <c:pt idx="72">
                  <c:v>140.27838806186369</c:v>
                </c:pt>
                <c:pt idx="73">
                  <c:v>139.99811165557176</c:v>
                </c:pt>
                <c:pt idx="74">
                  <c:v>139.71839524191304</c:v>
                </c:pt>
                <c:pt idx="75">
                  <c:v>139.43923770202164</c:v>
                </c:pt>
                <c:pt idx="76">
                  <c:v>139.16063791926692</c:v>
                </c:pt>
                <c:pt idx="77">
                  <c:v>138.88259477924947</c:v>
                </c:pt>
                <c:pt idx="78">
                  <c:v>138.60510716979627</c:v>
                </c:pt>
                <c:pt idx="79">
                  <c:v>138.32817398095659</c:v>
                </c:pt>
                <c:pt idx="80">
                  <c:v>138.05179410499724</c:v>
                </c:pt>
                <c:pt idx="81">
                  <c:v>137.77596643639842</c:v>
                </c:pt>
                <c:pt idx="82">
                  <c:v>137.50068987184898</c:v>
                </c:pt>
                <c:pt idx="83">
                  <c:v>137.22596331024243</c:v>
                </c:pt>
                <c:pt idx="84">
                  <c:v>136.95178565267204</c:v>
                </c:pt>
                <c:pt idx="85">
                  <c:v>136.67815580242691</c:v>
                </c:pt>
                <c:pt idx="86">
                  <c:v>136.40507266498716</c:v>
                </c:pt>
                <c:pt idx="87">
                  <c:v>136.13253514802003</c:v>
                </c:pt>
                <c:pt idx="88">
                  <c:v>135.86054216137492</c:v>
                </c:pt>
                <c:pt idx="89">
                  <c:v>135.58909261707967</c:v>
                </c:pt>
                <c:pt idx="90">
                  <c:v>135.31818542933561</c:v>
                </c:pt>
                <c:pt idx="91">
                  <c:v>135.04781951451378</c:v>
                </c:pt>
                <c:pt idx="92">
                  <c:v>134.77799379114998</c:v>
                </c:pt>
                <c:pt idx="93">
                  <c:v>134.5087071799411</c:v>
                </c:pt>
                <c:pt idx="94">
                  <c:v>134.23995860374026</c:v>
                </c:pt>
                <c:pt idx="95">
                  <c:v>133.97174698755288</c:v>
                </c:pt>
                <c:pt idx="96">
                  <c:v>133.70407125853197</c:v>
                </c:pt>
                <c:pt idx="97">
                  <c:v>133.43693034597447</c:v>
                </c:pt>
                <c:pt idx="98">
                  <c:v>133.17032318131618</c:v>
                </c:pt>
                <c:pt idx="99">
                  <c:v>132.90424869812827</c:v>
                </c:pt>
                <c:pt idx="100">
                  <c:v>132.63870583211229</c:v>
                </c:pt>
                <c:pt idx="101">
                  <c:v>132.37369352109653</c:v>
                </c:pt>
                <c:pt idx="102">
                  <c:v>132.1092107050313</c:v>
                </c:pt>
                <c:pt idx="103">
                  <c:v>131.8452563259851</c:v>
                </c:pt>
                <c:pt idx="104">
                  <c:v>131.58182932813995</c:v>
                </c:pt>
                <c:pt idx="105">
                  <c:v>131.31892865778761</c:v>
                </c:pt>
                <c:pt idx="106">
                  <c:v>131.05655326332493</c:v>
                </c:pt>
                <c:pt idx="107">
                  <c:v>130.79470209525007</c:v>
                </c:pt>
                <c:pt idx="108">
                  <c:v>130.53337410615796</c:v>
                </c:pt>
                <c:pt idx="109">
                  <c:v>130.27256825073638</c:v>
                </c:pt>
                <c:pt idx="110">
                  <c:v>130.01228348576143</c:v>
                </c:pt>
                <c:pt idx="111">
                  <c:v>129.75251877009384</c:v>
                </c:pt>
                <c:pt idx="112">
                  <c:v>129.49327306467427</c:v>
                </c:pt>
                <c:pt idx="113">
                  <c:v>129.2345453325197</c:v>
                </c:pt>
                <c:pt idx="114">
                  <c:v>128.97633453871867</c:v>
                </c:pt>
                <c:pt idx="115">
                  <c:v>128.71863965042786</c:v>
                </c:pt>
                <c:pt idx="116">
                  <c:v>128.4614596368672</c:v>
                </c:pt>
                <c:pt idx="117">
                  <c:v>128.2047934693164</c:v>
                </c:pt>
                <c:pt idx="118">
                  <c:v>127.94864012111042</c:v>
                </c:pt>
                <c:pt idx="119">
                  <c:v>127.69299856763553</c:v>
                </c:pt>
                <c:pt idx="120">
                  <c:v>127.43786778632513</c:v>
                </c:pt>
                <c:pt idx="121">
                  <c:v>127.18324675665585</c:v>
                </c:pt>
                <c:pt idx="122">
                  <c:v>126.92913446014317</c:v>
                </c:pt>
                <c:pt idx="123">
                  <c:v>126.67552988033752</c:v>
                </c:pt>
                <c:pt idx="124">
                  <c:v>126.42243200282034</c:v>
                </c:pt>
                <c:pt idx="125">
                  <c:v>126.16983981519969</c:v>
                </c:pt>
                <c:pt idx="126">
                  <c:v>125.91775230710658</c:v>
                </c:pt>
                <c:pt idx="127">
                  <c:v>125.66616847019051</c:v>
                </c:pt>
                <c:pt idx="128">
                  <c:v>125.41508729811595</c:v>
                </c:pt>
                <c:pt idx="129">
                  <c:v>125.16450778655776</c:v>
                </c:pt>
                <c:pt idx="130">
                  <c:v>124.91442893319764</c:v>
                </c:pt>
                <c:pt idx="131">
                  <c:v>124.66484973771975</c:v>
                </c:pt>
                <c:pt idx="132">
                  <c:v>124.41576920180709</c:v>
                </c:pt>
                <c:pt idx="133">
                  <c:v>124.16718632913708</c:v>
                </c:pt>
                <c:pt idx="134">
                  <c:v>123.91910012537799</c:v>
                </c:pt>
                <c:pt idx="135">
                  <c:v>123.67150959818457</c:v>
                </c:pt>
                <c:pt idx="136">
                  <c:v>123.42441375719449</c:v>
                </c:pt>
                <c:pt idx="137">
                  <c:v>123.17781161402395</c:v>
                </c:pt>
                <c:pt idx="138">
                  <c:v>122.93170218226416</c:v>
                </c:pt>
                <c:pt idx="139">
                  <c:v>122.68608447747695</c:v>
                </c:pt>
                <c:pt idx="140">
                  <c:v>122.44095751719131</c:v>
                </c:pt>
                <c:pt idx="141">
                  <c:v>122.19632032089889</c:v>
                </c:pt>
                <c:pt idx="142">
                  <c:v>121.95217191005078</c:v>
                </c:pt>
                <c:pt idx="143">
                  <c:v>121.70851130805285</c:v>
                </c:pt>
                <c:pt idx="144">
                  <c:v>121.46533754026247</c:v>
                </c:pt>
                <c:pt idx="145">
                  <c:v>121.22264963398416</c:v>
                </c:pt>
                <c:pt idx="146">
                  <c:v>120.98044661846606</c:v>
                </c:pt>
                <c:pt idx="147">
                  <c:v>120.73872752489571</c:v>
                </c:pt>
                <c:pt idx="148">
                  <c:v>120.49749138639649</c:v>
                </c:pt>
                <c:pt idx="149">
                  <c:v>120.25673723802342</c:v>
                </c:pt>
                <c:pt idx="150">
                  <c:v>120.01646411675968</c:v>
                </c:pt>
                <c:pt idx="151">
                  <c:v>119.77667106151242</c:v>
                </c:pt>
                <c:pt idx="152">
                  <c:v>119.53735711310912</c:v>
                </c:pt>
                <c:pt idx="153">
                  <c:v>119.29852131429362</c:v>
                </c:pt>
                <c:pt idx="154">
                  <c:v>119.0601627097225</c:v>
                </c:pt>
                <c:pt idx="155">
                  <c:v>118.82228034596091</c:v>
                </c:pt>
                <c:pt idx="156">
                  <c:v>118.58487327147918</c:v>
                </c:pt>
                <c:pt idx="157">
                  <c:v>118.34794053664858</c:v>
                </c:pt>
                <c:pt idx="158">
                  <c:v>118.11148119373802</c:v>
                </c:pt>
                <c:pt idx="159">
                  <c:v>117.87549429690962</c:v>
                </c:pt>
                <c:pt idx="160">
                  <c:v>117.63997890221566</c:v>
                </c:pt>
                <c:pt idx="161">
                  <c:v>117.4049340675941</c:v>
                </c:pt>
                <c:pt idx="162">
                  <c:v>117.17035885286539</c:v>
                </c:pt>
                <c:pt idx="163">
                  <c:v>116.93625231972828</c:v>
                </c:pt>
                <c:pt idx="164">
                  <c:v>116.7026135317564</c:v>
                </c:pt>
                <c:pt idx="165">
                  <c:v>116.46944155439421</c:v>
                </c:pt>
                <c:pt idx="166">
                  <c:v>116.23673545495359</c:v>
                </c:pt>
                <c:pt idx="167">
                  <c:v>116.00449430260971</c:v>
                </c:pt>
                <c:pt idx="168">
                  <c:v>115.77271716839776</c:v>
                </c:pt>
                <c:pt idx="169">
                  <c:v>115.54140312520882</c:v>
                </c:pt>
                <c:pt idx="170">
                  <c:v>115.31055124778646</c:v>
                </c:pt>
                <c:pt idx="171">
                  <c:v>115.08016061272281</c:v>
                </c:pt>
                <c:pt idx="172">
                  <c:v>114.85023029845509</c:v>
                </c:pt>
                <c:pt idx="173">
                  <c:v>114.62075938526164</c:v>
                </c:pt>
                <c:pt idx="174">
                  <c:v>114.39174695525861</c:v>
                </c:pt>
                <c:pt idx="175">
                  <c:v>114.16319209239587</c:v>
                </c:pt>
                <c:pt idx="176">
                  <c:v>113.9350938824538</c:v>
                </c:pt>
                <c:pt idx="177">
                  <c:v>113.7074514130391</c:v>
                </c:pt>
                <c:pt idx="178">
                  <c:v>113.4802637735817</c:v>
                </c:pt>
                <c:pt idx="179">
                  <c:v>113.25353005533067</c:v>
                </c:pt>
                <c:pt idx="180">
                  <c:v>113.0272493513509</c:v>
                </c:pt>
                <c:pt idx="181">
                  <c:v>112.80142075651921</c:v>
                </c:pt>
                <c:pt idx="182">
                  <c:v>112.57604336752097</c:v>
                </c:pt>
                <c:pt idx="183">
                  <c:v>112.35111628284628</c:v>
                </c:pt>
                <c:pt idx="184">
                  <c:v>112.12663860278656</c:v>
                </c:pt>
                <c:pt idx="185">
                  <c:v>111.90260942943071</c:v>
                </c:pt>
                <c:pt idx="186">
                  <c:v>111.67902786666183</c:v>
                </c:pt>
                <c:pt idx="187">
                  <c:v>111.45589302015325</c:v>
                </c:pt>
                <c:pt idx="188">
                  <c:v>111.23320399736542</c:v>
                </c:pt>
                <c:pt idx="189">
                  <c:v>111.01095990754186</c:v>
                </c:pt>
                <c:pt idx="190">
                  <c:v>110.78915986170597</c:v>
                </c:pt>
                <c:pt idx="191">
                  <c:v>110.56780297265722</c:v>
                </c:pt>
                <c:pt idx="192">
                  <c:v>110.34688835496782</c:v>
                </c:pt>
                <c:pt idx="193">
                  <c:v>110.12641512497892</c:v>
                </c:pt>
                <c:pt idx="194">
                  <c:v>109.9063824007974</c:v>
                </c:pt>
                <c:pt idx="195">
                  <c:v>109.68678930229198</c:v>
                </c:pt>
                <c:pt idx="196">
                  <c:v>109.46763495109006</c:v>
                </c:pt>
                <c:pt idx="197">
                  <c:v>109.24891847057387</c:v>
                </c:pt>
                <c:pt idx="198">
                  <c:v>109.03063898587726</c:v>
                </c:pt>
                <c:pt idx="199">
                  <c:v>108.81279562388194</c:v>
                </c:pt>
                <c:pt idx="200">
                  <c:v>108.59538751321422</c:v>
                </c:pt>
                <c:pt idx="201">
                  <c:v>108.3784137842413</c:v>
                </c:pt>
                <c:pt idx="202">
                  <c:v>108.16187356906809</c:v>
                </c:pt>
                <c:pt idx="203">
                  <c:v>107.94576600153331</c:v>
                </c:pt>
                <c:pt idx="204">
                  <c:v>107.73009021720652</c:v>
                </c:pt>
                <c:pt idx="205">
                  <c:v>107.5148453533842</c:v>
                </c:pt>
                <c:pt idx="206">
                  <c:v>107.30003054908667</c:v>
                </c:pt>
                <c:pt idx="207">
                  <c:v>107.08564494505438</c:v>
                </c:pt>
                <c:pt idx="208">
                  <c:v>106.87168768374468</c:v>
                </c:pt>
                <c:pt idx="209">
                  <c:v>106.65815790932818</c:v>
                </c:pt>
                <c:pt idx="210">
                  <c:v>106.44505476768556</c:v>
                </c:pt>
                <c:pt idx="211">
                  <c:v>106.2323774064039</c:v>
                </c:pt>
                <c:pt idx="212">
                  <c:v>106.02012497477355</c:v>
                </c:pt>
                <c:pt idx="213">
                  <c:v>105.80829662378441</c:v>
                </c:pt>
                <c:pt idx="214">
                  <c:v>105.5968915061229</c:v>
                </c:pt>
                <c:pt idx="215">
                  <c:v>105.38590877616815</c:v>
                </c:pt>
                <c:pt idx="216">
                  <c:v>105.17534758998907</c:v>
                </c:pt>
                <c:pt idx="217">
                  <c:v>104.96520710534055</c:v>
                </c:pt>
                <c:pt idx="218">
                  <c:v>104.75548648166044</c:v>
                </c:pt>
                <c:pt idx="219">
                  <c:v>104.54618488006588</c:v>
                </c:pt>
                <c:pt idx="220">
                  <c:v>104.3373014633503</c:v>
                </c:pt>
                <c:pt idx="221">
                  <c:v>104.12883539597962</c:v>
                </c:pt>
                <c:pt idx="222">
                  <c:v>103.92078584408942</c:v>
                </c:pt>
                <c:pt idx="223">
                  <c:v>103.71315197548111</c:v>
                </c:pt>
                <c:pt idx="224">
                  <c:v>103.50593295961903</c:v>
                </c:pt>
                <c:pt idx="225">
                  <c:v>103.29912796762676</c:v>
                </c:pt>
                <c:pt idx="226">
                  <c:v>103.09273617228413</c:v>
                </c:pt>
                <c:pt idx="227">
                  <c:v>102.88675674802361</c:v>
                </c:pt>
                <c:pt idx="228">
                  <c:v>102.6811888709273</c:v>
                </c:pt>
                <c:pt idx="229">
                  <c:v>102.47603171872335</c:v>
                </c:pt>
                <c:pt idx="230">
                  <c:v>102.27128447078293</c:v>
                </c:pt>
                <c:pt idx="231">
                  <c:v>102.06694630811673</c:v>
                </c:pt>
                <c:pt idx="232">
                  <c:v>101.86301641337189</c:v>
                </c:pt>
                <c:pt idx="233">
                  <c:v>101.65949397082846</c:v>
                </c:pt>
                <c:pt idx="234">
                  <c:v>101.45637816639653</c:v>
                </c:pt>
                <c:pt idx="235">
                  <c:v>101.25366818761249</c:v>
                </c:pt>
                <c:pt idx="236">
                  <c:v>101.05136322363624</c:v>
                </c:pt>
                <c:pt idx="237">
                  <c:v>100.8494624652476</c:v>
                </c:pt>
                <c:pt idx="238">
                  <c:v>100.64796510484329</c:v>
                </c:pt>
                <c:pt idx="239">
                  <c:v>100.44687033643359</c:v>
                </c:pt>
                <c:pt idx="240">
                  <c:v>100.24617735563919</c:v>
                </c:pt>
                <c:pt idx="241">
                  <c:v>100.04588535968784</c:v>
                </c:pt>
                <c:pt idx="242">
                  <c:v>99.845993547411354</c:v>
                </c:pt>
                <c:pt idx="243">
                  <c:v>99.64650111924216</c:v>
                </c:pt>
                <c:pt idx="244">
                  <c:v>99.447407277210331</c:v>
                </c:pt>
                <c:pt idx="245">
                  <c:v>99.24871122494018</c:v>
                </c:pt>
                <c:pt idx="246">
                  <c:v>99.050412167647295</c:v>
                </c:pt>
                <c:pt idx="247">
                  <c:v>98.852509312135098</c:v>
                </c:pt>
                <c:pt idx="248">
                  <c:v>98.655001866792006</c:v>
                </c:pt>
                <c:pt idx="249">
                  <c:v>98.457889041587919</c:v>
                </c:pt>
                <c:pt idx="250">
                  <c:v>98.261170048071222</c:v>
                </c:pt>
                <c:pt idx="251">
                  <c:v>98.0648440993658</c:v>
                </c:pt>
                <c:pt idx="252">
                  <c:v>97.868910410167459</c:v>
                </c:pt>
                <c:pt idx="253">
                  <c:v>97.673368196741322</c:v>
                </c:pt>
                <c:pt idx="254">
                  <c:v>97.478216676918137</c:v>
                </c:pt>
                <c:pt idx="255">
                  <c:v>97.283455070091676</c:v>
                </c:pt>
                <c:pt idx="256">
                  <c:v>97.089082597215153</c:v>
                </c:pt>
                <c:pt idx="257">
                  <c:v>96.895098480798552</c:v>
                </c:pt>
                <c:pt idx="258">
                  <c:v>96.70150194490499</c:v>
                </c:pt>
                <c:pt idx="259">
                  <c:v>96.508292215148202</c:v>
                </c:pt>
                <c:pt idx="260">
                  <c:v>96.315468518688903</c:v>
                </c:pt>
                <c:pt idx="261">
                  <c:v>96.123030084232141</c:v>
                </c:pt>
                <c:pt idx="262">
                  <c:v>95.930976142023837</c:v>
                </c:pt>
                <c:pt idx="263">
                  <c:v>95.739305923848065</c:v>
                </c:pt>
                <c:pt idx="264">
                  <c:v>95.548018663023569</c:v>
                </c:pt>
                <c:pt idx="265">
                  <c:v>95.357113594401198</c:v>
                </c:pt>
                <c:pt idx="266">
                  <c:v>95.16658995436029</c:v>
                </c:pt>
                <c:pt idx="267">
                  <c:v>94.976446980806131</c:v>
                </c:pt>
                <c:pt idx="268">
                  <c:v>94.786683913166499</c:v>
                </c:pt>
                <c:pt idx="269">
                  <c:v>94.597299992388926</c:v>
                </c:pt>
                <c:pt idx="270">
                  <c:v>94.408294460937412</c:v>
                </c:pt>
                <c:pt idx="271">
                  <c:v>94.219666562789683</c:v>
                </c:pt>
                <c:pt idx="272">
                  <c:v>94.031415543433766</c:v>
                </c:pt>
                <c:pt idx="273">
                  <c:v>93.843540649865432</c:v>
                </c:pt>
                <c:pt idx="274">
                  <c:v>93.656041130584796</c:v>
                </c:pt>
                <c:pt idx="275">
                  <c:v>93.468916235593611</c:v>
                </c:pt>
                <c:pt idx="276">
                  <c:v>93.282165216391945</c:v>
                </c:pt>
                <c:pt idx="277">
                  <c:v>93.095787325975564</c:v>
                </c:pt>
                <c:pt idx="278">
                  <c:v>92.909781818832556</c:v>
                </c:pt>
                <c:pt idx="279">
                  <c:v>92.724147950940761</c:v>
                </c:pt>
                <c:pt idx="280">
                  <c:v>92.538884979764347</c:v>
                </c:pt>
                <c:pt idx="281">
                  <c:v>92.353992164251295</c:v>
                </c:pt>
                <c:pt idx="282">
                  <c:v>92.169468764829986</c:v>
                </c:pt>
                <c:pt idx="283">
                  <c:v>91.98531404340666</c:v>
                </c:pt>
                <c:pt idx="284">
                  <c:v>91.801527263362132</c:v>
                </c:pt>
                <c:pt idx="285">
                  <c:v>91.618107689549106</c:v>
                </c:pt>
                <c:pt idx="286">
                  <c:v>91.435054588288935</c:v>
                </c:pt>
                <c:pt idx="287">
                  <c:v>91.252367227369078</c:v>
                </c:pt>
                <c:pt idx="288">
                  <c:v>91.070044876039759</c:v>
                </c:pt>
                <c:pt idx="289">
                  <c:v>90.888086805011412</c:v>
                </c:pt>
                <c:pt idx="290">
                  <c:v>90.70649228645145</c:v>
                </c:pt>
                <c:pt idx="291">
                  <c:v>90.525260593981571</c:v>
                </c:pt>
                <c:pt idx="292">
                  <c:v>90.344391002674769</c:v>
                </c:pt>
                <c:pt idx="293">
                  <c:v>90.163882789052451</c:v>
                </c:pt>
                <c:pt idx="294">
                  <c:v>89.983735231081496</c:v>
                </c:pt>
                <c:pt idx="295">
                  <c:v>89.80394760817147</c:v>
                </c:pt>
                <c:pt idx="296">
                  <c:v>89.624519201171566</c:v>
                </c:pt>
                <c:pt idx="297">
                  <c:v>89.445449292368011</c:v>
                </c:pt>
                <c:pt idx="298">
                  <c:v>89.266737165480833</c:v>
                </c:pt>
                <c:pt idx="299">
                  <c:v>89.088382105661395</c:v>
                </c:pt>
                <c:pt idx="300">
                  <c:v>88.910383399489135</c:v>
                </c:pt>
                <c:pt idx="301">
                  <c:v>88.732740334969051</c:v>
                </c:pt>
                <c:pt idx="302">
                  <c:v>88.555452201528567</c:v>
                </c:pt>
                <c:pt idx="303">
                  <c:v>88.378518290015009</c:v>
                </c:pt>
                <c:pt idx="304">
                  <c:v>88.201937892692413</c:v>
                </c:pt>
                <c:pt idx="305">
                  <c:v>88.025710303239023</c:v>
                </c:pt>
                <c:pt idx="306">
                  <c:v>87.849834816744178</c:v>
                </c:pt>
                <c:pt idx="307">
                  <c:v>87.67431072970578</c:v>
                </c:pt>
                <c:pt idx="308">
                  <c:v>87.499137340027147</c:v>
                </c:pt>
                <c:pt idx="309">
                  <c:v>87.324313947014588</c:v>
                </c:pt>
                <c:pt idx="310">
                  <c:v>87.14983985137421</c:v>
                </c:pt>
                <c:pt idx="311">
                  <c:v>86.975714355209476</c:v>
                </c:pt>
                <c:pt idx="312">
                  <c:v>86.801936762018073</c:v>
                </c:pt>
                <c:pt idx="313">
                  <c:v>86.628506376689515</c:v>
                </c:pt>
                <c:pt idx="314">
                  <c:v>86.455422505501929</c:v>
                </c:pt>
                <c:pt idx="315">
                  <c:v>86.282684456119668</c:v>
                </c:pt>
                <c:pt idx="316">
                  <c:v>86.110291537590243</c:v>
                </c:pt>
                <c:pt idx="317">
                  <c:v>85.938243060341819</c:v>
                </c:pt>
                <c:pt idx="318">
                  <c:v>85.766538336180176</c:v>
                </c:pt>
                <c:pt idx="319">
                  <c:v>85.595176678286293</c:v>
                </c:pt>
                <c:pt idx="320">
                  <c:v>85.424157401213179</c:v>
                </c:pt>
                <c:pt idx="321">
                  <c:v>85.253479820883641</c:v>
                </c:pt>
                <c:pt idx="322">
                  <c:v>85.083143254587</c:v>
                </c:pt>
                <c:pt idx="323">
                  <c:v>84.913147020976851</c:v>
                </c:pt>
                <c:pt idx="324">
                  <c:v>84.743490440067987</c:v>
                </c:pt>
                <c:pt idx="325">
                  <c:v>84.574172833233888</c:v>
                </c:pt>
                <c:pt idx="326">
                  <c:v>84.405193523203877</c:v>
                </c:pt>
                <c:pt idx="327">
                  <c:v>84.236551834060521</c:v>
                </c:pt>
                <c:pt idx="328">
                  <c:v>84.068247091236785</c:v>
                </c:pt>
                <c:pt idx="329">
                  <c:v>83.900278621513536</c:v>
                </c:pt>
                <c:pt idx="330">
                  <c:v>83.732645753016641</c:v>
                </c:pt>
                <c:pt idx="331">
                  <c:v>83.565347815214338</c:v>
                </c:pt>
                <c:pt idx="332">
                  <c:v>83.398384138914778</c:v>
                </c:pt>
                <c:pt idx="333">
                  <c:v>83.231754056262972</c:v>
                </c:pt>
                <c:pt idx="334">
                  <c:v>83.065456900738369</c:v>
                </c:pt>
                <c:pt idx="335">
                  <c:v>82.899492007152048</c:v>
                </c:pt>
                <c:pt idx="336">
                  <c:v>82.733858711644373</c:v>
                </c:pt>
                <c:pt idx="337">
                  <c:v>82.568556351681849</c:v>
                </c:pt>
                <c:pt idx="338">
                  <c:v>82.403584266054821</c:v>
                </c:pt>
                <c:pt idx="339">
                  <c:v>82.238941794874648</c:v>
                </c:pt>
                <c:pt idx="340">
                  <c:v>82.0746282795714</c:v>
                </c:pt>
                <c:pt idx="341">
                  <c:v>81.910643062890685</c:v>
                </c:pt>
                <c:pt idx="342">
                  <c:v>81.746985488891454</c:v>
                </c:pt>
                <c:pt idx="343">
                  <c:v>81.583654902943081</c:v>
                </c:pt>
                <c:pt idx="344">
                  <c:v>81.420650651723179</c:v>
                </c:pt>
                <c:pt idx="345">
                  <c:v>81.25797208321444</c:v>
                </c:pt>
                <c:pt idx="346">
                  <c:v>81.095618546702397</c:v>
                </c:pt>
                <c:pt idx="347">
                  <c:v>80.933589392772561</c:v>
                </c:pt>
                <c:pt idx="348">
                  <c:v>80.77188397330832</c:v>
                </c:pt>
                <c:pt idx="349">
                  <c:v>80.610501641487645</c:v>
                </c:pt>
                <c:pt idx="350">
                  <c:v>80.449441751781023</c:v>
                </c:pt>
                <c:pt idx="351">
                  <c:v>80.288703659948595</c:v>
                </c:pt>
                <c:pt idx="352">
                  <c:v>80.128286723037931</c:v>
                </c:pt>
                <c:pt idx="353">
                  <c:v>79.968190299381007</c:v>
                </c:pt>
                <c:pt idx="354">
                  <c:v>79.808413748591889</c:v>
                </c:pt>
                <c:pt idx="355">
                  <c:v>79.64895643156413</c:v>
                </c:pt>
                <c:pt idx="356">
                  <c:v>79.489817710468344</c:v>
                </c:pt>
                <c:pt idx="357">
                  <c:v>79.330996948749402</c:v>
                </c:pt>
                <c:pt idx="358">
                  <c:v>79.172493511124017</c:v>
                </c:pt>
                <c:pt idx="359">
                  <c:v>79.014306763578176</c:v>
                </c:pt>
                <c:pt idx="360">
                  <c:v>78.85643607336479</c:v>
                </c:pt>
                <c:pt idx="361">
                  <c:v>78.698880809000869</c:v>
                </c:pt>
                <c:pt idx="362">
                  <c:v>78.541640340265118</c:v>
                </c:pt>
                <c:pt idx="363">
                  <c:v>78.384714038195369</c:v>
                </c:pt>
                <c:pt idx="364">
                  <c:v>78.228101275086345</c:v>
                </c:pt>
                <c:pt idx="365">
                  <c:v>78.071801424486736</c:v>
                </c:pt>
                <c:pt idx="366">
                  <c:v>77.915813861196924</c:v>
                </c:pt>
                <c:pt idx="367">
                  <c:v>77.760137961266381</c:v>
                </c:pt>
                <c:pt idx="368">
                  <c:v>77.604773101991412</c:v>
                </c:pt>
                <c:pt idx="369">
                  <c:v>77.449718661912343</c:v>
                </c:pt>
                <c:pt idx="370">
                  <c:v>77.294974020811182</c:v>
                </c:pt>
                <c:pt idx="371">
                  <c:v>77.140538559709086</c:v>
                </c:pt>
                <c:pt idx="372">
                  <c:v>76.986411660864164</c:v>
                </c:pt>
                <c:pt idx="373">
                  <c:v>76.832592707768512</c:v>
                </c:pt>
                <c:pt idx="374">
                  <c:v>76.679081085146166</c:v>
                </c:pt>
                <c:pt idx="375">
                  <c:v>76.525876178950327</c:v>
                </c:pt>
                <c:pt idx="376">
                  <c:v>76.372977376361291</c:v>
                </c:pt>
                <c:pt idx="377">
                  <c:v>76.220384065783577</c:v>
                </c:pt>
                <c:pt idx="378">
                  <c:v>76.068095636843793</c:v>
                </c:pt>
                <c:pt idx="379">
                  <c:v>75.916111480387954</c:v>
                </c:pt>
                <c:pt idx="380">
                  <c:v>75.764430988479205</c:v>
                </c:pt>
                <c:pt idx="381">
                  <c:v>75.613053554395478</c:v>
                </c:pt>
                <c:pt idx="382">
                  <c:v>75.461978572626805</c:v>
                </c:pt>
                <c:pt idx="383">
                  <c:v>75.311205438873017</c:v>
                </c:pt>
                <c:pt idx="384">
                  <c:v>75.160733550041357</c:v>
                </c:pt>
                <c:pt idx="385">
                  <c:v>75.010562304244161</c:v>
                </c:pt>
                <c:pt idx="386">
                  <c:v>74.860691100796203</c:v>
                </c:pt>
                <c:pt idx="387">
                  <c:v>74.711119340212463</c:v>
                </c:pt>
                <c:pt idx="388">
                  <c:v>74.561846424205626</c:v>
                </c:pt>
                <c:pt idx="389">
                  <c:v>74.412871755683966</c:v>
                </c:pt>
                <c:pt idx="390">
                  <c:v>74.264194738748557</c:v>
                </c:pt>
                <c:pt idx="391">
                  <c:v>74.115814778691117</c:v>
                </c:pt>
                <c:pt idx="392">
                  <c:v>73.967731281991547</c:v>
                </c:pt>
                <c:pt idx="393">
                  <c:v>73.819943656315786</c:v>
                </c:pt>
                <c:pt idx="394">
                  <c:v>73.672451310513097</c:v>
                </c:pt>
                <c:pt idx="395">
                  <c:v>73.525253654613877</c:v>
                </c:pt>
                <c:pt idx="396">
                  <c:v>73.378350099827216</c:v>
                </c:pt>
                <c:pt idx="397">
                  <c:v>73.23174005853889</c:v>
                </c:pt>
                <c:pt idx="398">
                  <c:v>73.085422944308419</c:v>
                </c:pt>
                <c:pt idx="399">
                  <c:v>72.939398171867182</c:v>
                </c:pt>
                <c:pt idx="400">
                  <c:v>72.793665157115825</c:v>
                </c:pt>
                <c:pt idx="401">
                  <c:v>72.648223317122202</c:v>
                </c:pt>
                <c:pt idx="402">
                  <c:v>72.503072070118733</c:v>
                </c:pt>
                <c:pt idx="403">
                  <c:v>72.358210835500202</c:v>
                </c:pt>
                <c:pt idx="404">
                  <c:v>72.213639033821437</c:v>
                </c:pt>
                <c:pt idx="405">
                  <c:v>72.069356086795139</c:v>
                </c:pt>
                <c:pt idx="406">
                  <c:v>71.925361417289281</c:v>
                </c:pt>
                <c:pt idx="407">
                  <c:v>71.781654449325018</c:v>
                </c:pt>
                <c:pt idx="408">
                  <c:v>71.638234608074171</c:v>
                </c:pt>
                <c:pt idx="409">
                  <c:v>71.495101319857355</c:v>
                </c:pt>
                <c:pt idx="410">
                  <c:v>71.352254012141131</c:v>
                </c:pt>
                <c:pt idx="411">
                  <c:v>71.209692113536107</c:v>
                </c:pt>
                <c:pt idx="412">
                  <c:v>71.067415053794406</c:v>
                </c:pt>
                <c:pt idx="413">
                  <c:v>70.925422263807747</c:v>
                </c:pt>
                <c:pt idx="414">
                  <c:v>70.783713175604717</c:v>
                </c:pt>
                <c:pt idx="415">
                  <c:v>70.642287222348756</c:v>
                </c:pt>
                <c:pt idx="416">
                  <c:v>70.501143838335821</c:v>
                </c:pt>
                <c:pt idx="417">
                  <c:v>70.360282458992302</c:v>
                </c:pt>
                <c:pt idx="418">
                  <c:v>70.219702520872431</c:v>
                </c:pt>
                <c:pt idx="419">
                  <c:v>70.079403461656256</c:v>
                </c:pt>
                <c:pt idx="420">
                  <c:v>69.939384720147316</c:v>
                </c:pt>
                <c:pt idx="421">
                  <c:v>69.799645736270577</c:v>
                </c:pt>
                <c:pt idx="422">
                  <c:v>69.660185951069835</c:v>
                </c:pt>
                <c:pt idx="423">
                  <c:v>69.52100480670579</c:v>
                </c:pt>
                <c:pt idx="424">
                  <c:v>69.382101746453614</c:v>
                </c:pt>
                <c:pt idx="425">
                  <c:v>69.243476214700976</c:v>
                </c:pt>
                <c:pt idx="426">
                  <c:v>69.105127656945527</c:v>
                </c:pt>
                <c:pt idx="427">
                  <c:v>68.967055519792851</c:v>
                </c:pt>
                <c:pt idx="428">
                  <c:v>68.829259250954138</c:v>
                </c:pt>
                <c:pt idx="429">
                  <c:v>68.691738299244264</c:v>
                </c:pt>
                <c:pt idx="430">
                  <c:v>68.55449211457919</c:v>
                </c:pt>
                <c:pt idx="431">
                  <c:v>68.41752014797396</c:v>
                </c:pt>
                <c:pt idx="432">
                  <c:v>68.280821851540495</c:v>
                </c:pt>
                <c:pt idx="433">
                  <c:v>68.144396678485535</c:v>
                </c:pt>
                <c:pt idx="434">
                  <c:v>68.008244083108167</c:v>
                </c:pt>
                <c:pt idx="435">
                  <c:v>67.872363520797791</c:v>
                </c:pt>
                <c:pt idx="436">
                  <c:v>67.736754448031931</c:v>
                </c:pt>
                <c:pt idx="437">
                  <c:v>67.601416322374249</c:v>
                </c:pt>
                <c:pt idx="438">
                  <c:v>67.466348602471982</c:v>
                </c:pt>
                <c:pt idx="439">
                  <c:v>67.331550748054099</c:v>
                </c:pt>
                <c:pt idx="440">
                  <c:v>67.197022219928897</c:v>
                </c:pt>
                <c:pt idx="441">
                  <c:v>67.062762479982254</c:v>
                </c:pt>
                <c:pt idx="442">
                  <c:v>66.928770991174929</c:v>
                </c:pt>
                <c:pt idx="443">
                  <c:v>66.795047217540812</c:v>
                </c:pt>
                <c:pt idx="444">
                  <c:v>66.661590624184583</c:v>
                </c:pt>
                <c:pt idx="445">
                  <c:v>66.528400677279777</c:v>
                </c:pt>
                <c:pt idx="446">
                  <c:v>66.39547684406638</c:v>
                </c:pt>
                <c:pt idx="447">
                  <c:v>66.262818592848902</c:v>
                </c:pt>
                <c:pt idx="448">
                  <c:v>66.13042539299407</c:v>
                </c:pt>
                <c:pt idx="449">
                  <c:v>65.998296714929054</c:v>
                </c:pt>
                <c:pt idx="450">
                  <c:v>65.866432030138895</c:v>
                </c:pt>
                <c:pt idx="451">
                  <c:v>65.73483081116467</c:v>
                </c:pt>
                <c:pt idx="452">
                  <c:v>65.60349253160129</c:v>
                </c:pt>
                <c:pt idx="453">
                  <c:v>65.472416666095569</c:v>
                </c:pt>
                <c:pt idx="454">
                  <c:v>65.341602690343791</c:v>
                </c:pt>
                <c:pt idx="455">
                  <c:v>65.211050081089908</c:v>
                </c:pt>
                <c:pt idx="456">
                  <c:v>65.080758316123237</c:v>
                </c:pt>
                <c:pt idx="457">
                  <c:v>64.950726874276668</c:v>
                </c:pt>
                <c:pt idx="458">
                  <c:v>64.820955235424179</c:v>
                </c:pt>
                <c:pt idx="459">
                  <c:v>64.691442880479073</c:v>
                </c:pt>
                <c:pt idx="460">
                  <c:v>64.562189291391689</c:v>
                </c:pt>
                <c:pt idx="461">
                  <c:v>64.433193951147601</c:v>
                </c:pt>
                <c:pt idx="462">
                  <c:v>64.304456343765239</c:v>
                </c:pt>
                <c:pt idx="463">
                  <c:v>64.175975954293989</c:v>
                </c:pt>
                <c:pt idx="464">
                  <c:v>64.047752268812076</c:v>
                </c:pt>
                <c:pt idx="465">
                  <c:v>63.91978477442467</c:v>
                </c:pt>
                <c:pt idx="466">
                  <c:v>63.792072959261603</c:v>
                </c:pt>
                <c:pt idx="467">
                  <c:v>63.664616312475431</c:v>
                </c:pt>
                <c:pt idx="468">
                  <c:v>63.537414324239329</c:v>
                </c:pt>
                <c:pt idx="469">
                  <c:v>63.410466485745303</c:v>
                </c:pt>
                <c:pt idx="470">
                  <c:v>63.283772289201764</c:v>
                </c:pt>
                <c:pt idx="471">
                  <c:v>63.157331227831769</c:v>
                </c:pt>
                <c:pt idx="472">
                  <c:v>63.031142795870828</c:v>
                </c:pt>
                <c:pt idx="473">
                  <c:v>62.90520648856517</c:v>
                </c:pt>
                <c:pt idx="474">
                  <c:v>62.779521802169342</c:v>
                </c:pt>
                <c:pt idx="475">
                  <c:v>62.654088233944428</c:v>
                </c:pt>
                <c:pt idx="476">
                  <c:v>62.528905282155939</c:v>
                </c:pt>
                <c:pt idx="477">
                  <c:v>62.403972446071997</c:v>
                </c:pt>
                <c:pt idx="478">
                  <c:v>62.279289225961044</c:v>
                </c:pt>
                <c:pt idx="479">
                  <c:v>62.154855123090037</c:v>
                </c:pt>
                <c:pt idx="480">
                  <c:v>62.030669639722348</c:v>
                </c:pt>
                <c:pt idx="481">
                  <c:v>61.906732279115971</c:v>
                </c:pt>
                <c:pt idx="482">
                  <c:v>61.783042545521255</c:v>
                </c:pt>
                <c:pt idx="483">
                  <c:v>61.659599944179099</c:v>
                </c:pt>
                <c:pt idx="484">
                  <c:v>61.536403981318884</c:v>
                </c:pt>
                <c:pt idx="485">
                  <c:v>61.41345416415669</c:v>
                </c:pt>
                <c:pt idx="486">
                  <c:v>61.290750000893034</c:v>
                </c:pt>
                <c:pt idx="487">
                  <c:v>61.168291000711108</c:v>
                </c:pt>
                <c:pt idx="488">
                  <c:v>61.046076673774692</c:v>
                </c:pt>
                <c:pt idx="489">
                  <c:v>60.924106531226414</c:v>
                </c:pt>
                <c:pt idx="490">
                  <c:v>60.802380085185497</c:v>
                </c:pt>
                <c:pt idx="491">
                  <c:v>60.680896848745988</c:v>
                </c:pt>
                <c:pt idx="492">
                  <c:v>60.559656335974729</c:v>
                </c:pt>
                <c:pt idx="493">
                  <c:v>60.438658061909614</c:v>
                </c:pt>
                <c:pt idx="494">
                  <c:v>60.317901542557323</c:v>
                </c:pt>
                <c:pt idx="495">
                  <c:v>60.197386294891636</c:v>
                </c:pt>
                <c:pt idx="496">
                  <c:v>60.077111836851337</c:v>
                </c:pt>
                <c:pt idx="497">
                  <c:v>59.957077687338547</c:v>
                </c:pt>
                <c:pt idx="498">
                  <c:v>59.83728336621644</c:v>
                </c:pt>
                <c:pt idx="499">
                  <c:v>59.717728394307585</c:v>
                </c:pt>
                <c:pt idx="500">
                  <c:v>59.598412293391874</c:v>
                </c:pt>
                <c:pt idx="501">
                  <c:v>59.479334586204857</c:v>
                </c:pt>
                <c:pt idx="502">
                  <c:v>59.360494796435489</c:v>
                </c:pt>
                <c:pt idx="503">
                  <c:v>59.241892448724457</c:v>
                </c:pt>
                <c:pt idx="504">
                  <c:v>59.123527068662156</c:v>
                </c:pt>
                <c:pt idx="505">
                  <c:v>59.005398182787012</c:v>
                </c:pt>
                <c:pt idx="506">
                  <c:v>58.887505318583273</c:v>
                </c:pt>
                <c:pt idx="507">
                  <c:v>58.769848004479321</c:v>
                </c:pt>
                <c:pt idx="508">
                  <c:v>58.652425769845749</c:v>
                </c:pt>
                <c:pt idx="509">
                  <c:v>58.535238144993414</c:v>
                </c:pt>
                <c:pt idx="510">
                  <c:v>58.418284661171761</c:v>
                </c:pt>
                <c:pt idx="511">
                  <c:v>58.301564850566628</c:v>
                </c:pt>
                <c:pt idx="512">
                  <c:v>58.185078246298644</c:v>
                </c:pt>
                <c:pt idx="513">
                  <c:v>58.06882438242117</c:v>
                </c:pt>
                <c:pt idx="514">
                  <c:v>57.952802793918707</c:v>
                </c:pt>
                <c:pt idx="515">
                  <c:v>57.837013016704688</c:v>
                </c:pt>
                <c:pt idx="516">
                  <c:v>57.721454587619846</c:v>
                </c:pt>
                <c:pt idx="517">
                  <c:v>57.606127044430266</c:v>
                </c:pt>
                <c:pt idx="518">
                  <c:v>57.491029925825728</c:v>
                </c:pt>
                <c:pt idx="519">
                  <c:v>57.376162771417548</c:v>
                </c:pt>
                <c:pt idx="520">
                  <c:v>57.261525121736952</c:v>
                </c:pt>
                <c:pt idx="521">
                  <c:v>57.14711651823314</c:v>
                </c:pt>
                <c:pt idx="522">
                  <c:v>57.03293650327165</c:v>
                </c:pt>
                <c:pt idx="523">
                  <c:v>56.918984620132221</c:v>
                </c:pt>
                <c:pt idx="524">
                  <c:v>56.805260413007154</c:v>
                </c:pt>
                <c:pt idx="525">
                  <c:v>56.691763426999444</c:v>
                </c:pt>
                <c:pt idx="526">
                  <c:v>56.578493208121067</c:v>
                </c:pt>
                <c:pt idx="527">
                  <c:v>56.465449303290967</c:v>
                </c:pt>
                <c:pt idx="528">
                  <c:v>56.352631260333368</c:v>
                </c:pt>
                <c:pt idx="529">
                  <c:v>56.240038627975892</c:v>
                </c:pt>
                <c:pt idx="530">
                  <c:v>56.127670955847975</c:v>
                </c:pt>
                <c:pt idx="531">
                  <c:v>56.015527794478714</c:v>
                </c:pt>
                <c:pt idx="532">
                  <c:v>55.903608695295311</c:v>
                </c:pt>
                <c:pt idx="533">
                  <c:v>55.791913210621182</c:v>
                </c:pt>
                <c:pt idx="534">
                  <c:v>55.680440893674337</c:v>
                </c:pt>
                <c:pt idx="535">
                  <c:v>55.569191298565308</c:v>
                </c:pt>
                <c:pt idx="536">
                  <c:v>55.458163980295566</c:v>
                </c:pt>
                <c:pt idx="537">
                  <c:v>55.347358494755632</c:v>
                </c:pt>
                <c:pt idx="538">
                  <c:v>55.236774398723526</c:v>
                </c:pt>
                <c:pt idx="539">
                  <c:v>55.12641124986267</c:v>
                </c:pt>
                <c:pt idx="540">
                  <c:v>55.01626860672031</c:v>
                </c:pt>
                <c:pt idx="541">
                  <c:v>54.906346028725679</c:v>
                </c:pt>
                <c:pt idx="542">
                  <c:v>54.796643076188431</c:v>
                </c:pt>
                <c:pt idx="543">
                  <c:v>54.687159310296543</c:v>
                </c:pt>
                <c:pt idx="544">
                  <c:v>54.577894293114817</c:v>
                </c:pt>
                <c:pt idx="545">
                  <c:v>54.468847587582978</c:v>
                </c:pt>
                <c:pt idx="546">
                  <c:v>54.360018757514169</c:v>
                </c:pt>
                <c:pt idx="547">
                  <c:v>54.251407367592869</c:v>
                </c:pt>
                <c:pt idx="548">
                  <c:v>54.143012983373374</c:v>
                </c:pt>
                <c:pt idx="549">
                  <c:v>54.034835171277955</c:v>
                </c:pt>
                <c:pt idx="550">
                  <c:v>53.926873498595313</c:v>
                </c:pt>
                <c:pt idx="551">
                  <c:v>53.819127533478571</c:v>
                </c:pt>
                <c:pt idx="552">
                  <c:v>53.71159684494372</c:v>
                </c:pt>
                <c:pt idx="553">
                  <c:v>53.604281002867815</c:v>
                </c:pt>
                <c:pt idx="554">
                  <c:v>53.497179577987445</c:v>
                </c:pt>
                <c:pt idx="555">
                  <c:v>53.390292141896715</c:v>
                </c:pt>
                <c:pt idx="556">
                  <c:v>53.283618267045746</c:v>
                </c:pt>
                <c:pt idx="557">
                  <c:v>53.177157526738839</c:v>
                </c:pt>
                <c:pt idx="558">
                  <c:v>53.070909495132987</c:v>
                </c:pt>
                <c:pt idx="559">
                  <c:v>52.96487374723587</c:v>
                </c:pt>
                <c:pt idx="560">
                  <c:v>52.85904985890437</c:v>
                </c:pt>
                <c:pt idx="561">
                  <c:v>52.753437406842735</c:v>
                </c:pt>
                <c:pt idx="562">
                  <c:v>52.648035968601114</c:v>
                </c:pt>
                <c:pt idx="563">
                  <c:v>52.542845122573567</c:v>
                </c:pt>
                <c:pt idx="564">
                  <c:v>52.43786444799656</c:v>
                </c:pt>
                <c:pt idx="565">
                  <c:v>52.333093524947216</c:v>
                </c:pt>
                <c:pt idx="566">
                  <c:v>52.22853193434181</c:v>
                </c:pt>
                <c:pt idx="567">
                  <c:v>52.124179257933768</c:v>
                </c:pt>
                <c:pt idx="568">
                  <c:v>52.020035078312254</c:v>
                </c:pt>
                <c:pt idx="569">
                  <c:v>51.916098978900372</c:v>
                </c:pt>
                <c:pt idx="570">
                  <c:v>51.812370543953669</c:v>
                </c:pt>
                <c:pt idx="571">
                  <c:v>51.708849358558226</c:v>
                </c:pt>
                <c:pt idx="572">
                  <c:v>51.605535008629168</c:v>
                </c:pt>
                <c:pt idx="573">
                  <c:v>51.502427080908909</c:v>
                </c:pt>
                <c:pt idx="574">
                  <c:v>51.399525162965681</c:v>
                </c:pt>
                <c:pt idx="575">
                  <c:v>51.296828843191641</c:v>
                </c:pt>
                <c:pt idx="576">
                  <c:v>51.194337710801356</c:v>
                </c:pt>
                <c:pt idx="577">
                  <c:v>51.092051355830151</c:v>
                </c:pt>
                <c:pt idx="578">
                  <c:v>50.989969369132524</c:v>
                </c:pt>
                <c:pt idx="579">
                  <c:v>50.888091342380356</c:v>
                </c:pt>
                <c:pt idx="580">
                  <c:v>50.786416868061416</c:v>
                </c:pt>
                <c:pt idx="581">
                  <c:v>50.684945539477617</c:v>
                </c:pt>
                <c:pt idx="582">
                  <c:v>50.583676950743602</c:v>
                </c:pt>
                <c:pt idx="583">
                  <c:v>50.482610696784832</c:v>
                </c:pt>
                <c:pt idx="584">
                  <c:v>50.381746373336163</c:v>
                </c:pt>
                <c:pt idx="585">
                  <c:v>50.281083576940112</c:v>
                </c:pt>
                <c:pt idx="586">
                  <c:v>50.180621904945461</c:v>
                </c:pt>
                <c:pt idx="587">
                  <c:v>50.080360955505334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E4D-47DB-A3BD-34161F52DC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943615"/>
        <c:axId val="74944575"/>
      </c:scatterChart>
      <c:valAx>
        <c:axId val="74943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TIME(MONTHS)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944575"/>
        <c:crosses val="autoZero"/>
        <c:crossBetween val="midCat"/>
        <c:majorUnit val="300"/>
      </c:valAx>
      <c:valAx>
        <c:axId val="74944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FLOE</a:t>
                </a:r>
                <a:r>
                  <a:rPr lang="en-IN" baseline="0"/>
                  <a:t> RATE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9436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280717057066854"/>
          <c:y val="0.55836759988334794"/>
          <c:w val="0.16330399794139636"/>
          <c:h val="7.81255468066491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WOR &amp; WOR' V/S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2864577675452364E-2"/>
          <c:y val="0.20229120082833366"/>
          <c:w val="0.85477873967814433"/>
          <c:h val="0.7807385180252826"/>
        </c:manualLayout>
      </c:layout>
      <c:scatterChart>
        <c:scatterStyle val="lineMarker"/>
        <c:varyColors val="0"/>
        <c:ser>
          <c:idx val="0"/>
          <c:order val="0"/>
          <c:tx>
            <c:v>WOR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857B-483C-99ED-BB4BFCFB5CD2}"/>
              </c:ext>
            </c:extLst>
          </c:dPt>
          <c:xVal>
            <c:numRef>
              <c:f>'Well_B-4'!$Q$2:$Q$59</c:f>
              <c:numCache>
                <c:formatCode>General</c:formatCode>
                <c:ptCount val="58"/>
                <c:pt idx="0">
                  <c:v>0</c:v>
                </c:pt>
                <c:pt idx="1">
                  <c:v>31</c:v>
                </c:pt>
                <c:pt idx="2">
                  <c:v>59</c:v>
                </c:pt>
                <c:pt idx="3">
                  <c:v>90</c:v>
                </c:pt>
                <c:pt idx="4">
                  <c:v>120</c:v>
                </c:pt>
                <c:pt idx="5">
                  <c:v>151</c:v>
                </c:pt>
                <c:pt idx="6">
                  <c:v>181</c:v>
                </c:pt>
                <c:pt idx="7">
                  <c:v>212</c:v>
                </c:pt>
                <c:pt idx="8">
                  <c:v>243</c:v>
                </c:pt>
                <c:pt idx="9">
                  <c:v>273</c:v>
                </c:pt>
                <c:pt idx="10">
                  <c:v>304</c:v>
                </c:pt>
                <c:pt idx="11">
                  <c:v>334</c:v>
                </c:pt>
                <c:pt idx="12">
                  <c:v>365</c:v>
                </c:pt>
                <c:pt idx="13">
                  <c:v>396</c:v>
                </c:pt>
                <c:pt idx="14">
                  <c:v>424</c:v>
                </c:pt>
                <c:pt idx="15">
                  <c:v>455</c:v>
                </c:pt>
                <c:pt idx="16">
                  <c:v>485</c:v>
                </c:pt>
                <c:pt idx="17">
                  <c:v>516</c:v>
                </c:pt>
                <c:pt idx="18">
                  <c:v>546</c:v>
                </c:pt>
                <c:pt idx="19">
                  <c:v>577</c:v>
                </c:pt>
                <c:pt idx="20">
                  <c:v>608</c:v>
                </c:pt>
                <c:pt idx="21">
                  <c:v>638</c:v>
                </c:pt>
                <c:pt idx="22">
                  <c:v>669</c:v>
                </c:pt>
                <c:pt idx="23">
                  <c:v>699</c:v>
                </c:pt>
                <c:pt idx="24">
                  <c:v>730</c:v>
                </c:pt>
                <c:pt idx="25">
                  <c:v>761</c:v>
                </c:pt>
                <c:pt idx="26">
                  <c:v>789</c:v>
                </c:pt>
                <c:pt idx="27">
                  <c:v>820</c:v>
                </c:pt>
                <c:pt idx="28">
                  <c:v>850</c:v>
                </c:pt>
                <c:pt idx="29">
                  <c:v>881</c:v>
                </c:pt>
                <c:pt idx="30">
                  <c:v>911</c:v>
                </c:pt>
                <c:pt idx="31">
                  <c:v>942</c:v>
                </c:pt>
                <c:pt idx="32">
                  <c:v>973</c:v>
                </c:pt>
                <c:pt idx="33">
                  <c:v>1003</c:v>
                </c:pt>
                <c:pt idx="34">
                  <c:v>1034</c:v>
                </c:pt>
                <c:pt idx="35">
                  <c:v>1064</c:v>
                </c:pt>
                <c:pt idx="36">
                  <c:v>1095</c:v>
                </c:pt>
                <c:pt idx="37">
                  <c:v>1126</c:v>
                </c:pt>
                <c:pt idx="38">
                  <c:v>1155</c:v>
                </c:pt>
                <c:pt idx="39">
                  <c:v>1186</c:v>
                </c:pt>
                <c:pt idx="40">
                  <c:v>1216</c:v>
                </c:pt>
                <c:pt idx="41">
                  <c:v>1247</c:v>
                </c:pt>
                <c:pt idx="42">
                  <c:v>1277</c:v>
                </c:pt>
                <c:pt idx="43">
                  <c:v>1308</c:v>
                </c:pt>
                <c:pt idx="44">
                  <c:v>1339</c:v>
                </c:pt>
                <c:pt idx="45">
                  <c:v>1369</c:v>
                </c:pt>
                <c:pt idx="46">
                  <c:v>1400</c:v>
                </c:pt>
                <c:pt idx="47">
                  <c:v>1430</c:v>
                </c:pt>
                <c:pt idx="48">
                  <c:v>1461</c:v>
                </c:pt>
                <c:pt idx="49">
                  <c:v>1492</c:v>
                </c:pt>
                <c:pt idx="50">
                  <c:v>1520</c:v>
                </c:pt>
                <c:pt idx="51">
                  <c:v>1551</c:v>
                </c:pt>
                <c:pt idx="52">
                  <c:v>1581</c:v>
                </c:pt>
                <c:pt idx="53">
                  <c:v>1612</c:v>
                </c:pt>
                <c:pt idx="54">
                  <c:v>1642</c:v>
                </c:pt>
                <c:pt idx="55">
                  <c:v>1673</c:v>
                </c:pt>
                <c:pt idx="56">
                  <c:v>1704</c:v>
                </c:pt>
                <c:pt idx="57">
                  <c:v>1734</c:v>
                </c:pt>
              </c:numCache>
            </c:numRef>
          </c:xVal>
          <c:yVal>
            <c:numRef>
              <c:f>'Well_B-4'!$R$2:$R$59</c:f>
              <c:numCache>
                <c:formatCode>General</c:formatCode>
                <c:ptCount val="58"/>
                <c:pt idx="0">
                  <c:v>1.4408025324710635E-4</c:v>
                </c:pt>
                <c:pt idx="1">
                  <c:v>7.4690223695491714E-5</c:v>
                </c:pt>
                <c:pt idx="2">
                  <c:v>5.1031236810277259E-5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1.6575089536851419E-2</c:v>
                </c:pt>
                <c:pt idx="14">
                  <c:v>4.3051460811636452E-2</c:v>
                </c:pt>
                <c:pt idx="15">
                  <c:v>2.9194007217781804E-2</c:v>
                </c:pt>
                <c:pt idx="16">
                  <c:v>6.7355138315873574E-3</c:v>
                </c:pt>
                <c:pt idx="17">
                  <c:v>2.3916718383960742E-2</c:v>
                </c:pt>
                <c:pt idx="18">
                  <c:v>4.3241785324712116E-2</c:v>
                </c:pt>
                <c:pt idx="19">
                  <c:v>4.9842622363392958E-2</c:v>
                </c:pt>
                <c:pt idx="20">
                  <c:v>6.9368597714141847E-2</c:v>
                </c:pt>
                <c:pt idx="21">
                  <c:v>6.103824301959334E-2</c:v>
                </c:pt>
                <c:pt idx="22">
                  <c:v>3.6224716888382955E-2</c:v>
                </c:pt>
                <c:pt idx="23">
                  <c:v>4.2658586912745671E-3</c:v>
                </c:pt>
                <c:pt idx="24">
                  <c:v>7.1745059368923001E-3</c:v>
                </c:pt>
                <c:pt idx="25">
                  <c:v>1.6980526015374534E-2</c:v>
                </c:pt>
                <c:pt idx="26">
                  <c:v>1.8779199767531059E-2</c:v>
                </c:pt>
                <c:pt idx="27">
                  <c:v>1.6862258517403972E-2</c:v>
                </c:pt>
                <c:pt idx="28">
                  <c:v>1.9199599101802575E-2</c:v>
                </c:pt>
                <c:pt idx="29">
                  <c:v>8.1932865659511939E-2</c:v>
                </c:pt>
                <c:pt idx="30">
                  <c:v>6.0959200574415527E-2</c:v>
                </c:pt>
                <c:pt idx="31">
                  <c:v>7.0286615568243824E-2</c:v>
                </c:pt>
                <c:pt idx="32">
                  <c:v>0</c:v>
                </c:pt>
                <c:pt idx="33">
                  <c:v>0.25628322477377308</c:v>
                </c:pt>
                <c:pt idx="34">
                  <c:v>0.35323643692000406</c:v>
                </c:pt>
                <c:pt idx="35">
                  <c:v>0.7268571881979079</c:v>
                </c:pt>
                <c:pt idx="36">
                  <c:v>0.45363372799268259</c:v>
                </c:pt>
                <c:pt idx="37">
                  <c:v>0.26380116976267315</c:v>
                </c:pt>
                <c:pt idx="38">
                  <c:v>0.30011766571165988</c:v>
                </c:pt>
                <c:pt idx="39">
                  <c:v>0.38682077741850474</c:v>
                </c:pt>
                <c:pt idx="40">
                  <c:v>0.34266705130484459</c:v>
                </c:pt>
                <c:pt idx="41">
                  <c:v>0.35974508065261385</c:v>
                </c:pt>
                <c:pt idx="42">
                  <c:v>0.25352445333958595</c:v>
                </c:pt>
                <c:pt idx="43">
                  <c:v>0.24627844253611356</c:v>
                </c:pt>
                <c:pt idx="44">
                  <c:v>0.19519271672782457</c:v>
                </c:pt>
                <c:pt idx="45">
                  <c:v>0.19790437740219119</c:v>
                </c:pt>
                <c:pt idx="46">
                  <c:v>0.17420231834290562</c:v>
                </c:pt>
                <c:pt idx="47">
                  <c:v>0.16060353943690839</c:v>
                </c:pt>
                <c:pt idx="48">
                  <c:v>0.16218941186105104</c:v>
                </c:pt>
                <c:pt idx="49">
                  <c:v>0.27104131914097751</c:v>
                </c:pt>
                <c:pt idx="50">
                  <c:v>0.41081077165283014</c:v>
                </c:pt>
                <c:pt idx="51">
                  <c:v>0.3727619266325416</c:v>
                </c:pt>
                <c:pt idx="52">
                  <c:v>0.29473413757982014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B36F-4CC1-A3A2-231CB46086E8}"/>
            </c:ext>
          </c:extLst>
        </c:ser>
        <c:ser>
          <c:idx val="1"/>
          <c:order val="1"/>
          <c:tx>
            <c:v>WOR'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'Well_B-4'!$Q$2:$Q$54</c:f>
              <c:numCache>
                <c:formatCode>General</c:formatCode>
                <c:ptCount val="53"/>
                <c:pt idx="0">
                  <c:v>0</c:v>
                </c:pt>
                <c:pt idx="1">
                  <c:v>31</c:v>
                </c:pt>
                <c:pt idx="2">
                  <c:v>59</c:v>
                </c:pt>
                <c:pt idx="3">
                  <c:v>90</c:v>
                </c:pt>
                <c:pt idx="4">
                  <c:v>120</c:v>
                </c:pt>
                <c:pt idx="5">
                  <c:v>151</c:v>
                </c:pt>
                <c:pt idx="6">
                  <c:v>181</c:v>
                </c:pt>
                <c:pt idx="7">
                  <c:v>212</c:v>
                </c:pt>
                <c:pt idx="8">
                  <c:v>243</c:v>
                </c:pt>
                <c:pt idx="9">
                  <c:v>273</c:v>
                </c:pt>
                <c:pt idx="10">
                  <c:v>304</c:v>
                </c:pt>
                <c:pt idx="11">
                  <c:v>334</c:v>
                </c:pt>
                <c:pt idx="12">
                  <c:v>365</c:v>
                </c:pt>
                <c:pt idx="13">
                  <c:v>396</c:v>
                </c:pt>
                <c:pt idx="14">
                  <c:v>424</c:v>
                </c:pt>
                <c:pt idx="15">
                  <c:v>455</c:v>
                </c:pt>
                <c:pt idx="16">
                  <c:v>485</c:v>
                </c:pt>
                <c:pt idx="17">
                  <c:v>516</c:v>
                </c:pt>
                <c:pt idx="18">
                  <c:v>546</c:v>
                </c:pt>
                <c:pt idx="19">
                  <c:v>577</c:v>
                </c:pt>
                <c:pt idx="20">
                  <c:v>608</c:v>
                </c:pt>
                <c:pt idx="21">
                  <c:v>638</c:v>
                </c:pt>
                <c:pt idx="22">
                  <c:v>669</c:v>
                </c:pt>
                <c:pt idx="23">
                  <c:v>699</c:v>
                </c:pt>
                <c:pt idx="24">
                  <c:v>730</c:v>
                </c:pt>
                <c:pt idx="25">
                  <c:v>761</c:v>
                </c:pt>
                <c:pt idx="26">
                  <c:v>789</c:v>
                </c:pt>
                <c:pt idx="27">
                  <c:v>820</c:v>
                </c:pt>
                <c:pt idx="28">
                  <c:v>850</c:v>
                </c:pt>
                <c:pt idx="29">
                  <c:v>881</c:v>
                </c:pt>
                <c:pt idx="30">
                  <c:v>911</c:v>
                </c:pt>
                <c:pt idx="31">
                  <c:v>942</c:v>
                </c:pt>
                <c:pt idx="32">
                  <c:v>973</c:v>
                </c:pt>
                <c:pt idx="33">
                  <c:v>1003</c:v>
                </c:pt>
                <c:pt idx="34">
                  <c:v>1034</c:v>
                </c:pt>
                <c:pt idx="35">
                  <c:v>1064</c:v>
                </c:pt>
                <c:pt idx="36">
                  <c:v>1095</c:v>
                </c:pt>
                <c:pt idx="37">
                  <c:v>1126</c:v>
                </c:pt>
                <c:pt idx="38">
                  <c:v>1155</c:v>
                </c:pt>
                <c:pt idx="39">
                  <c:v>1186</c:v>
                </c:pt>
                <c:pt idx="40">
                  <c:v>1216</c:v>
                </c:pt>
                <c:pt idx="41">
                  <c:v>1247</c:v>
                </c:pt>
                <c:pt idx="42">
                  <c:v>1277</c:v>
                </c:pt>
                <c:pt idx="43">
                  <c:v>1308</c:v>
                </c:pt>
                <c:pt idx="44">
                  <c:v>1339</c:v>
                </c:pt>
                <c:pt idx="45">
                  <c:v>1369</c:v>
                </c:pt>
                <c:pt idx="46">
                  <c:v>1400</c:v>
                </c:pt>
                <c:pt idx="47">
                  <c:v>1430</c:v>
                </c:pt>
                <c:pt idx="48">
                  <c:v>1461</c:v>
                </c:pt>
                <c:pt idx="49">
                  <c:v>1492</c:v>
                </c:pt>
                <c:pt idx="50">
                  <c:v>1520</c:v>
                </c:pt>
                <c:pt idx="51">
                  <c:v>1551</c:v>
                </c:pt>
                <c:pt idx="52">
                  <c:v>1581</c:v>
                </c:pt>
              </c:numCache>
            </c:numRef>
          </c:xVal>
          <c:yVal>
            <c:numRef>
              <c:f>'Well_B-4'!$S$2:$S$54</c:f>
              <c:numCache>
                <c:formatCode>General</c:formatCode>
                <c:ptCount val="53"/>
                <c:pt idx="1">
                  <c:v>-1.5771019735055778E-6</c:v>
                </c:pt>
                <c:pt idx="2">
                  <c:v>-1.2659359948388427E-6</c:v>
                </c:pt>
                <c:pt idx="3">
                  <c:v>-8.3657765262749609E-7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2.6734015382018415E-4</c:v>
                </c:pt>
                <c:pt idx="13">
                  <c:v>7.296857764684144E-4</c:v>
                </c:pt>
                <c:pt idx="14">
                  <c:v>2.1387996069373536E-4</c:v>
                </c:pt>
                <c:pt idx="15">
                  <c:v>-5.953433931155589E-4</c:v>
                </c:pt>
                <c:pt idx="16">
                  <c:v>-8.6512931701984635E-5</c:v>
                </c:pt>
                <c:pt idx="17">
                  <c:v>5.9846346710040581E-4</c:v>
                </c:pt>
                <c:pt idx="18">
                  <c:v>4.2501481933495435E-4</c:v>
                </c:pt>
                <c:pt idx="19">
                  <c:v>4.2140019982951177E-4</c:v>
                </c:pt>
                <c:pt idx="20">
                  <c:v>1.8353476485574396E-4</c:v>
                </c:pt>
                <c:pt idx="21">
                  <c:v>-5.4334230861899824E-4</c:v>
                </c:pt>
                <c:pt idx="22">
                  <c:v>-9.3069482505440612E-4</c:v>
                </c:pt>
                <c:pt idx="23">
                  <c:v>-4.7623296641787958E-4</c:v>
                </c:pt>
                <c:pt idx="24">
                  <c:v>2.0507527942096722E-4</c:v>
                </c:pt>
                <c:pt idx="25">
                  <c:v>1.9668972594302981E-4</c:v>
                </c:pt>
                <c:pt idx="26">
                  <c:v>-2.0045338639078369E-6</c:v>
                </c:pt>
                <c:pt idx="27">
                  <c:v>6.8917923651068049E-6</c:v>
                </c:pt>
                <c:pt idx="28">
                  <c:v>1.0667312646247208E-3</c:v>
                </c:pt>
                <c:pt idx="29">
                  <c:v>6.8458363069857301E-4</c:v>
                </c:pt>
                <c:pt idx="30">
                  <c:v>-1.9092213264373958E-4</c:v>
                </c:pt>
                <c:pt idx="31">
                  <c:v>0</c:v>
                </c:pt>
                <c:pt idx="32">
                  <c:v>3.04912474107425E-3</c:v>
                </c:pt>
                <c:pt idx="33">
                  <c:v>0</c:v>
                </c:pt>
                <c:pt idx="34">
                  <c:v>7.7143272692481116E-3</c:v>
                </c:pt>
                <c:pt idx="35">
                  <c:v>1.6458572306996481E-3</c:v>
                </c:pt>
                <c:pt idx="36">
                  <c:v>-7.4686454586328187E-3</c:v>
                </c:pt>
                <c:pt idx="37">
                  <c:v>-2.5586010380170454E-3</c:v>
                </c:pt>
                <c:pt idx="38">
                  <c:v>2.0503267942638599E-3</c:v>
                </c:pt>
                <c:pt idx="39">
                  <c:v>6.9753091136368387E-4</c:v>
                </c:pt>
                <c:pt idx="40">
                  <c:v>-4.4386388140804737E-4</c:v>
                </c:pt>
                <c:pt idx="41">
                  <c:v>-1.46135406500424E-3</c:v>
                </c:pt>
                <c:pt idx="42">
                  <c:v>-1.860108821581972E-3</c:v>
                </c:pt>
                <c:pt idx="43">
                  <c:v>-9.4083446148002237E-4</c:v>
                </c:pt>
                <c:pt idx="44">
                  <c:v>-7.9301746121184207E-4</c:v>
                </c:pt>
                <c:pt idx="45">
                  <c:v>-3.4410489155604836E-4</c:v>
                </c:pt>
                <c:pt idx="46">
                  <c:v>-6.1148914697184919E-4</c:v>
                </c:pt>
                <c:pt idx="47">
                  <c:v>-1.9693289314515696E-4</c:v>
                </c:pt>
                <c:pt idx="48">
                  <c:v>1.7812545113559536E-3</c:v>
                </c:pt>
                <c:pt idx="49">
                  <c:v>4.2139213524030354E-3</c:v>
                </c:pt>
                <c:pt idx="50">
                  <c:v>1.7240780930773574E-3</c:v>
                </c:pt>
                <c:pt idx="51">
                  <c:v>-1.9028956405411476E-3</c:v>
                </c:pt>
                <c:pt idx="5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B36F-4CC1-A3A2-231CB46086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007455"/>
        <c:axId val="74997855"/>
      </c:scatterChart>
      <c:valAx>
        <c:axId val="75007455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997855"/>
        <c:crosses val="autoZero"/>
        <c:crossBetween val="midCat"/>
      </c:valAx>
      <c:valAx>
        <c:axId val="7499785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074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EXPONENTIAL</a:t>
            </a:r>
            <a:r>
              <a:rPr lang="en-IN" baseline="0"/>
              <a:t> PLOT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PRODUCTION HISTORY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'Well_B-4'!$Y$3:$Y$59</c:f>
              <c:numCache>
                <c:formatCode>General</c:formatCode>
                <c:ptCount val="57"/>
                <c:pt idx="0">
                  <c:v>0</c:v>
                </c:pt>
                <c:pt idx="1">
                  <c:v>31</c:v>
                </c:pt>
                <c:pt idx="2">
                  <c:v>59</c:v>
                </c:pt>
                <c:pt idx="3">
                  <c:v>90</c:v>
                </c:pt>
                <c:pt idx="4">
                  <c:v>120</c:v>
                </c:pt>
                <c:pt idx="5">
                  <c:v>151</c:v>
                </c:pt>
                <c:pt idx="6">
                  <c:v>181</c:v>
                </c:pt>
                <c:pt idx="7">
                  <c:v>212</c:v>
                </c:pt>
                <c:pt idx="8">
                  <c:v>243</c:v>
                </c:pt>
                <c:pt idx="9">
                  <c:v>273</c:v>
                </c:pt>
                <c:pt idx="10">
                  <c:v>304</c:v>
                </c:pt>
                <c:pt idx="11">
                  <c:v>334</c:v>
                </c:pt>
                <c:pt idx="12">
                  <c:v>365</c:v>
                </c:pt>
                <c:pt idx="13">
                  <c:v>396</c:v>
                </c:pt>
                <c:pt idx="14">
                  <c:v>424</c:v>
                </c:pt>
                <c:pt idx="15">
                  <c:v>455</c:v>
                </c:pt>
                <c:pt idx="16">
                  <c:v>485</c:v>
                </c:pt>
                <c:pt idx="17">
                  <c:v>516</c:v>
                </c:pt>
                <c:pt idx="18">
                  <c:v>546</c:v>
                </c:pt>
                <c:pt idx="19">
                  <c:v>577</c:v>
                </c:pt>
                <c:pt idx="20">
                  <c:v>608</c:v>
                </c:pt>
                <c:pt idx="21">
                  <c:v>638</c:v>
                </c:pt>
                <c:pt idx="22">
                  <c:v>669</c:v>
                </c:pt>
                <c:pt idx="23">
                  <c:v>699</c:v>
                </c:pt>
                <c:pt idx="24">
                  <c:v>730</c:v>
                </c:pt>
                <c:pt idx="25">
                  <c:v>761</c:v>
                </c:pt>
                <c:pt idx="26">
                  <c:v>789</c:v>
                </c:pt>
                <c:pt idx="27">
                  <c:v>820</c:v>
                </c:pt>
                <c:pt idx="28">
                  <c:v>850</c:v>
                </c:pt>
                <c:pt idx="29">
                  <c:v>881</c:v>
                </c:pt>
                <c:pt idx="30">
                  <c:v>911</c:v>
                </c:pt>
                <c:pt idx="31">
                  <c:v>942</c:v>
                </c:pt>
                <c:pt idx="32">
                  <c:v>973</c:v>
                </c:pt>
                <c:pt idx="33">
                  <c:v>1003</c:v>
                </c:pt>
                <c:pt idx="34">
                  <c:v>1034</c:v>
                </c:pt>
                <c:pt idx="35">
                  <c:v>1064</c:v>
                </c:pt>
                <c:pt idx="36">
                  <c:v>1095</c:v>
                </c:pt>
                <c:pt idx="37">
                  <c:v>1126</c:v>
                </c:pt>
                <c:pt idx="38">
                  <c:v>1155</c:v>
                </c:pt>
                <c:pt idx="39">
                  <c:v>1186</c:v>
                </c:pt>
                <c:pt idx="40">
                  <c:v>1216</c:v>
                </c:pt>
                <c:pt idx="41">
                  <c:v>1247</c:v>
                </c:pt>
                <c:pt idx="42">
                  <c:v>1277</c:v>
                </c:pt>
                <c:pt idx="43">
                  <c:v>1308</c:v>
                </c:pt>
                <c:pt idx="44">
                  <c:v>1339</c:v>
                </c:pt>
                <c:pt idx="45">
                  <c:v>1369</c:v>
                </c:pt>
                <c:pt idx="46">
                  <c:v>1400</c:v>
                </c:pt>
                <c:pt idx="47">
                  <c:v>1430</c:v>
                </c:pt>
                <c:pt idx="48">
                  <c:v>1461</c:v>
                </c:pt>
                <c:pt idx="49">
                  <c:v>1492</c:v>
                </c:pt>
                <c:pt idx="50">
                  <c:v>1520</c:v>
                </c:pt>
                <c:pt idx="51">
                  <c:v>1551</c:v>
                </c:pt>
                <c:pt idx="52">
                  <c:v>1581</c:v>
                </c:pt>
                <c:pt idx="53">
                  <c:v>1612</c:v>
                </c:pt>
                <c:pt idx="54">
                  <c:v>1642</c:v>
                </c:pt>
                <c:pt idx="55">
                  <c:v>1673</c:v>
                </c:pt>
                <c:pt idx="56">
                  <c:v>1704</c:v>
                </c:pt>
              </c:numCache>
            </c:numRef>
          </c:xVal>
          <c:yVal>
            <c:numRef>
              <c:f>'Well_B-4'!$C$2:$C$54</c:f>
              <c:numCache>
                <c:formatCode>0</c:formatCode>
                <c:ptCount val="53"/>
                <c:pt idx="0">
                  <c:v>546.38970967741932</c:v>
                </c:pt>
                <c:pt idx="1">
                  <c:v>778.96071428571429</c:v>
                </c:pt>
                <c:pt idx="2">
                  <c:v>727.59483870967733</c:v>
                </c:pt>
                <c:pt idx="3">
                  <c:v>777.16893333333326</c:v>
                </c:pt>
                <c:pt idx="4">
                  <c:v>433.90954838709678</c:v>
                </c:pt>
                <c:pt idx="5">
                  <c:v>452.18009999999998</c:v>
                </c:pt>
                <c:pt idx="6">
                  <c:v>433.78661290322583</c:v>
                </c:pt>
                <c:pt idx="7">
                  <c:v>479.70441935483871</c:v>
                </c:pt>
                <c:pt idx="8">
                  <c:v>508.07849999999996</c:v>
                </c:pt>
                <c:pt idx="9">
                  <c:v>593.54696774193542</c:v>
                </c:pt>
                <c:pt idx="10">
                  <c:v>614.0644666666667</c:v>
                </c:pt>
                <c:pt idx="11">
                  <c:v>590.28361290322584</c:v>
                </c:pt>
                <c:pt idx="12">
                  <c:v>497.15129032258068</c:v>
                </c:pt>
                <c:pt idx="13">
                  <c:v>486.51157142857147</c:v>
                </c:pt>
                <c:pt idx="14">
                  <c:v>477.24132258064515</c:v>
                </c:pt>
                <c:pt idx="15">
                  <c:v>523.89133333333336</c:v>
                </c:pt>
                <c:pt idx="16">
                  <c:v>554.60245161290322</c:v>
                </c:pt>
                <c:pt idx="17">
                  <c:v>504.12966666666665</c:v>
                </c:pt>
                <c:pt idx="18">
                  <c:v>468.81577419354841</c:v>
                </c:pt>
                <c:pt idx="19">
                  <c:v>471.00187096774198</c:v>
                </c:pt>
                <c:pt idx="20">
                  <c:v>504.39406666666599</c:v>
                </c:pt>
                <c:pt idx="21">
                  <c:v>512.46206451612898</c:v>
                </c:pt>
                <c:pt idx="22">
                  <c:v>457.85239999999999</c:v>
                </c:pt>
                <c:pt idx="23">
                  <c:v>338.64812903225805</c:v>
                </c:pt>
                <c:pt idx="24">
                  <c:v>293.435806451612</c:v>
                </c:pt>
                <c:pt idx="25">
                  <c:v>333.873999999999</c:v>
                </c:pt>
                <c:pt idx="26">
                  <c:v>354.122903225806</c:v>
                </c:pt>
                <c:pt idx="27">
                  <c:v>397.85303333333297</c:v>
                </c:pt>
                <c:pt idx="28">
                  <c:v>372.90458064516127</c:v>
                </c:pt>
                <c:pt idx="29">
                  <c:v>479.06133333333332</c:v>
                </c:pt>
                <c:pt idx="30">
                  <c:v>610.14616129032254</c:v>
                </c:pt>
                <c:pt idx="31">
                  <c:v>635.41300000000001</c:v>
                </c:pt>
                <c:pt idx="32">
                  <c:v>0</c:v>
                </c:pt>
                <c:pt idx="33">
                  <c:v>335.46819354838709</c:v>
                </c:pt>
                <c:pt idx="34">
                  <c:v>435.36939999999998</c:v>
                </c:pt>
                <c:pt idx="35">
                  <c:v>333.47067741935484</c:v>
                </c:pt>
                <c:pt idx="36">
                  <c:v>357.46358064516124</c:v>
                </c:pt>
                <c:pt idx="37">
                  <c:v>358.69344827586207</c:v>
                </c:pt>
                <c:pt idx="38">
                  <c:v>336.01067741935486</c:v>
                </c:pt>
                <c:pt idx="39">
                  <c:v>595.25553333333335</c:v>
                </c:pt>
                <c:pt idx="40">
                  <c:v>510.2127741935484</c:v>
                </c:pt>
                <c:pt idx="41">
                  <c:v>442.94493333333332</c:v>
                </c:pt>
                <c:pt idx="42">
                  <c:v>386.72796774193546</c:v>
                </c:pt>
                <c:pt idx="43">
                  <c:v>388.22419354838712</c:v>
                </c:pt>
                <c:pt idx="44">
                  <c:v>362.3408</c:v>
                </c:pt>
                <c:pt idx="45">
                  <c:v>339.60929032258065</c:v>
                </c:pt>
                <c:pt idx="46">
                  <c:v>352.20846666666671</c:v>
                </c:pt>
                <c:pt idx="47">
                  <c:v>418.33335483870968</c:v>
                </c:pt>
                <c:pt idx="48">
                  <c:v>453.38254838709679</c:v>
                </c:pt>
                <c:pt idx="49">
                  <c:v>422.77621428571427</c:v>
                </c:pt>
                <c:pt idx="50">
                  <c:v>404.59361290322579</c:v>
                </c:pt>
                <c:pt idx="51">
                  <c:v>367.60166666666663</c:v>
                </c:pt>
                <c:pt idx="52">
                  <c:v>136.91570967741936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4E2-4676-92B0-9119C8801571}"/>
            </c:ext>
          </c:extLst>
        </c:ser>
        <c:ser>
          <c:idx val="1"/>
          <c:order val="1"/>
          <c:tx>
            <c:v>NEW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7.669538660834771E-2"/>
                  <c:y val="-0.19422339135562788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="1" baseline="0"/>
                      <a:t>y = 1,016.74887e</a:t>
                    </a:r>
                    <a:r>
                      <a:rPr lang="en-US" b="1" baseline="30000"/>
                      <a:t>-0.00066x</a:t>
                    </a:r>
                    <a:br>
                      <a:rPr lang="en-US" baseline="0"/>
                    </a:br>
                    <a:r>
                      <a:rPr lang="en-US" baseline="0"/>
                      <a:t>R² = 0.29444</a:t>
                    </a:r>
                    <a:endParaRPr lang="en-US"/>
                  </a:p>
                </c:rich>
              </c:tx>
              <c:numFmt formatCode="#,##0.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'Well_B-4'!$Y$42:$Y$54</c:f>
              <c:numCache>
                <c:formatCode>General</c:formatCode>
                <c:ptCount val="13"/>
                <c:pt idx="0">
                  <c:v>1186</c:v>
                </c:pt>
                <c:pt idx="1">
                  <c:v>1216</c:v>
                </c:pt>
                <c:pt idx="2">
                  <c:v>1247</c:v>
                </c:pt>
                <c:pt idx="3">
                  <c:v>1277</c:v>
                </c:pt>
                <c:pt idx="4">
                  <c:v>1308</c:v>
                </c:pt>
                <c:pt idx="5">
                  <c:v>1339</c:v>
                </c:pt>
                <c:pt idx="6">
                  <c:v>1369</c:v>
                </c:pt>
                <c:pt idx="7">
                  <c:v>1400</c:v>
                </c:pt>
                <c:pt idx="8">
                  <c:v>1430</c:v>
                </c:pt>
                <c:pt idx="9">
                  <c:v>1461</c:v>
                </c:pt>
                <c:pt idx="10">
                  <c:v>1492</c:v>
                </c:pt>
                <c:pt idx="11">
                  <c:v>1520</c:v>
                </c:pt>
                <c:pt idx="12">
                  <c:v>1551</c:v>
                </c:pt>
              </c:numCache>
            </c:numRef>
          </c:xVal>
          <c:yVal>
            <c:numRef>
              <c:f>'Well_B-4'!$C$41:$C$54</c:f>
              <c:numCache>
                <c:formatCode>0</c:formatCode>
                <c:ptCount val="14"/>
                <c:pt idx="0">
                  <c:v>595.25553333333335</c:v>
                </c:pt>
                <c:pt idx="1">
                  <c:v>510.2127741935484</c:v>
                </c:pt>
                <c:pt idx="2">
                  <c:v>442.94493333333332</c:v>
                </c:pt>
                <c:pt idx="3">
                  <c:v>386.72796774193546</c:v>
                </c:pt>
                <c:pt idx="4">
                  <c:v>388.22419354838712</c:v>
                </c:pt>
                <c:pt idx="5">
                  <c:v>362.3408</c:v>
                </c:pt>
                <c:pt idx="6">
                  <c:v>339.60929032258065</c:v>
                </c:pt>
                <c:pt idx="7">
                  <c:v>352.20846666666671</c:v>
                </c:pt>
                <c:pt idx="8">
                  <c:v>418.33335483870968</c:v>
                </c:pt>
                <c:pt idx="9">
                  <c:v>453.38254838709679</c:v>
                </c:pt>
                <c:pt idx="10">
                  <c:v>422.77621428571427</c:v>
                </c:pt>
                <c:pt idx="11">
                  <c:v>404.59361290322579</c:v>
                </c:pt>
                <c:pt idx="12">
                  <c:v>367.60166666666663</c:v>
                </c:pt>
                <c:pt idx="13">
                  <c:v>136.91570967741936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4E2-4676-92B0-9119C8801571}"/>
            </c:ext>
          </c:extLst>
        </c:ser>
        <c:ser>
          <c:idx val="2"/>
          <c:order val="2"/>
          <c:tx>
            <c:v>EXTRAPOLATE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'Well_B-4'!$Y$61:$Y$1475</c:f>
              <c:numCache>
                <c:formatCode>General</c:formatCode>
                <c:ptCount val="1415"/>
                <c:pt idx="0">
                  <c:v>1736</c:v>
                </c:pt>
                <c:pt idx="1">
                  <c:v>1738</c:v>
                </c:pt>
                <c:pt idx="2">
                  <c:v>1740</c:v>
                </c:pt>
                <c:pt idx="3">
                  <c:v>1742</c:v>
                </c:pt>
                <c:pt idx="4">
                  <c:v>1744</c:v>
                </c:pt>
                <c:pt idx="5">
                  <c:v>1746</c:v>
                </c:pt>
                <c:pt idx="6">
                  <c:v>1748</c:v>
                </c:pt>
                <c:pt idx="7">
                  <c:v>1750</c:v>
                </c:pt>
                <c:pt idx="8">
                  <c:v>1752</c:v>
                </c:pt>
                <c:pt idx="9">
                  <c:v>1754</c:v>
                </c:pt>
                <c:pt idx="10">
                  <c:v>1756</c:v>
                </c:pt>
                <c:pt idx="11">
                  <c:v>1758</c:v>
                </c:pt>
                <c:pt idx="12">
                  <c:v>1760</c:v>
                </c:pt>
                <c:pt idx="13">
                  <c:v>1762</c:v>
                </c:pt>
                <c:pt idx="14">
                  <c:v>1764</c:v>
                </c:pt>
                <c:pt idx="15">
                  <c:v>1766</c:v>
                </c:pt>
                <c:pt idx="16">
                  <c:v>1768</c:v>
                </c:pt>
                <c:pt idx="17">
                  <c:v>1770</c:v>
                </c:pt>
                <c:pt idx="18">
                  <c:v>1772</c:v>
                </c:pt>
                <c:pt idx="19">
                  <c:v>1774</c:v>
                </c:pt>
                <c:pt idx="20">
                  <c:v>1776</c:v>
                </c:pt>
                <c:pt idx="21">
                  <c:v>1778</c:v>
                </c:pt>
                <c:pt idx="22">
                  <c:v>1780</c:v>
                </c:pt>
                <c:pt idx="23">
                  <c:v>1782</c:v>
                </c:pt>
                <c:pt idx="24">
                  <c:v>1784</c:v>
                </c:pt>
                <c:pt idx="25">
                  <c:v>1786</c:v>
                </c:pt>
                <c:pt idx="26">
                  <c:v>1788</c:v>
                </c:pt>
                <c:pt idx="27">
                  <c:v>1790</c:v>
                </c:pt>
                <c:pt idx="28">
                  <c:v>1792</c:v>
                </c:pt>
                <c:pt idx="29">
                  <c:v>1794</c:v>
                </c:pt>
                <c:pt idx="30">
                  <c:v>1796</c:v>
                </c:pt>
                <c:pt idx="31">
                  <c:v>1798</c:v>
                </c:pt>
                <c:pt idx="32">
                  <c:v>1800</c:v>
                </c:pt>
                <c:pt idx="33">
                  <c:v>1802</c:v>
                </c:pt>
                <c:pt idx="34">
                  <c:v>1804</c:v>
                </c:pt>
                <c:pt idx="35">
                  <c:v>1806</c:v>
                </c:pt>
                <c:pt idx="36">
                  <c:v>1808</c:v>
                </c:pt>
                <c:pt idx="37">
                  <c:v>1810</c:v>
                </c:pt>
                <c:pt idx="38">
                  <c:v>1812</c:v>
                </c:pt>
                <c:pt idx="39">
                  <c:v>1814</c:v>
                </c:pt>
                <c:pt idx="40">
                  <c:v>1816</c:v>
                </c:pt>
                <c:pt idx="41">
                  <c:v>1818</c:v>
                </c:pt>
                <c:pt idx="42">
                  <c:v>1820</c:v>
                </c:pt>
                <c:pt idx="43">
                  <c:v>1822</c:v>
                </c:pt>
                <c:pt idx="44">
                  <c:v>1824</c:v>
                </c:pt>
                <c:pt idx="45">
                  <c:v>1826</c:v>
                </c:pt>
                <c:pt idx="46">
                  <c:v>1828</c:v>
                </c:pt>
                <c:pt idx="47">
                  <c:v>1830</c:v>
                </c:pt>
                <c:pt idx="48">
                  <c:v>1832</c:v>
                </c:pt>
                <c:pt idx="49">
                  <c:v>1834</c:v>
                </c:pt>
                <c:pt idx="50">
                  <c:v>1836</c:v>
                </c:pt>
                <c:pt idx="51">
                  <c:v>1838</c:v>
                </c:pt>
                <c:pt idx="52">
                  <c:v>1840</c:v>
                </c:pt>
                <c:pt idx="53">
                  <c:v>1842</c:v>
                </c:pt>
                <c:pt idx="54">
                  <c:v>1844</c:v>
                </c:pt>
                <c:pt idx="55">
                  <c:v>1846</c:v>
                </c:pt>
                <c:pt idx="56">
                  <c:v>1848</c:v>
                </c:pt>
                <c:pt idx="57">
                  <c:v>1850</c:v>
                </c:pt>
                <c:pt idx="58">
                  <c:v>1852</c:v>
                </c:pt>
                <c:pt idx="59">
                  <c:v>1854</c:v>
                </c:pt>
                <c:pt idx="60">
                  <c:v>1856</c:v>
                </c:pt>
                <c:pt idx="61">
                  <c:v>1858</c:v>
                </c:pt>
                <c:pt idx="62">
                  <c:v>1860</c:v>
                </c:pt>
                <c:pt idx="63">
                  <c:v>1862</c:v>
                </c:pt>
                <c:pt idx="64">
                  <c:v>1864</c:v>
                </c:pt>
                <c:pt idx="65">
                  <c:v>1866</c:v>
                </c:pt>
                <c:pt idx="66">
                  <c:v>1868</c:v>
                </c:pt>
                <c:pt idx="67">
                  <c:v>1870</c:v>
                </c:pt>
                <c:pt idx="68">
                  <c:v>1872</c:v>
                </c:pt>
                <c:pt idx="69">
                  <c:v>1874</c:v>
                </c:pt>
                <c:pt idx="70">
                  <c:v>1876</c:v>
                </c:pt>
                <c:pt idx="71">
                  <c:v>1878</c:v>
                </c:pt>
                <c:pt idx="72">
                  <c:v>1880</c:v>
                </c:pt>
                <c:pt idx="73">
                  <c:v>1882</c:v>
                </c:pt>
                <c:pt idx="74">
                  <c:v>1884</c:v>
                </c:pt>
                <c:pt idx="75">
                  <c:v>1886</c:v>
                </c:pt>
                <c:pt idx="76">
                  <c:v>1888</c:v>
                </c:pt>
                <c:pt idx="77">
                  <c:v>1890</c:v>
                </c:pt>
                <c:pt idx="78">
                  <c:v>1892</c:v>
                </c:pt>
                <c:pt idx="79">
                  <c:v>1894</c:v>
                </c:pt>
                <c:pt idx="80">
                  <c:v>1896</c:v>
                </c:pt>
                <c:pt idx="81">
                  <c:v>1898</c:v>
                </c:pt>
                <c:pt idx="82">
                  <c:v>1900</c:v>
                </c:pt>
                <c:pt idx="83">
                  <c:v>1902</c:v>
                </c:pt>
                <c:pt idx="84">
                  <c:v>1904</c:v>
                </c:pt>
                <c:pt idx="85">
                  <c:v>1906</c:v>
                </c:pt>
                <c:pt idx="86">
                  <c:v>1908</c:v>
                </c:pt>
                <c:pt idx="87">
                  <c:v>1910</c:v>
                </c:pt>
                <c:pt idx="88">
                  <c:v>1912</c:v>
                </c:pt>
                <c:pt idx="89">
                  <c:v>1914</c:v>
                </c:pt>
                <c:pt idx="90">
                  <c:v>1916</c:v>
                </c:pt>
                <c:pt idx="91">
                  <c:v>1918</c:v>
                </c:pt>
                <c:pt idx="92">
                  <c:v>1920</c:v>
                </c:pt>
                <c:pt idx="93">
                  <c:v>1922</c:v>
                </c:pt>
                <c:pt idx="94">
                  <c:v>1924</c:v>
                </c:pt>
                <c:pt idx="95">
                  <c:v>1926</c:v>
                </c:pt>
                <c:pt idx="96">
                  <c:v>1928</c:v>
                </c:pt>
                <c:pt idx="97">
                  <c:v>1930</c:v>
                </c:pt>
                <c:pt idx="98">
                  <c:v>1932</c:v>
                </c:pt>
                <c:pt idx="99">
                  <c:v>1934</c:v>
                </c:pt>
                <c:pt idx="100">
                  <c:v>1936</c:v>
                </c:pt>
                <c:pt idx="101">
                  <c:v>1938</c:v>
                </c:pt>
                <c:pt idx="102">
                  <c:v>1940</c:v>
                </c:pt>
                <c:pt idx="103">
                  <c:v>1942</c:v>
                </c:pt>
                <c:pt idx="104">
                  <c:v>1944</c:v>
                </c:pt>
                <c:pt idx="105">
                  <c:v>1946</c:v>
                </c:pt>
                <c:pt idx="106">
                  <c:v>1948</c:v>
                </c:pt>
                <c:pt idx="107">
                  <c:v>1950</c:v>
                </c:pt>
                <c:pt idx="108">
                  <c:v>1952</c:v>
                </c:pt>
                <c:pt idx="109">
                  <c:v>1954</c:v>
                </c:pt>
                <c:pt idx="110">
                  <c:v>1956</c:v>
                </c:pt>
                <c:pt idx="111">
                  <c:v>1958</c:v>
                </c:pt>
                <c:pt idx="112">
                  <c:v>1960</c:v>
                </c:pt>
                <c:pt idx="113">
                  <c:v>1962</c:v>
                </c:pt>
                <c:pt idx="114">
                  <c:v>1964</c:v>
                </c:pt>
                <c:pt idx="115">
                  <c:v>1966</c:v>
                </c:pt>
                <c:pt idx="116">
                  <c:v>1968</c:v>
                </c:pt>
                <c:pt idx="117">
                  <c:v>1970</c:v>
                </c:pt>
                <c:pt idx="118">
                  <c:v>1972</c:v>
                </c:pt>
                <c:pt idx="119">
                  <c:v>1974</c:v>
                </c:pt>
                <c:pt idx="120">
                  <c:v>1976</c:v>
                </c:pt>
                <c:pt idx="121">
                  <c:v>1978</c:v>
                </c:pt>
                <c:pt idx="122">
                  <c:v>1980</c:v>
                </c:pt>
                <c:pt idx="123">
                  <c:v>1982</c:v>
                </c:pt>
                <c:pt idx="124">
                  <c:v>1984</c:v>
                </c:pt>
                <c:pt idx="125">
                  <c:v>1986</c:v>
                </c:pt>
                <c:pt idx="126">
                  <c:v>1988</c:v>
                </c:pt>
                <c:pt idx="127">
                  <c:v>1990</c:v>
                </c:pt>
                <c:pt idx="128">
                  <c:v>1992</c:v>
                </c:pt>
                <c:pt idx="129">
                  <c:v>1994</c:v>
                </c:pt>
                <c:pt idx="130">
                  <c:v>1996</c:v>
                </c:pt>
                <c:pt idx="131">
                  <c:v>1998</c:v>
                </c:pt>
                <c:pt idx="132">
                  <c:v>2000</c:v>
                </c:pt>
                <c:pt idx="133">
                  <c:v>2002</c:v>
                </c:pt>
                <c:pt idx="134">
                  <c:v>2004</c:v>
                </c:pt>
                <c:pt idx="135">
                  <c:v>2006</c:v>
                </c:pt>
                <c:pt idx="136">
                  <c:v>2008</c:v>
                </c:pt>
                <c:pt idx="137">
                  <c:v>2010</c:v>
                </c:pt>
                <c:pt idx="138">
                  <c:v>2012</c:v>
                </c:pt>
                <c:pt idx="139">
                  <c:v>2014</c:v>
                </c:pt>
                <c:pt idx="140">
                  <c:v>2016</c:v>
                </c:pt>
                <c:pt idx="141">
                  <c:v>2018</c:v>
                </c:pt>
                <c:pt idx="142">
                  <c:v>2020</c:v>
                </c:pt>
                <c:pt idx="143">
                  <c:v>2022</c:v>
                </c:pt>
                <c:pt idx="144">
                  <c:v>2024</c:v>
                </c:pt>
                <c:pt idx="145">
                  <c:v>2026</c:v>
                </c:pt>
                <c:pt idx="146">
                  <c:v>2028</c:v>
                </c:pt>
                <c:pt idx="147">
                  <c:v>2030</c:v>
                </c:pt>
                <c:pt idx="148">
                  <c:v>2032</c:v>
                </c:pt>
                <c:pt idx="149">
                  <c:v>2034</c:v>
                </c:pt>
                <c:pt idx="150">
                  <c:v>2036</c:v>
                </c:pt>
                <c:pt idx="151">
                  <c:v>2038</c:v>
                </c:pt>
                <c:pt idx="152">
                  <c:v>2040</c:v>
                </c:pt>
                <c:pt idx="153">
                  <c:v>2042</c:v>
                </c:pt>
                <c:pt idx="154">
                  <c:v>2044</c:v>
                </c:pt>
                <c:pt idx="155">
                  <c:v>2046</c:v>
                </c:pt>
                <c:pt idx="156">
                  <c:v>2048</c:v>
                </c:pt>
                <c:pt idx="157">
                  <c:v>2050</c:v>
                </c:pt>
                <c:pt idx="158">
                  <c:v>2052</c:v>
                </c:pt>
                <c:pt idx="159">
                  <c:v>2054</c:v>
                </c:pt>
                <c:pt idx="160">
                  <c:v>2056</c:v>
                </c:pt>
                <c:pt idx="161">
                  <c:v>2058</c:v>
                </c:pt>
                <c:pt idx="162">
                  <c:v>2060</c:v>
                </c:pt>
                <c:pt idx="163">
                  <c:v>2062</c:v>
                </c:pt>
                <c:pt idx="164">
                  <c:v>2064</c:v>
                </c:pt>
                <c:pt idx="165">
                  <c:v>2066</c:v>
                </c:pt>
                <c:pt idx="166">
                  <c:v>2068</c:v>
                </c:pt>
                <c:pt idx="167">
                  <c:v>2070</c:v>
                </c:pt>
                <c:pt idx="168">
                  <c:v>2072</c:v>
                </c:pt>
                <c:pt idx="169">
                  <c:v>2074</c:v>
                </c:pt>
                <c:pt idx="170">
                  <c:v>2076</c:v>
                </c:pt>
                <c:pt idx="171">
                  <c:v>2078</c:v>
                </c:pt>
                <c:pt idx="172">
                  <c:v>2080</c:v>
                </c:pt>
                <c:pt idx="173">
                  <c:v>2082</c:v>
                </c:pt>
                <c:pt idx="174">
                  <c:v>2084</c:v>
                </c:pt>
                <c:pt idx="175">
                  <c:v>2086</c:v>
                </c:pt>
                <c:pt idx="176">
                  <c:v>2088</c:v>
                </c:pt>
                <c:pt idx="177">
                  <c:v>2090</c:v>
                </c:pt>
                <c:pt idx="178">
                  <c:v>2092</c:v>
                </c:pt>
                <c:pt idx="179">
                  <c:v>2094</c:v>
                </c:pt>
                <c:pt idx="180">
                  <c:v>2096</c:v>
                </c:pt>
                <c:pt idx="181">
                  <c:v>2098</c:v>
                </c:pt>
                <c:pt idx="182">
                  <c:v>2100</c:v>
                </c:pt>
                <c:pt idx="183">
                  <c:v>2102</c:v>
                </c:pt>
                <c:pt idx="184">
                  <c:v>2104</c:v>
                </c:pt>
                <c:pt idx="185">
                  <c:v>2106</c:v>
                </c:pt>
                <c:pt idx="186">
                  <c:v>2108</c:v>
                </c:pt>
                <c:pt idx="187">
                  <c:v>2110</c:v>
                </c:pt>
                <c:pt idx="188">
                  <c:v>2112</c:v>
                </c:pt>
                <c:pt idx="189">
                  <c:v>2114</c:v>
                </c:pt>
                <c:pt idx="190">
                  <c:v>2116</c:v>
                </c:pt>
                <c:pt idx="191">
                  <c:v>2118</c:v>
                </c:pt>
                <c:pt idx="192">
                  <c:v>2120</c:v>
                </c:pt>
                <c:pt idx="193">
                  <c:v>2122</c:v>
                </c:pt>
                <c:pt idx="194">
                  <c:v>2124</c:v>
                </c:pt>
                <c:pt idx="195">
                  <c:v>2126</c:v>
                </c:pt>
                <c:pt idx="196">
                  <c:v>2128</c:v>
                </c:pt>
                <c:pt idx="197">
                  <c:v>2130</c:v>
                </c:pt>
                <c:pt idx="198">
                  <c:v>2132</c:v>
                </c:pt>
                <c:pt idx="199">
                  <c:v>2134</c:v>
                </c:pt>
                <c:pt idx="200">
                  <c:v>2136</c:v>
                </c:pt>
                <c:pt idx="201">
                  <c:v>2138</c:v>
                </c:pt>
                <c:pt idx="202">
                  <c:v>2140</c:v>
                </c:pt>
                <c:pt idx="203">
                  <c:v>2142</c:v>
                </c:pt>
                <c:pt idx="204">
                  <c:v>2144</c:v>
                </c:pt>
                <c:pt idx="205">
                  <c:v>2146</c:v>
                </c:pt>
                <c:pt idx="206">
                  <c:v>2148</c:v>
                </c:pt>
                <c:pt idx="207">
                  <c:v>2150</c:v>
                </c:pt>
                <c:pt idx="208">
                  <c:v>2152</c:v>
                </c:pt>
                <c:pt idx="209">
                  <c:v>2154</c:v>
                </c:pt>
                <c:pt idx="210">
                  <c:v>2156</c:v>
                </c:pt>
                <c:pt idx="211">
                  <c:v>2158</c:v>
                </c:pt>
                <c:pt idx="212">
                  <c:v>2160</c:v>
                </c:pt>
                <c:pt idx="213">
                  <c:v>2162</c:v>
                </c:pt>
                <c:pt idx="214">
                  <c:v>2164</c:v>
                </c:pt>
                <c:pt idx="215">
                  <c:v>2166</c:v>
                </c:pt>
                <c:pt idx="216">
                  <c:v>2168</c:v>
                </c:pt>
                <c:pt idx="217">
                  <c:v>2170</c:v>
                </c:pt>
                <c:pt idx="218">
                  <c:v>2172</c:v>
                </c:pt>
                <c:pt idx="219">
                  <c:v>2174</c:v>
                </c:pt>
                <c:pt idx="220">
                  <c:v>2176</c:v>
                </c:pt>
                <c:pt idx="221">
                  <c:v>2178</c:v>
                </c:pt>
                <c:pt idx="222">
                  <c:v>2180</c:v>
                </c:pt>
                <c:pt idx="223">
                  <c:v>2182</c:v>
                </c:pt>
                <c:pt idx="224">
                  <c:v>2184</c:v>
                </c:pt>
                <c:pt idx="225">
                  <c:v>2186</c:v>
                </c:pt>
                <c:pt idx="226">
                  <c:v>2188</c:v>
                </c:pt>
                <c:pt idx="227">
                  <c:v>2190</c:v>
                </c:pt>
                <c:pt idx="228">
                  <c:v>2192</c:v>
                </c:pt>
                <c:pt idx="229">
                  <c:v>2194</c:v>
                </c:pt>
                <c:pt idx="230">
                  <c:v>2196</c:v>
                </c:pt>
                <c:pt idx="231">
                  <c:v>2198</c:v>
                </c:pt>
                <c:pt idx="232">
                  <c:v>2200</c:v>
                </c:pt>
                <c:pt idx="233">
                  <c:v>2202</c:v>
                </c:pt>
                <c:pt idx="234">
                  <c:v>2204</c:v>
                </c:pt>
                <c:pt idx="235">
                  <c:v>2206</c:v>
                </c:pt>
                <c:pt idx="236">
                  <c:v>2208</c:v>
                </c:pt>
                <c:pt idx="237">
                  <c:v>2210</c:v>
                </c:pt>
                <c:pt idx="238">
                  <c:v>2212</c:v>
                </c:pt>
                <c:pt idx="239">
                  <c:v>2214</c:v>
                </c:pt>
                <c:pt idx="240">
                  <c:v>2216</c:v>
                </c:pt>
                <c:pt idx="241">
                  <c:v>2218</c:v>
                </c:pt>
                <c:pt idx="242">
                  <c:v>2220</c:v>
                </c:pt>
                <c:pt idx="243">
                  <c:v>2222</c:v>
                </c:pt>
                <c:pt idx="244">
                  <c:v>2224</c:v>
                </c:pt>
                <c:pt idx="245">
                  <c:v>2226</c:v>
                </c:pt>
                <c:pt idx="246">
                  <c:v>2228</c:v>
                </c:pt>
                <c:pt idx="247">
                  <c:v>2230</c:v>
                </c:pt>
                <c:pt idx="248">
                  <c:v>2232</c:v>
                </c:pt>
                <c:pt idx="249">
                  <c:v>2234</c:v>
                </c:pt>
                <c:pt idx="250">
                  <c:v>2236</c:v>
                </c:pt>
                <c:pt idx="251">
                  <c:v>2238</c:v>
                </c:pt>
                <c:pt idx="252">
                  <c:v>2240</c:v>
                </c:pt>
                <c:pt idx="253">
                  <c:v>2242</c:v>
                </c:pt>
                <c:pt idx="254">
                  <c:v>2244</c:v>
                </c:pt>
                <c:pt idx="255">
                  <c:v>2246</c:v>
                </c:pt>
                <c:pt idx="256">
                  <c:v>2248</c:v>
                </c:pt>
                <c:pt idx="257">
                  <c:v>2250</c:v>
                </c:pt>
                <c:pt idx="258">
                  <c:v>2252</c:v>
                </c:pt>
                <c:pt idx="259">
                  <c:v>2254</c:v>
                </c:pt>
                <c:pt idx="260">
                  <c:v>2256</c:v>
                </c:pt>
                <c:pt idx="261">
                  <c:v>2258</c:v>
                </c:pt>
                <c:pt idx="262">
                  <c:v>2260</c:v>
                </c:pt>
                <c:pt idx="263">
                  <c:v>2262</c:v>
                </c:pt>
                <c:pt idx="264">
                  <c:v>2264</c:v>
                </c:pt>
                <c:pt idx="265">
                  <c:v>2266</c:v>
                </c:pt>
                <c:pt idx="266">
                  <c:v>2268</c:v>
                </c:pt>
                <c:pt idx="267">
                  <c:v>2270</c:v>
                </c:pt>
                <c:pt idx="268">
                  <c:v>2272</c:v>
                </c:pt>
                <c:pt idx="269">
                  <c:v>2274</c:v>
                </c:pt>
                <c:pt idx="270">
                  <c:v>2276</c:v>
                </c:pt>
                <c:pt idx="271">
                  <c:v>2278</c:v>
                </c:pt>
                <c:pt idx="272">
                  <c:v>2280</c:v>
                </c:pt>
                <c:pt idx="273">
                  <c:v>2282</c:v>
                </c:pt>
                <c:pt idx="274">
                  <c:v>2284</c:v>
                </c:pt>
                <c:pt idx="275">
                  <c:v>2286</c:v>
                </c:pt>
                <c:pt idx="276">
                  <c:v>2288</c:v>
                </c:pt>
                <c:pt idx="277">
                  <c:v>2290</c:v>
                </c:pt>
                <c:pt idx="278">
                  <c:v>2292</c:v>
                </c:pt>
                <c:pt idx="279">
                  <c:v>2294</c:v>
                </c:pt>
                <c:pt idx="280">
                  <c:v>2296</c:v>
                </c:pt>
                <c:pt idx="281">
                  <c:v>2298</c:v>
                </c:pt>
                <c:pt idx="282">
                  <c:v>2300</c:v>
                </c:pt>
                <c:pt idx="283">
                  <c:v>2302</c:v>
                </c:pt>
                <c:pt idx="284">
                  <c:v>2304</c:v>
                </c:pt>
                <c:pt idx="285">
                  <c:v>2306</c:v>
                </c:pt>
                <c:pt idx="286">
                  <c:v>2308</c:v>
                </c:pt>
                <c:pt idx="287">
                  <c:v>2310</c:v>
                </c:pt>
                <c:pt idx="288">
                  <c:v>2312</c:v>
                </c:pt>
                <c:pt idx="289">
                  <c:v>2314</c:v>
                </c:pt>
                <c:pt idx="290">
                  <c:v>2316</c:v>
                </c:pt>
                <c:pt idx="291">
                  <c:v>2318</c:v>
                </c:pt>
                <c:pt idx="292">
                  <c:v>2320</c:v>
                </c:pt>
                <c:pt idx="293">
                  <c:v>2322</c:v>
                </c:pt>
                <c:pt idx="294">
                  <c:v>2324</c:v>
                </c:pt>
                <c:pt idx="295">
                  <c:v>2326</c:v>
                </c:pt>
                <c:pt idx="296">
                  <c:v>2328</c:v>
                </c:pt>
                <c:pt idx="297">
                  <c:v>2330</c:v>
                </c:pt>
                <c:pt idx="298">
                  <c:v>2332</c:v>
                </c:pt>
                <c:pt idx="299">
                  <c:v>2334</c:v>
                </c:pt>
                <c:pt idx="300">
                  <c:v>2336</c:v>
                </c:pt>
                <c:pt idx="301">
                  <c:v>2338</c:v>
                </c:pt>
                <c:pt idx="302">
                  <c:v>2340</c:v>
                </c:pt>
                <c:pt idx="303">
                  <c:v>2342</c:v>
                </c:pt>
                <c:pt idx="304">
                  <c:v>2344</c:v>
                </c:pt>
                <c:pt idx="305">
                  <c:v>2346</c:v>
                </c:pt>
                <c:pt idx="306">
                  <c:v>2348</c:v>
                </c:pt>
                <c:pt idx="307">
                  <c:v>2350</c:v>
                </c:pt>
                <c:pt idx="308">
                  <c:v>2352</c:v>
                </c:pt>
                <c:pt idx="309">
                  <c:v>2354</c:v>
                </c:pt>
                <c:pt idx="310">
                  <c:v>2356</c:v>
                </c:pt>
                <c:pt idx="311">
                  <c:v>2358</c:v>
                </c:pt>
                <c:pt idx="312">
                  <c:v>2360</c:v>
                </c:pt>
                <c:pt idx="313">
                  <c:v>2362</c:v>
                </c:pt>
                <c:pt idx="314">
                  <c:v>2364</c:v>
                </c:pt>
                <c:pt idx="315">
                  <c:v>2366</c:v>
                </c:pt>
                <c:pt idx="316">
                  <c:v>2368</c:v>
                </c:pt>
                <c:pt idx="317">
                  <c:v>2370</c:v>
                </c:pt>
                <c:pt idx="318">
                  <c:v>2372</c:v>
                </c:pt>
                <c:pt idx="319">
                  <c:v>2374</c:v>
                </c:pt>
                <c:pt idx="320">
                  <c:v>2376</c:v>
                </c:pt>
                <c:pt idx="321">
                  <c:v>2378</c:v>
                </c:pt>
                <c:pt idx="322">
                  <c:v>2380</c:v>
                </c:pt>
                <c:pt idx="323">
                  <c:v>2382</c:v>
                </c:pt>
                <c:pt idx="324">
                  <c:v>2384</c:v>
                </c:pt>
                <c:pt idx="325">
                  <c:v>2386</c:v>
                </c:pt>
                <c:pt idx="326">
                  <c:v>2388</c:v>
                </c:pt>
                <c:pt idx="327">
                  <c:v>2390</c:v>
                </c:pt>
                <c:pt idx="328">
                  <c:v>2392</c:v>
                </c:pt>
                <c:pt idx="329">
                  <c:v>2394</c:v>
                </c:pt>
                <c:pt idx="330">
                  <c:v>2396</c:v>
                </c:pt>
                <c:pt idx="331">
                  <c:v>2398</c:v>
                </c:pt>
                <c:pt idx="332">
                  <c:v>2400</c:v>
                </c:pt>
                <c:pt idx="333">
                  <c:v>2402</c:v>
                </c:pt>
                <c:pt idx="334">
                  <c:v>2404</c:v>
                </c:pt>
                <c:pt idx="335">
                  <c:v>2406</c:v>
                </c:pt>
                <c:pt idx="336">
                  <c:v>2408</c:v>
                </c:pt>
                <c:pt idx="337">
                  <c:v>2410</c:v>
                </c:pt>
                <c:pt idx="338">
                  <c:v>2412</c:v>
                </c:pt>
                <c:pt idx="339">
                  <c:v>2414</c:v>
                </c:pt>
                <c:pt idx="340">
                  <c:v>2416</c:v>
                </c:pt>
                <c:pt idx="341">
                  <c:v>2418</c:v>
                </c:pt>
                <c:pt idx="342">
                  <c:v>2420</c:v>
                </c:pt>
                <c:pt idx="343">
                  <c:v>2422</c:v>
                </c:pt>
                <c:pt idx="344">
                  <c:v>2424</c:v>
                </c:pt>
                <c:pt idx="345">
                  <c:v>2426</c:v>
                </c:pt>
                <c:pt idx="346">
                  <c:v>2428</c:v>
                </c:pt>
                <c:pt idx="347">
                  <c:v>2430</c:v>
                </c:pt>
                <c:pt idx="348">
                  <c:v>2432</c:v>
                </c:pt>
                <c:pt idx="349">
                  <c:v>2434</c:v>
                </c:pt>
                <c:pt idx="350">
                  <c:v>2436</c:v>
                </c:pt>
                <c:pt idx="351">
                  <c:v>2438</c:v>
                </c:pt>
                <c:pt idx="352">
                  <c:v>2440</c:v>
                </c:pt>
                <c:pt idx="353">
                  <c:v>2442</c:v>
                </c:pt>
                <c:pt idx="354">
                  <c:v>2444</c:v>
                </c:pt>
                <c:pt idx="355">
                  <c:v>2446</c:v>
                </c:pt>
                <c:pt idx="356">
                  <c:v>2448</c:v>
                </c:pt>
                <c:pt idx="357">
                  <c:v>2450</c:v>
                </c:pt>
                <c:pt idx="358">
                  <c:v>2452</c:v>
                </c:pt>
                <c:pt idx="359">
                  <c:v>2454</c:v>
                </c:pt>
                <c:pt idx="360">
                  <c:v>2456</c:v>
                </c:pt>
                <c:pt idx="361">
                  <c:v>2458</c:v>
                </c:pt>
                <c:pt idx="362">
                  <c:v>2460</c:v>
                </c:pt>
                <c:pt idx="363">
                  <c:v>2462</c:v>
                </c:pt>
                <c:pt idx="364">
                  <c:v>2464</c:v>
                </c:pt>
                <c:pt idx="365">
                  <c:v>2466</c:v>
                </c:pt>
                <c:pt idx="366">
                  <c:v>2468</c:v>
                </c:pt>
                <c:pt idx="367">
                  <c:v>2470</c:v>
                </c:pt>
                <c:pt idx="368">
                  <c:v>2472</c:v>
                </c:pt>
                <c:pt idx="369">
                  <c:v>2474</c:v>
                </c:pt>
                <c:pt idx="370">
                  <c:v>2476</c:v>
                </c:pt>
                <c:pt idx="371">
                  <c:v>2478</c:v>
                </c:pt>
                <c:pt idx="372">
                  <c:v>2480</c:v>
                </c:pt>
                <c:pt idx="373">
                  <c:v>2482</c:v>
                </c:pt>
                <c:pt idx="374">
                  <c:v>2484</c:v>
                </c:pt>
                <c:pt idx="375">
                  <c:v>2486</c:v>
                </c:pt>
                <c:pt idx="376">
                  <c:v>2488</c:v>
                </c:pt>
                <c:pt idx="377">
                  <c:v>2490</c:v>
                </c:pt>
                <c:pt idx="378">
                  <c:v>2492</c:v>
                </c:pt>
                <c:pt idx="379">
                  <c:v>2494</c:v>
                </c:pt>
                <c:pt idx="380">
                  <c:v>2496</c:v>
                </c:pt>
                <c:pt idx="381">
                  <c:v>2498</c:v>
                </c:pt>
                <c:pt idx="382">
                  <c:v>2500</c:v>
                </c:pt>
                <c:pt idx="383">
                  <c:v>2502</c:v>
                </c:pt>
                <c:pt idx="384">
                  <c:v>2504</c:v>
                </c:pt>
                <c:pt idx="385">
                  <c:v>2506</c:v>
                </c:pt>
                <c:pt idx="386">
                  <c:v>2508</c:v>
                </c:pt>
                <c:pt idx="387">
                  <c:v>2510</c:v>
                </c:pt>
                <c:pt idx="388">
                  <c:v>2512</c:v>
                </c:pt>
                <c:pt idx="389">
                  <c:v>2514</c:v>
                </c:pt>
                <c:pt idx="390">
                  <c:v>2516</c:v>
                </c:pt>
                <c:pt idx="391">
                  <c:v>2518</c:v>
                </c:pt>
                <c:pt idx="392">
                  <c:v>2520</c:v>
                </c:pt>
                <c:pt idx="393">
                  <c:v>2522</c:v>
                </c:pt>
                <c:pt idx="394">
                  <c:v>2524</c:v>
                </c:pt>
                <c:pt idx="395">
                  <c:v>2526</c:v>
                </c:pt>
                <c:pt idx="396">
                  <c:v>2528</c:v>
                </c:pt>
                <c:pt idx="397">
                  <c:v>2530</c:v>
                </c:pt>
                <c:pt idx="398">
                  <c:v>2532</c:v>
                </c:pt>
                <c:pt idx="399">
                  <c:v>2534</c:v>
                </c:pt>
                <c:pt idx="400">
                  <c:v>2536</c:v>
                </c:pt>
                <c:pt idx="401">
                  <c:v>2538</c:v>
                </c:pt>
                <c:pt idx="402">
                  <c:v>2540</c:v>
                </c:pt>
                <c:pt idx="403">
                  <c:v>2542</c:v>
                </c:pt>
                <c:pt idx="404">
                  <c:v>2544</c:v>
                </c:pt>
                <c:pt idx="405">
                  <c:v>2546</c:v>
                </c:pt>
                <c:pt idx="406">
                  <c:v>2548</c:v>
                </c:pt>
                <c:pt idx="407">
                  <c:v>2550</c:v>
                </c:pt>
                <c:pt idx="408">
                  <c:v>2552</c:v>
                </c:pt>
                <c:pt idx="409">
                  <c:v>2554</c:v>
                </c:pt>
                <c:pt idx="410">
                  <c:v>2556</c:v>
                </c:pt>
                <c:pt idx="411">
                  <c:v>2558</c:v>
                </c:pt>
                <c:pt idx="412">
                  <c:v>2560</c:v>
                </c:pt>
                <c:pt idx="413">
                  <c:v>2562</c:v>
                </c:pt>
                <c:pt idx="414">
                  <c:v>2564</c:v>
                </c:pt>
                <c:pt idx="415">
                  <c:v>2566</c:v>
                </c:pt>
                <c:pt idx="416">
                  <c:v>2568</c:v>
                </c:pt>
                <c:pt idx="417">
                  <c:v>2570</c:v>
                </c:pt>
                <c:pt idx="418">
                  <c:v>2572</c:v>
                </c:pt>
                <c:pt idx="419">
                  <c:v>2574</c:v>
                </c:pt>
                <c:pt idx="420">
                  <c:v>2576</c:v>
                </c:pt>
                <c:pt idx="421">
                  <c:v>2578</c:v>
                </c:pt>
                <c:pt idx="422">
                  <c:v>2580</c:v>
                </c:pt>
                <c:pt idx="423">
                  <c:v>2582</c:v>
                </c:pt>
                <c:pt idx="424">
                  <c:v>2584</c:v>
                </c:pt>
                <c:pt idx="425">
                  <c:v>2586</c:v>
                </c:pt>
                <c:pt idx="426">
                  <c:v>2588</c:v>
                </c:pt>
                <c:pt idx="427">
                  <c:v>2590</c:v>
                </c:pt>
                <c:pt idx="428">
                  <c:v>2592</c:v>
                </c:pt>
                <c:pt idx="429">
                  <c:v>2594</c:v>
                </c:pt>
                <c:pt idx="430">
                  <c:v>2596</c:v>
                </c:pt>
                <c:pt idx="431">
                  <c:v>2598</c:v>
                </c:pt>
                <c:pt idx="432">
                  <c:v>2600</c:v>
                </c:pt>
                <c:pt idx="433">
                  <c:v>2602</c:v>
                </c:pt>
                <c:pt idx="434">
                  <c:v>2604</c:v>
                </c:pt>
                <c:pt idx="435">
                  <c:v>2606</c:v>
                </c:pt>
                <c:pt idx="436">
                  <c:v>2608</c:v>
                </c:pt>
                <c:pt idx="437">
                  <c:v>2610</c:v>
                </c:pt>
                <c:pt idx="438">
                  <c:v>2612</c:v>
                </c:pt>
                <c:pt idx="439">
                  <c:v>2614</c:v>
                </c:pt>
                <c:pt idx="440">
                  <c:v>2616</c:v>
                </c:pt>
                <c:pt idx="441">
                  <c:v>2618</c:v>
                </c:pt>
                <c:pt idx="442">
                  <c:v>2620</c:v>
                </c:pt>
                <c:pt idx="443">
                  <c:v>2622</c:v>
                </c:pt>
                <c:pt idx="444">
                  <c:v>2624</c:v>
                </c:pt>
                <c:pt idx="445">
                  <c:v>2626</c:v>
                </c:pt>
                <c:pt idx="446">
                  <c:v>2628</c:v>
                </c:pt>
                <c:pt idx="447">
                  <c:v>2630</c:v>
                </c:pt>
                <c:pt idx="448">
                  <c:v>2632</c:v>
                </c:pt>
                <c:pt idx="449">
                  <c:v>2634</c:v>
                </c:pt>
                <c:pt idx="450">
                  <c:v>2636</c:v>
                </c:pt>
                <c:pt idx="451">
                  <c:v>2638</c:v>
                </c:pt>
                <c:pt idx="452">
                  <c:v>2640</c:v>
                </c:pt>
                <c:pt idx="453">
                  <c:v>2642</c:v>
                </c:pt>
                <c:pt idx="454">
                  <c:v>2644</c:v>
                </c:pt>
                <c:pt idx="455">
                  <c:v>2646</c:v>
                </c:pt>
                <c:pt idx="456">
                  <c:v>2648</c:v>
                </c:pt>
                <c:pt idx="457">
                  <c:v>2650</c:v>
                </c:pt>
                <c:pt idx="458">
                  <c:v>2652</c:v>
                </c:pt>
                <c:pt idx="459">
                  <c:v>2654</c:v>
                </c:pt>
                <c:pt idx="460">
                  <c:v>2656</c:v>
                </c:pt>
                <c:pt idx="461">
                  <c:v>2658</c:v>
                </c:pt>
                <c:pt idx="462">
                  <c:v>2660</c:v>
                </c:pt>
                <c:pt idx="463">
                  <c:v>2662</c:v>
                </c:pt>
                <c:pt idx="464">
                  <c:v>2664</c:v>
                </c:pt>
                <c:pt idx="465">
                  <c:v>2666</c:v>
                </c:pt>
                <c:pt idx="466">
                  <c:v>2668</c:v>
                </c:pt>
                <c:pt idx="467">
                  <c:v>2670</c:v>
                </c:pt>
                <c:pt idx="468">
                  <c:v>2672</c:v>
                </c:pt>
                <c:pt idx="469">
                  <c:v>2674</c:v>
                </c:pt>
                <c:pt idx="470">
                  <c:v>2676</c:v>
                </c:pt>
                <c:pt idx="471">
                  <c:v>2678</c:v>
                </c:pt>
                <c:pt idx="472">
                  <c:v>2680</c:v>
                </c:pt>
                <c:pt idx="473">
                  <c:v>2682</c:v>
                </c:pt>
                <c:pt idx="474">
                  <c:v>2684</c:v>
                </c:pt>
                <c:pt idx="475">
                  <c:v>2686</c:v>
                </c:pt>
                <c:pt idx="476">
                  <c:v>2688</c:v>
                </c:pt>
                <c:pt idx="477">
                  <c:v>2690</c:v>
                </c:pt>
                <c:pt idx="478">
                  <c:v>2692</c:v>
                </c:pt>
                <c:pt idx="479">
                  <c:v>2694</c:v>
                </c:pt>
                <c:pt idx="480">
                  <c:v>2696</c:v>
                </c:pt>
                <c:pt idx="481">
                  <c:v>2698</c:v>
                </c:pt>
                <c:pt idx="482">
                  <c:v>2700</c:v>
                </c:pt>
                <c:pt idx="483">
                  <c:v>2702</c:v>
                </c:pt>
                <c:pt idx="484">
                  <c:v>2704</c:v>
                </c:pt>
                <c:pt idx="485">
                  <c:v>2706</c:v>
                </c:pt>
                <c:pt idx="486">
                  <c:v>2708</c:v>
                </c:pt>
                <c:pt idx="487">
                  <c:v>2710</c:v>
                </c:pt>
                <c:pt idx="488">
                  <c:v>2712</c:v>
                </c:pt>
                <c:pt idx="489">
                  <c:v>2714</c:v>
                </c:pt>
                <c:pt idx="490">
                  <c:v>2716</c:v>
                </c:pt>
                <c:pt idx="491">
                  <c:v>2718</c:v>
                </c:pt>
                <c:pt idx="492">
                  <c:v>2720</c:v>
                </c:pt>
                <c:pt idx="493">
                  <c:v>2722</c:v>
                </c:pt>
                <c:pt idx="494">
                  <c:v>2724</c:v>
                </c:pt>
                <c:pt idx="495">
                  <c:v>2726</c:v>
                </c:pt>
                <c:pt idx="496">
                  <c:v>2728</c:v>
                </c:pt>
                <c:pt idx="497">
                  <c:v>2730</c:v>
                </c:pt>
                <c:pt idx="498">
                  <c:v>2732</c:v>
                </c:pt>
                <c:pt idx="499">
                  <c:v>2734</c:v>
                </c:pt>
                <c:pt idx="500">
                  <c:v>2736</c:v>
                </c:pt>
                <c:pt idx="501">
                  <c:v>2738</c:v>
                </c:pt>
                <c:pt idx="502">
                  <c:v>2740</c:v>
                </c:pt>
                <c:pt idx="503">
                  <c:v>2742</c:v>
                </c:pt>
                <c:pt idx="504">
                  <c:v>2744</c:v>
                </c:pt>
                <c:pt idx="505">
                  <c:v>2746</c:v>
                </c:pt>
                <c:pt idx="506">
                  <c:v>2748</c:v>
                </c:pt>
                <c:pt idx="507">
                  <c:v>2750</c:v>
                </c:pt>
                <c:pt idx="508">
                  <c:v>2752</c:v>
                </c:pt>
                <c:pt idx="509">
                  <c:v>2754</c:v>
                </c:pt>
                <c:pt idx="510">
                  <c:v>2756</c:v>
                </c:pt>
                <c:pt idx="511">
                  <c:v>2758</c:v>
                </c:pt>
                <c:pt idx="512">
                  <c:v>2760</c:v>
                </c:pt>
                <c:pt idx="513">
                  <c:v>2762</c:v>
                </c:pt>
                <c:pt idx="514">
                  <c:v>2764</c:v>
                </c:pt>
                <c:pt idx="515">
                  <c:v>2766</c:v>
                </c:pt>
                <c:pt idx="516">
                  <c:v>2768</c:v>
                </c:pt>
                <c:pt idx="517">
                  <c:v>2770</c:v>
                </c:pt>
                <c:pt idx="518">
                  <c:v>2772</c:v>
                </c:pt>
                <c:pt idx="519">
                  <c:v>2774</c:v>
                </c:pt>
                <c:pt idx="520">
                  <c:v>2776</c:v>
                </c:pt>
                <c:pt idx="521">
                  <c:v>2778</c:v>
                </c:pt>
                <c:pt idx="522">
                  <c:v>2780</c:v>
                </c:pt>
                <c:pt idx="523">
                  <c:v>2782</c:v>
                </c:pt>
                <c:pt idx="524">
                  <c:v>2784</c:v>
                </c:pt>
                <c:pt idx="525">
                  <c:v>2786</c:v>
                </c:pt>
                <c:pt idx="526">
                  <c:v>2788</c:v>
                </c:pt>
                <c:pt idx="527">
                  <c:v>2790</c:v>
                </c:pt>
                <c:pt idx="528">
                  <c:v>2792</c:v>
                </c:pt>
                <c:pt idx="529">
                  <c:v>2794</c:v>
                </c:pt>
                <c:pt idx="530">
                  <c:v>2796</c:v>
                </c:pt>
                <c:pt idx="531">
                  <c:v>2798</c:v>
                </c:pt>
                <c:pt idx="532">
                  <c:v>2800</c:v>
                </c:pt>
                <c:pt idx="533">
                  <c:v>2802</c:v>
                </c:pt>
                <c:pt idx="534">
                  <c:v>2804</c:v>
                </c:pt>
                <c:pt idx="535">
                  <c:v>2806</c:v>
                </c:pt>
                <c:pt idx="536">
                  <c:v>2808</c:v>
                </c:pt>
                <c:pt idx="537">
                  <c:v>2810</c:v>
                </c:pt>
                <c:pt idx="538">
                  <c:v>2812</c:v>
                </c:pt>
                <c:pt idx="539">
                  <c:v>2814</c:v>
                </c:pt>
                <c:pt idx="540">
                  <c:v>2816</c:v>
                </c:pt>
                <c:pt idx="541">
                  <c:v>2818</c:v>
                </c:pt>
                <c:pt idx="542">
                  <c:v>2820</c:v>
                </c:pt>
                <c:pt idx="543">
                  <c:v>2822</c:v>
                </c:pt>
                <c:pt idx="544">
                  <c:v>2824</c:v>
                </c:pt>
                <c:pt idx="545">
                  <c:v>2826</c:v>
                </c:pt>
                <c:pt idx="546">
                  <c:v>2828</c:v>
                </c:pt>
                <c:pt idx="547">
                  <c:v>2830</c:v>
                </c:pt>
                <c:pt idx="548">
                  <c:v>2832</c:v>
                </c:pt>
                <c:pt idx="549">
                  <c:v>2834</c:v>
                </c:pt>
                <c:pt idx="550">
                  <c:v>2836</c:v>
                </c:pt>
                <c:pt idx="551">
                  <c:v>2838</c:v>
                </c:pt>
                <c:pt idx="552">
                  <c:v>2840</c:v>
                </c:pt>
                <c:pt idx="553">
                  <c:v>2842</c:v>
                </c:pt>
                <c:pt idx="554">
                  <c:v>2844</c:v>
                </c:pt>
                <c:pt idx="555">
                  <c:v>2846</c:v>
                </c:pt>
                <c:pt idx="556">
                  <c:v>2848</c:v>
                </c:pt>
                <c:pt idx="557">
                  <c:v>2850</c:v>
                </c:pt>
                <c:pt idx="558">
                  <c:v>2852</c:v>
                </c:pt>
                <c:pt idx="559">
                  <c:v>2854</c:v>
                </c:pt>
                <c:pt idx="560">
                  <c:v>2856</c:v>
                </c:pt>
                <c:pt idx="561">
                  <c:v>2858</c:v>
                </c:pt>
                <c:pt idx="562">
                  <c:v>2860</c:v>
                </c:pt>
                <c:pt idx="563">
                  <c:v>2862</c:v>
                </c:pt>
                <c:pt idx="564">
                  <c:v>2864</c:v>
                </c:pt>
                <c:pt idx="565">
                  <c:v>2866</c:v>
                </c:pt>
                <c:pt idx="566">
                  <c:v>2868</c:v>
                </c:pt>
                <c:pt idx="567">
                  <c:v>2870</c:v>
                </c:pt>
                <c:pt idx="568">
                  <c:v>2872</c:v>
                </c:pt>
                <c:pt idx="569">
                  <c:v>2874</c:v>
                </c:pt>
                <c:pt idx="570">
                  <c:v>2876</c:v>
                </c:pt>
                <c:pt idx="571">
                  <c:v>2878</c:v>
                </c:pt>
                <c:pt idx="572">
                  <c:v>2880</c:v>
                </c:pt>
                <c:pt idx="573">
                  <c:v>2882</c:v>
                </c:pt>
                <c:pt idx="574">
                  <c:v>2884</c:v>
                </c:pt>
                <c:pt idx="575">
                  <c:v>2886</c:v>
                </c:pt>
                <c:pt idx="576">
                  <c:v>2888</c:v>
                </c:pt>
                <c:pt idx="577">
                  <c:v>2890</c:v>
                </c:pt>
                <c:pt idx="578">
                  <c:v>2892</c:v>
                </c:pt>
                <c:pt idx="579">
                  <c:v>2894</c:v>
                </c:pt>
                <c:pt idx="580">
                  <c:v>2896</c:v>
                </c:pt>
                <c:pt idx="581">
                  <c:v>2898</c:v>
                </c:pt>
                <c:pt idx="582">
                  <c:v>2900</c:v>
                </c:pt>
                <c:pt idx="583">
                  <c:v>2902</c:v>
                </c:pt>
                <c:pt idx="584">
                  <c:v>2904</c:v>
                </c:pt>
                <c:pt idx="585">
                  <c:v>2906</c:v>
                </c:pt>
                <c:pt idx="586">
                  <c:v>2908</c:v>
                </c:pt>
                <c:pt idx="587">
                  <c:v>2910</c:v>
                </c:pt>
                <c:pt idx="588">
                  <c:v>2912</c:v>
                </c:pt>
                <c:pt idx="589">
                  <c:v>2914</c:v>
                </c:pt>
                <c:pt idx="590">
                  <c:v>2916</c:v>
                </c:pt>
                <c:pt idx="591">
                  <c:v>2918</c:v>
                </c:pt>
                <c:pt idx="592">
                  <c:v>2920</c:v>
                </c:pt>
                <c:pt idx="593">
                  <c:v>2922</c:v>
                </c:pt>
                <c:pt idx="594">
                  <c:v>2924</c:v>
                </c:pt>
                <c:pt idx="595">
                  <c:v>2926</c:v>
                </c:pt>
                <c:pt idx="596">
                  <c:v>2928</c:v>
                </c:pt>
                <c:pt idx="597">
                  <c:v>2930</c:v>
                </c:pt>
                <c:pt idx="598">
                  <c:v>2932</c:v>
                </c:pt>
                <c:pt idx="599">
                  <c:v>2934</c:v>
                </c:pt>
                <c:pt idx="600">
                  <c:v>2936</c:v>
                </c:pt>
                <c:pt idx="601">
                  <c:v>2938</c:v>
                </c:pt>
                <c:pt idx="602">
                  <c:v>2940</c:v>
                </c:pt>
                <c:pt idx="603">
                  <c:v>2942</c:v>
                </c:pt>
                <c:pt idx="604">
                  <c:v>2944</c:v>
                </c:pt>
                <c:pt idx="605">
                  <c:v>2946</c:v>
                </c:pt>
                <c:pt idx="606">
                  <c:v>2948</c:v>
                </c:pt>
                <c:pt idx="607">
                  <c:v>2950</c:v>
                </c:pt>
                <c:pt idx="608">
                  <c:v>2952</c:v>
                </c:pt>
                <c:pt idx="609">
                  <c:v>2954</c:v>
                </c:pt>
                <c:pt idx="610">
                  <c:v>2956</c:v>
                </c:pt>
                <c:pt idx="611">
                  <c:v>2958</c:v>
                </c:pt>
                <c:pt idx="612">
                  <c:v>2960</c:v>
                </c:pt>
                <c:pt idx="613">
                  <c:v>2962</c:v>
                </c:pt>
                <c:pt idx="614">
                  <c:v>2964</c:v>
                </c:pt>
                <c:pt idx="615">
                  <c:v>2966</c:v>
                </c:pt>
                <c:pt idx="616">
                  <c:v>2968</c:v>
                </c:pt>
                <c:pt idx="617">
                  <c:v>2970</c:v>
                </c:pt>
                <c:pt idx="618">
                  <c:v>2972</c:v>
                </c:pt>
                <c:pt idx="619">
                  <c:v>2974</c:v>
                </c:pt>
                <c:pt idx="620">
                  <c:v>2976</c:v>
                </c:pt>
                <c:pt idx="621">
                  <c:v>2978</c:v>
                </c:pt>
                <c:pt idx="622">
                  <c:v>2980</c:v>
                </c:pt>
                <c:pt idx="623">
                  <c:v>2982</c:v>
                </c:pt>
                <c:pt idx="624">
                  <c:v>2984</c:v>
                </c:pt>
                <c:pt idx="625">
                  <c:v>2986</c:v>
                </c:pt>
                <c:pt idx="626">
                  <c:v>2988</c:v>
                </c:pt>
                <c:pt idx="627">
                  <c:v>2990</c:v>
                </c:pt>
                <c:pt idx="628">
                  <c:v>2992</c:v>
                </c:pt>
                <c:pt idx="629">
                  <c:v>2994</c:v>
                </c:pt>
                <c:pt idx="630">
                  <c:v>2996</c:v>
                </c:pt>
                <c:pt idx="631">
                  <c:v>2998</c:v>
                </c:pt>
                <c:pt idx="632">
                  <c:v>3000</c:v>
                </c:pt>
                <c:pt idx="633">
                  <c:v>3002</c:v>
                </c:pt>
                <c:pt idx="634">
                  <c:v>3004</c:v>
                </c:pt>
                <c:pt idx="635">
                  <c:v>3006</c:v>
                </c:pt>
                <c:pt idx="636">
                  <c:v>3008</c:v>
                </c:pt>
                <c:pt idx="637">
                  <c:v>3010</c:v>
                </c:pt>
                <c:pt idx="638">
                  <c:v>3012</c:v>
                </c:pt>
                <c:pt idx="639">
                  <c:v>3014</c:v>
                </c:pt>
                <c:pt idx="640">
                  <c:v>3016</c:v>
                </c:pt>
                <c:pt idx="641">
                  <c:v>3018</c:v>
                </c:pt>
                <c:pt idx="642">
                  <c:v>3020</c:v>
                </c:pt>
                <c:pt idx="643">
                  <c:v>3022</c:v>
                </c:pt>
                <c:pt idx="644">
                  <c:v>3024</c:v>
                </c:pt>
                <c:pt idx="645">
                  <c:v>3026</c:v>
                </c:pt>
                <c:pt idx="646">
                  <c:v>3028</c:v>
                </c:pt>
                <c:pt idx="647">
                  <c:v>3030</c:v>
                </c:pt>
                <c:pt idx="648">
                  <c:v>3032</c:v>
                </c:pt>
                <c:pt idx="649">
                  <c:v>3034</c:v>
                </c:pt>
                <c:pt idx="650">
                  <c:v>3036</c:v>
                </c:pt>
                <c:pt idx="651">
                  <c:v>3038</c:v>
                </c:pt>
                <c:pt idx="652">
                  <c:v>3040</c:v>
                </c:pt>
                <c:pt idx="653">
                  <c:v>3042</c:v>
                </c:pt>
                <c:pt idx="654">
                  <c:v>3044</c:v>
                </c:pt>
                <c:pt idx="655">
                  <c:v>3046</c:v>
                </c:pt>
                <c:pt idx="656">
                  <c:v>3048</c:v>
                </c:pt>
                <c:pt idx="657">
                  <c:v>3050</c:v>
                </c:pt>
                <c:pt idx="658">
                  <c:v>3052</c:v>
                </c:pt>
                <c:pt idx="659">
                  <c:v>3054</c:v>
                </c:pt>
                <c:pt idx="660">
                  <c:v>3056</c:v>
                </c:pt>
                <c:pt idx="661">
                  <c:v>3058</c:v>
                </c:pt>
                <c:pt idx="662">
                  <c:v>3060</c:v>
                </c:pt>
                <c:pt idx="663">
                  <c:v>3062</c:v>
                </c:pt>
                <c:pt idx="664">
                  <c:v>3064</c:v>
                </c:pt>
                <c:pt idx="665">
                  <c:v>3066</c:v>
                </c:pt>
                <c:pt idx="666">
                  <c:v>3068</c:v>
                </c:pt>
                <c:pt idx="667">
                  <c:v>3070</c:v>
                </c:pt>
                <c:pt idx="668">
                  <c:v>3072</c:v>
                </c:pt>
                <c:pt idx="669">
                  <c:v>3074</c:v>
                </c:pt>
                <c:pt idx="670">
                  <c:v>3076</c:v>
                </c:pt>
                <c:pt idx="671">
                  <c:v>3078</c:v>
                </c:pt>
                <c:pt idx="672">
                  <c:v>3080</c:v>
                </c:pt>
                <c:pt idx="673">
                  <c:v>3082</c:v>
                </c:pt>
                <c:pt idx="674">
                  <c:v>3084</c:v>
                </c:pt>
                <c:pt idx="675">
                  <c:v>3086</c:v>
                </c:pt>
                <c:pt idx="676">
                  <c:v>3088</c:v>
                </c:pt>
                <c:pt idx="677">
                  <c:v>3090</c:v>
                </c:pt>
                <c:pt idx="678">
                  <c:v>3092</c:v>
                </c:pt>
                <c:pt idx="679">
                  <c:v>3094</c:v>
                </c:pt>
                <c:pt idx="680">
                  <c:v>3096</c:v>
                </c:pt>
                <c:pt idx="681">
                  <c:v>3098</c:v>
                </c:pt>
                <c:pt idx="682">
                  <c:v>3100</c:v>
                </c:pt>
                <c:pt idx="683">
                  <c:v>3102</c:v>
                </c:pt>
                <c:pt idx="684">
                  <c:v>3104</c:v>
                </c:pt>
                <c:pt idx="685">
                  <c:v>3106</c:v>
                </c:pt>
                <c:pt idx="686">
                  <c:v>3108</c:v>
                </c:pt>
                <c:pt idx="687">
                  <c:v>3110</c:v>
                </c:pt>
                <c:pt idx="688">
                  <c:v>3112</c:v>
                </c:pt>
                <c:pt idx="689">
                  <c:v>3114</c:v>
                </c:pt>
                <c:pt idx="690">
                  <c:v>3116</c:v>
                </c:pt>
                <c:pt idx="691">
                  <c:v>3118</c:v>
                </c:pt>
                <c:pt idx="692">
                  <c:v>3120</c:v>
                </c:pt>
                <c:pt idx="693">
                  <c:v>3122</c:v>
                </c:pt>
                <c:pt idx="694">
                  <c:v>3124</c:v>
                </c:pt>
                <c:pt idx="695">
                  <c:v>3126</c:v>
                </c:pt>
                <c:pt idx="696">
                  <c:v>3128</c:v>
                </c:pt>
                <c:pt idx="697">
                  <c:v>3130</c:v>
                </c:pt>
                <c:pt idx="698">
                  <c:v>3132</c:v>
                </c:pt>
                <c:pt idx="699">
                  <c:v>3134</c:v>
                </c:pt>
                <c:pt idx="700">
                  <c:v>3136</c:v>
                </c:pt>
                <c:pt idx="701">
                  <c:v>3138</c:v>
                </c:pt>
                <c:pt idx="702">
                  <c:v>3140</c:v>
                </c:pt>
                <c:pt idx="703">
                  <c:v>3142</c:v>
                </c:pt>
                <c:pt idx="704">
                  <c:v>3144</c:v>
                </c:pt>
                <c:pt idx="705">
                  <c:v>3146</c:v>
                </c:pt>
                <c:pt idx="706">
                  <c:v>3148</c:v>
                </c:pt>
                <c:pt idx="707">
                  <c:v>3150</c:v>
                </c:pt>
                <c:pt idx="708">
                  <c:v>3152</c:v>
                </c:pt>
                <c:pt idx="709">
                  <c:v>3154</c:v>
                </c:pt>
                <c:pt idx="710">
                  <c:v>3156</c:v>
                </c:pt>
                <c:pt idx="711">
                  <c:v>3158</c:v>
                </c:pt>
                <c:pt idx="712">
                  <c:v>3160</c:v>
                </c:pt>
                <c:pt idx="713">
                  <c:v>3162</c:v>
                </c:pt>
                <c:pt idx="714">
                  <c:v>3164</c:v>
                </c:pt>
                <c:pt idx="715">
                  <c:v>3166</c:v>
                </c:pt>
                <c:pt idx="716">
                  <c:v>3168</c:v>
                </c:pt>
                <c:pt idx="717">
                  <c:v>3170</c:v>
                </c:pt>
                <c:pt idx="718">
                  <c:v>3172</c:v>
                </c:pt>
                <c:pt idx="719">
                  <c:v>3174</c:v>
                </c:pt>
                <c:pt idx="720">
                  <c:v>3176</c:v>
                </c:pt>
                <c:pt idx="721">
                  <c:v>3178</c:v>
                </c:pt>
                <c:pt idx="722">
                  <c:v>3180</c:v>
                </c:pt>
                <c:pt idx="723">
                  <c:v>3182</c:v>
                </c:pt>
                <c:pt idx="724">
                  <c:v>3184</c:v>
                </c:pt>
                <c:pt idx="725">
                  <c:v>3186</c:v>
                </c:pt>
                <c:pt idx="726">
                  <c:v>3188</c:v>
                </c:pt>
                <c:pt idx="727">
                  <c:v>3190</c:v>
                </c:pt>
                <c:pt idx="728">
                  <c:v>3192</c:v>
                </c:pt>
                <c:pt idx="729">
                  <c:v>3194</c:v>
                </c:pt>
                <c:pt idx="730">
                  <c:v>3196</c:v>
                </c:pt>
                <c:pt idx="731">
                  <c:v>3198</c:v>
                </c:pt>
                <c:pt idx="732">
                  <c:v>3200</c:v>
                </c:pt>
                <c:pt idx="733">
                  <c:v>3202</c:v>
                </c:pt>
                <c:pt idx="734">
                  <c:v>3204</c:v>
                </c:pt>
                <c:pt idx="735">
                  <c:v>3206</c:v>
                </c:pt>
                <c:pt idx="736">
                  <c:v>3208</c:v>
                </c:pt>
                <c:pt idx="737">
                  <c:v>3210</c:v>
                </c:pt>
                <c:pt idx="738">
                  <c:v>3212</c:v>
                </c:pt>
                <c:pt idx="739">
                  <c:v>3214</c:v>
                </c:pt>
                <c:pt idx="740">
                  <c:v>3216</c:v>
                </c:pt>
                <c:pt idx="741">
                  <c:v>3218</c:v>
                </c:pt>
                <c:pt idx="742">
                  <c:v>3220</c:v>
                </c:pt>
                <c:pt idx="743">
                  <c:v>3222</c:v>
                </c:pt>
                <c:pt idx="744">
                  <c:v>3224</c:v>
                </c:pt>
                <c:pt idx="745">
                  <c:v>3226</c:v>
                </c:pt>
                <c:pt idx="746">
                  <c:v>3228</c:v>
                </c:pt>
                <c:pt idx="747">
                  <c:v>3230</c:v>
                </c:pt>
                <c:pt idx="748">
                  <c:v>3232</c:v>
                </c:pt>
                <c:pt idx="749">
                  <c:v>3234</c:v>
                </c:pt>
                <c:pt idx="750">
                  <c:v>3236</c:v>
                </c:pt>
                <c:pt idx="751">
                  <c:v>3238</c:v>
                </c:pt>
                <c:pt idx="752">
                  <c:v>3240</c:v>
                </c:pt>
                <c:pt idx="753">
                  <c:v>3242</c:v>
                </c:pt>
                <c:pt idx="754">
                  <c:v>3244</c:v>
                </c:pt>
                <c:pt idx="755">
                  <c:v>3246</c:v>
                </c:pt>
                <c:pt idx="756">
                  <c:v>3248</c:v>
                </c:pt>
                <c:pt idx="757">
                  <c:v>3250</c:v>
                </c:pt>
                <c:pt idx="758">
                  <c:v>3252</c:v>
                </c:pt>
                <c:pt idx="759">
                  <c:v>3254</c:v>
                </c:pt>
                <c:pt idx="760">
                  <c:v>3256</c:v>
                </c:pt>
                <c:pt idx="761">
                  <c:v>3258</c:v>
                </c:pt>
                <c:pt idx="762">
                  <c:v>3260</c:v>
                </c:pt>
                <c:pt idx="763">
                  <c:v>3262</c:v>
                </c:pt>
                <c:pt idx="764">
                  <c:v>3264</c:v>
                </c:pt>
                <c:pt idx="765">
                  <c:v>3266</c:v>
                </c:pt>
                <c:pt idx="766">
                  <c:v>3268</c:v>
                </c:pt>
                <c:pt idx="767">
                  <c:v>3270</c:v>
                </c:pt>
                <c:pt idx="768">
                  <c:v>3272</c:v>
                </c:pt>
                <c:pt idx="769">
                  <c:v>3274</c:v>
                </c:pt>
                <c:pt idx="770">
                  <c:v>3276</c:v>
                </c:pt>
                <c:pt idx="771">
                  <c:v>3278</c:v>
                </c:pt>
                <c:pt idx="772">
                  <c:v>3280</c:v>
                </c:pt>
                <c:pt idx="773">
                  <c:v>3282</c:v>
                </c:pt>
                <c:pt idx="774">
                  <c:v>3284</c:v>
                </c:pt>
                <c:pt idx="775">
                  <c:v>3286</c:v>
                </c:pt>
                <c:pt idx="776">
                  <c:v>3288</c:v>
                </c:pt>
                <c:pt idx="777">
                  <c:v>3290</c:v>
                </c:pt>
                <c:pt idx="778">
                  <c:v>3292</c:v>
                </c:pt>
                <c:pt idx="779">
                  <c:v>3294</c:v>
                </c:pt>
                <c:pt idx="780">
                  <c:v>3296</c:v>
                </c:pt>
                <c:pt idx="781">
                  <c:v>3298</c:v>
                </c:pt>
                <c:pt idx="782">
                  <c:v>3300</c:v>
                </c:pt>
                <c:pt idx="783">
                  <c:v>3302</c:v>
                </c:pt>
                <c:pt idx="784">
                  <c:v>3304</c:v>
                </c:pt>
                <c:pt idx="785">
                  <c:v>3306</c:v>
                </c:pt>
                <c:pt idx="786">
                  <c:v>3308</c:v>
                </c:pt>
                <c:pt idx="787">
                  <c:v>3310</c:v>
                </c:pt>
                <c:pt idx="788">
                  <c:v>3312</c:v>
                </c:pt>
                <c:pt idx="789">
                  <c:v>3314</c:v>
                </c:pt>
                <c:pt idx="790">
                  <c:v>3316</c:v>
                </c:pt>
                <c:pt idx="791">
                  <c:v>3318</c:v>
                </c:pt>
                <c:pt idx="792">
                  <c:v>3320</c:v>
                </c:pt>
                <c:pt idx="793">
                  <c:v>3322</c:v>
                </c:pt>
                <c:pt idx="794">
                  <c:v>3324</c:v>
                </c:pt>
                <c:pt idx="795">
                  <c:v>3326</c:v>
                </c:pt>
                <c:pt idx="796">
                  <c:v>3328</c:v>
                </c:pt>
                <c:pt idx="797">
                  <c:v>3330</c:v>
                </c:pt>
                <c:pt idx="798">
                  <c:v>3332</c:v>
                </c:pt>
                <c:pt idx="799">
                  <c:v>3334</c:v>
                </c:pt>
                <c:pt idx="800">
                  <c:v>3336</c:v>
                </c:pt>
                <c:pt idx="801">
                  <c:v>3338</c:v>
                </c:pt>
                <c:pt idx="802">
                  <c:v>3340</c:v>
                </c:pt>
                <c:pt idx="803">
                  <c:v>3342</c:v>
                </c:pt>
                <c:pt idx="804">
                  <c:v>3344</c:v>
                </c:pt>
                <c:pt idx="805">
                  <c:v>3346</c:v>
                </c:pt>
                <c:pt idx="806">
                  <c:v>3348</c:v>
                </c:pt>
                <c:pt idx="807">
                  <c:v>3350</c:v>
                </c:pt>
                <c:pt idx="808">
                  <c:v>3352</c:v>
                </c:pt>
                <c:pt idx="809">
                  <c:v>3354</c:v>
                </c:pt>
                <c:pt idx="810">
                  <c:v>3356</c:v>
                </c:pt>
                <c:pt idx="811">
                  <c:v>3358</c:v>
                </c:pt>
                <c:pt idx="812">
                  <c:v>3360</c:v>
                </c:pt>
                <c:pt idx="813">
                  <c:v>3362</c:v>
                </c:pt>
                <c:pt idx="814">
                  <c:v>3364</c:v>
                </c:pt>
                <c:pt idx="815">
                  <c:v>3366</c:v>
                </c:pt>
                <c:pt idx="816">
                  <c:v>3368</c:v>
                </c:pt>
                <c:pt idx="817">
                  <c:v>3370</c:v>
                </c:pt>
                <c:pt idx="818">
                  <c:v>3372</c:v>
                </c:pt>
                <c:pt idx="819">
                  <c:v>3374</c:v>
                </c:pt>
                <c:pt idx="820">
                  <c:v>3376</c:v>
                </c:pt>
                <c:pt idx="821">
                  <c:v>3378</c:v>
                </c:pt>
                <c:pt idx="822">
                  <c:v>3380</c:v>
                </c:pt>
                <c:pt idx="823">
                  <c:v>3382</c:v>
                </c:pt>
                <c:pt idx="824">
                  <c:v>3384</c:v>
                </c:pt>
                <c:pt idx="825">
                  <c:v>3386</c:v>
                </c:pt>
                <c:pt idx="826">
                  <c:v>3388</c:v>
                </c:pt>
                <c:pt idx="827">
                  <c:v>3390</c:v>
                </c:pt>
                <c:pt idx="828">
                  <c:v>3392</c:v>
                </c:pt>
                <c:pt idx="829">
                  <c:v>3394</c:v>
                </c:pt>
                <c:pt idx="830">
                  <c:v>3396</c:v>
                </c:pt>
                <c:pt idx="831">
                  <c:v>3398</c:v>
                </c:pt>
                <c:pt idx="832">
                  <c:v>3400</c:v>
                </c:pt>
                <c:pt idx="833">
                  <c:v>3402</c:v>
                </c:pt>
                <c:pt idx="834">
                  <c:v>3404</c:v>
                </c:pt>
                <c:pt idx="835">
                  <c:v>3406</c:v>
                </c:pt>
                <c:pt idx="836">
                  <c:v>3408</c:v>
                </c:pt>
                <c:pt idx="837">
                  <c:v>3410</c:v>
                </c:pt>
                <c:pt idx="838">
                  <c:v>3412</c:v>
                </c:pt>
                <c:pt idx="839">
                  <c:v>3414</c:v>
                </c:pt>
                <c:pt idx="840">
                  <c:v>3416</c:v>
                </c:pt>
                <c:pt idx="841">
                  <c:v>3418</c:v>
                </c:pt>
                <c:pt idx="842">
                  <c:v>3420</c:v>
                </c:pt>
                <c:pt idx="843">
                  <c:v>3422</c:v>
                </c:pt>
                <c:pt idx="844">
                  <c:v>3424</c:v>
                </c:pt>
                <c:pt idx="845">
                  <c:v>3426</c:v>
                </c:pt>
                <c:pt idx="846">
                  <c:v>3428</c:v>
                </c:pt>
                <c:pt idx="847">
                  <c:v>3430</c:v>
                </c:pt>
                <c:pt idx="848">
                  <c:v>3432</c:v>
                </c:pt>
                <c:pt idx="849">
                  <c:v>3434</c:v>
                </c:pt>
                <c:pt idx="850">
                  <c:v>3436</c:v>
                </c:pt>
                <c:pt idx="851">
                  <c:v>3438</c:v>
                </c:pt>
                <c:pt idx="852">
                  <c:v>3440</c:v>
                </c:pt>
                <c:pt idx="853">
                  <c:v>3442</c:v>
                </c:pt>
                <c:pt idx="854">
                  <c:v>3444</c:v>
                </c:pt>
                <c:pt idx="855">
                  <c:v>3446</c:v>
                </c:pt>
                <c:pt idx="856">
                  <c:v>3448</c:v>
                </c:pt>
                <c:pt idx="857">
                  <c:v>3450</c:v>
                </c:pt>
                <c:pt idx="858">
                  <c:v>3452</c:v>
                </c:pt>
                <c:pt idx="859">
                  <c:v>3454</c:v>
                </c:pt>
                <c:pt idx="860">
                  <c:v>3456</c:v>
                </c:pt>
                <c:pt idx="861">
                  <c:v>3458</c:v>
                </c:pt>
                <c:pt idx="862">
                  <c:v>3460</c:v>
                </c:pt>
                <c:pt idx="863">
                  <c:v>3462</c:v>
                </c:pt>
                <c:pt idx="864">
                  <c:v>3464</c:v>
                </c:pt>
                <c:pt idx="865">
                  <c:v>3466</c:v>
                </c:pt>
                <c:pt idx="866">
                  <c:v>3468</c:v>
                </c:pt>
                <c:pt idx="867">
                  <c:v>3470</c:v>
                </c:pt>
                <c:pt idx="868">
                  <c:v>3472</c:v>
                </c:pt>
                <c:pt idx="869">
                  <c:v>3474</c:v>
                </c:pt>
                <c:pt idx="870">
                  <c:v>3476</c:v>
                </c:pt>
                <c:pt idx="871">
                  <c:v>3478</c:v>
                </c:pt>
                <c:pt idx="872">
                  <c:v>3480</c:v>
                </c:pt>
                <c:pt idx="873">
                  <c:v>3482</c:v>
                </c:pt>
                <c:pt idx="874">
                  <c:v>3484</c:v>
                </c:pt>
                <c:pt idx="875">
                  <c:v>3486</c:v>
                </c:pt>
                <c:pt idx="876">
                  <c:v>3488</c:v>
                </c:pt>
                <c:pt idx="877">
                  <c:v>3490</c:v>
                </c:pt>
                <c:pt idx="878">
                  <c:v>3492</c:v>
                </c:pt>
                <c:pt idx="879">
                  <c:v>3494</c:v>
                </c:pt>
                <c:pt idx="880">
                  <c:v>3496</c:v>
                </c:pt>
                <c:pt idx="881">
                  <c:v>3498</c:v>
                </c:pt>
                <c:pt idx="882">
                  <c:v>3500</c:v>
                </c:pt>
                <c:pt idx="883">
                  <c:v>3502</c:v>
                </c:pt>
                <c:pt idx="884">
                  <c:v>3504</c:v>
                </c:pt>
                <c:pt idx="885">
                  <c:v>3506</c:v>
                </c:pt>
                <c:pt idx="886">
                  <c:v>3508</c:v>
                </c:pt>
                <c:pt idx="887">
                  <c:v>3510</c:v>
                </c:pt>
                <c:pt idx="888">
                  <c:v>3512</c:v>
                </c:pt>
                <c:pt idx="889">
                  <c:v>3514</c:v>
                </c:pt>
                <c:pt idx="890">
                  <c:v>3516</c:v>
                </c:pt>
                <c:pt idx="891">
                  <c:v>3518</c:v>
                </c:pt>
                <c:pt idx="892">
                  <c:v>3520</c:v>
                </c:pt>
                <c:pt idx="893">
                  <c:v>3522</c:v>
                </c:pt>
                <c:pt idx="894">
                  <c:v>3524</c:v>
                </c:pt>
                <c:pt idx="895">
                  <c:v>3526</c:v>
                </c:pt>
                <c:pt idx="896">
                  <c:v>3528</c:v>
                </c:pt>
                <c:pt idx="897">
                  <c:v>3530</c:v>
                </c:pt>
                <c:pt idx="898">
                  <c:v>3532</c:v>
                </c:pt>
                <c:pt idx="899">
                  <c:v>3534</c:v>
                </c:pt>
                <c:pt idx="900">
                  <c:v>3536</c:v>
                </c:pt>
                <c:pt idx="901">
                  <c:v>3538</c:v>
                </c:pt>
                <c:pt idx="902">
                  <c:v>3540</c:v>
                </c:pt>
                <c:pt idx="903">
                  <c:v>3542</c:v>
                </c:pt>
                <c:pt idx="904">
                  <c:v>3544</c:v>
                </c:pt>
                <c:pt idx="905">
                  <c:v>3546</c:v>
                </c:pt>
                <c:pt idx="906">
                  <c:v>3548</c:v>
                </c:pt>
                <c:pt idx="907">
                  <c:v>3550</c:v>
                </c:pt>
                <c:pt idx="908">
                  <c:v>3552</c:v>
                </c:pt>
                <c:pt idx="909">
                  <c:v>3554</c:v>
                </c:pt>
                <c:pt idx="910">
                  <c:v>3556</c:v>
                </c:pt>
                <c:pt idx="911">
                  <c:v>3558</c:v>
                </c:pt>
                <c:pt idx="912">
                  <c:v>3560</c:v>
                </c:pt>
                <c:pt idx="913">
                  <c:v>3562</c:v>
                </c:pt>
                <c:pt idx="914">
                  <c:v>3564</c:v>
                </c:pt>
                <c:pt idx="915">
                  <c:v>3566</c:v>
                </c:pt>
                <c:pt idx="916">
                  <c:v>3568</c:v>
                </c:pt>
                <c:pt idx="917">
                  <c:v>3570</c:v>
                </c:pt>
                <c:pt idx="918">
                  <c:v>3572</c:v>
                </c:pt>
                <c:pt idx="919">
                  <c:v>3574</c:v>
                </c:pt>
                <c:pt idx="920">
                  <c:v>3576</c:v>
                </c:pt>
                <c:pt idx="921">
                  <c:v>3578</c:v>
                </c:pt>
                <c:pt idx="922">
                  <c:v>3580</c:v>
                </c:pt>
                <c:pt idx="923">
                  <c:v>3582</c:v>
                </c:pt>
                <c:pt idx="924">
                  <c:v>3584</c:v>
                </c:pt>
                <c:pt idx="925">
                  <c:v>3586</c:v>
                </c:pt>
                <c:pt idx="926">
                  <c:v>3588</c:v>
                </c:pt>
                <c:pt idx="927">
                  <c:v>3590</c:v>
                </c:pt>
                <c:pt idx="928">
                  <c:v>3592</c:v>
                </c:pt>
                <c:pt idx="929">
                  <c:v>3594</c:v>
                </c:pt>
                <c:pt idx="930">
                  <c:v>3596</c:v>
                </c:pt>
                <c:pt idx="931">
                  <c:v>3598</c:v>
                </c:pt>
                <c:pt idx="932">
                  <c:v>3600</c:v>
                </c:pt>
                <c:pt idx="933">
                  <c:v>3602</c:v>
                </c:pt>
                <c:pt idx="934">
                  <c:v>3604</c:v>
                </c:pt>
                <c:pt idx="935">
                  <c:v>3606</c:v>
                </c:pt>
                <c:pt idx="936">
                  <c:v>3608</c:v>
                </c:pt>
                <c:pt idx="937">
                  <c:v>3610</c:v>
                </c:pt>
                <c:pt idx="938">
                  <c:v>3612</c:v>
                </c:pt>
                <c:pt idx="939">
                  <c:v>3614</c:v>
                </c:pt>
                <c:pt idx="940">
                  <c:v>3616</c:v>
                </c:pt>
                <c:pt idx="941">
                  <c:v>3618</c:v>
                </c:pt>
                <c:pt idx="942">
                  <c:v>3620</c:v>
                </c:pt>
                <c:pt idx="943">
                  <c:v>3622</c:v>
                </c:pt>
                <c:pt idx="944">
                  <c:v>3624</c:v>
                </c:pt>
                <c:pt idx="945">
                  <c:v>3626</c:v>
                </c:pt>
                <c:pt idx="946">
                  <c:v>3628</c:v>
                </c:pt>
                <c:pt idx="947">
                  <c:v>3630</c:v>
                </c:pt>
                <c:pt idx="948">
                  <c:v>3632</c:v>
                </c:pt>
                <c:pt idx="949">
                  <c:v>3634</c:v>
                </c:pt>
                <c:pt idx="950">
                  <c:v>3636</c:v>
                </c:pt>
                <c:pt idx="951">
                  <c:v>3638</c:v>
                </c:pt>
                <c:pt idx="952">
                  <c:v>3640</c:v>
                </c:pt>
                <c:pt idx="953">
                  <c:v>3642</c:v>
                </c:pt>
                <c:pt idx="954">
                  <c:v>3644</c:v>
                </c:pt>
                <c:pt idx="955">
                  <c:v>3646</c:v>
                </c:pt>
                <c:pt idx="956">
                  <c:v>3648</c:v>
                </c:pt>
                <c:pt idx="957">
                  <c:v>3650</c:v>
                </c:pt>
                <c:pt idx="958">
                  <c:v>3652</c:v>
                </c:pt>
                <c:pt idx="959">
                  <c:v>3654</c:v>
                </c:pt>
                <c:pt idx="960">
                  <c:v>3656</c:v>
                </c:pt>
                <c:pt idx="961">
                  <c:v>3658</c:v>
                </c:pt>
                <c:pt idx="962">
                  <c:v>3660</c:v>
                </c:pt>
                <c:pt idx="963">
                  <c:v>3662</c:v>
                </c:pt>
                <c:pt idx="964">
                  <c:v>3664</c:v>
                </c:pt>
                <c:pt idx="965">
                  <c:v>3666</c:v>
                </c:pt>
                <c:pt idx="966">
                  <c:v>3668</c:v>
                </c:pt>
                <c:pt idx="967">
                  <c:v>3670</c:v>
                </c:pt>
                <c:pt idx="968">
                  <c:v>3672</c:v>
                </c:pt>
                <c:pt idx="969">
                  <c:v>3674</c:v>
                </c:pt>
                <c:pt idx="970">
                  <c:v>3676</c:v>
                </c:pt>
                <c:pt idx="971">
                  <c:v>3678</c:v>
                </c:pt>
                <c:pt idx="972">
                  <c:v>3680</c:v>
                </c:pt>
                <c:pt idx="973">
                  <c:v>3682</c:v>
                </c:pt>
                <c:pt idx="974">
                  <c:v>3684</c:v>
                </c:pt>
                <c:pt idx="975">
                  <c:v>3686</c:v>
                </c:pt>
                <c:pt idx="976">
                  <c:v>3688</c:v>
                </c:pt>
                <c:pt idx="977">
                  <c:v>3690</c:v>
                </c:pt>
                <c:pt idx="978">
                  <c:v>3692</c:v>
                </c:pt>
                <c:pt idx="979">
                  <c:v>3694</c:v>
                </c:pt>
                <c:pt idx="980">
                  <c:v>3696</c:v>
                </c:pt>
                <c:pt idx="981">
                  <c:v>3698</c:v>
                </c:pt>
                <c:pt idx="982">
                  <c:v>3700</c:v>
                </c:pt>
                <c:pt idx="983">
                  <c:v>3702</c:v>
                </c:pt>
                <c:pt idx="984">
                  <c:v>3704</c:v>
                </c:pt>
                <c:pt idx="985">
                  <c:v>3706</c:v>
                </c:pt>
                <c:pt idx="986">
                  <c:v>3708</c:v>
                </c:pt>
                <c:pt idx="987">
                  <c:v>3710</c:v>
                </c:pt>
                <c:pt idx="988">
                  <c:v>3712</c:v>
                </c:pt>
                <c:pt idx="989">
                  <c:v>3714</c:v>
                </c:pt>
                <c:pt idx="990">
                  <c:v>3716</c:v>
                </c:pt>
                <c:pt idx="991">
                  <c:v>3718</c:v>
                </c:pt>
                <c:pt idx="992">
                  <c:v>3720</c:v>
                </c:pt>
                <c:pt idx="993">
                  <c:v>3722</c:v>
                </c:pt>
                <c:pt idx="994">
                  <c:v>3724</c:v>
                </c:pt>
                <c:pt idx="995">
                  <c:v>3726</c:v>
                </c:pt>
                <c:pt idx="996">
                  <c:v>3728</c:v>
                </c:pt>
                <c:pt idx="997">
                  <c:v>3730</c:v>
                </c:pt>
                <c:pt idx="998">
                  <c:v>3732</c:v>
                </c:pt>
                <c:pt idx="999">
                  <c:v>3734</c:v>
                </c:pt>
                <c:pt idx="1000">
                  <c:v>3736</c:v>
                </c:pt>
                <c:pt idx="1001">
                  <c:v>3738</c:v>
                </c:pt>
                <c:pt idx="1002">
                  <c:v>3740</c:v>
                </c:pt>
                <c:pt idx="1003">
                  <c:v>3742</c:v>
                </c:pt>
                <c:pt idx="1004">
                  <c:v>3744</c:v>
                </c:pt>
                <c:pt idx="1005">
                  <c:v>3746</c:v>
                </c:pt>
                <c:pt idx="1006">
                  <c:v>3748</c:v>
                </c:pt>
                <c:pt idx="1007">
                  <c:v>3750</c:v>
                </c:pt>
                <c:pt idx="1008">
                  <c:v>3752</c:v>
                </c:pt>
                <c:pt idx="1009">
                  <c:v>3754</c:v>
                </c:pt>
                <c:pt idx="1010">
                  <c:v>3756</c:v>
                </c:pt>
                <c:pt idx="1011">
                  <c:v>3758</c:v>
                </c:pt>
                <c:pt idx="1012">
                  <c:v>3760</c:v>
                </c:pt>
                <c:pt idx="1013">
                  <c:v>3762</c:v>
                </c:pt>
                <c:pt idx="1014">
                  <c:v>3764</c:v>
                </c:pt>
                <c:pt idx="1015">
                  <c:v>3766</c:v>
                </c:pt>
                <c:pt idx="1016">
                  <c:v>3768</c:v>
                </c:pt>
                <c:pt idx="1017">
                  <c:v>3770</c:v>
                </c:pt>
                <c:pt idx="1018">
                  <c:v>3772</c:v>
                </c:pt>
                <c:pt idx="1019">
                  <c:v>3774</c:v>
                </c:pt>
                <c:pt idx="1020">
                  <c:v>3776</c:v>
                </c:pt>
                <c:pt idx="1021">
                  <c:v>3778</c:v>
                </c:pt>
                <c:pt idx="1022">
                  <c:v>3780</c:v>
                </c:pt>
                <c:pt idx="1023">
                  <c:v>3782</c:v>
                </c:pt>
                <c:pt idx="1024">
                  <c:v>3784</c:v>
                </c:pt>
                <c:pt idx="1025">
                  <c:v>3786</c:v>
                </c:pt>
                <c:pt idx="1026">
                  <c:v>3788</c:v>
                </c:pt>
                <c:pt idx="1027">
                  <c:v>3790</c:v>
                </c:pt>
                <c:pt idx="1028">
                  <c:v>3792</c:v>
                </c:pt>
                <c:pt idx="1029">
                  <c:v>3794</c:v>
                </c:pt>
                <c:pt idx="1030">
                  <c:v>3796</c:v>
                </c:pt>
                <c:pt idx="1031">
                  <c:v>3798</c:v>
                </c:pt>
                <c:pt idx="1032">
                  <c:v>3800</c:v>
                </c:pt>
                <c:pt idx="1033">
                  <c:v>3802</c:v>
                </c:pt>
                <c:pt idx="1034">
                  <c:v>3804</c:v>
                </c:pt>
                <c:pt idx="1035">
                  <c:v>3806</c:v>
                </c:pt>
                <c:pt idx="1036">
                  <c:v>3808</c:v>
                </c:pt>
                <c:pt idx="1037">
                  <c:v>3810</c:v>
                </c:pt>
                <c:pt idx="1038">
                  <c:v>3812</c:v>
                </c:pt>
                <c:pt idx="1039">
                  <c:v>3814</c:v>
                </c:pt>
                <c:pt idx="1040">
                  <c:v>3816</c:v>
                </c:pt>
                <c:pt idx="1041">
                  <c:v>3818</c:v>
                </c:pt>
                <c:pt idx="1042">
                  <c:v>3820</c:v>
                </c:pt>
                <c:pt idx="1043">
                  <c:v>3822</c:v>
                </c:pt>
                <c:pt idx="1044">
                  <c:v>3824</c:v>
                </c:pt>
                <c:pt idx="1045">
                  <c:v>3826</c:v>
                </c:pt>
                <c:pt idx="1046">
                  <c:v>3828</c:v>
                </c:pt>
                <c:pt idx="1047">
                  <c:v>3830</c:v>
                </c:pt>
                <c:pt idx="1048">
                  <c:v>3832</c:v>
                </c:pt>
                <c:pt idx="1049">
                  <c:v>3834</c:v>
                </c:pt>
                <c:pt idx="1050">
                  <c:v>3836</c:v>
                </c:pt>
                <c:pt idx="1051">
                  <c:v>3838</c:v>
                </c:pt>
                <c:pt idx="1052">
                  <c:v>3840</c:v>
                </c:pt>
                <c:pt idx="1053">
                  <c:v>3842</c:v>
                </c:pt>
                <c:pt idx="1054">
                  <c:v>3844</c:v>
                </c:pt>
                <c:pt idx="1055">
                  <c:v>3846</c:v>
                </c:pt>
                <c:pt idx="1056">
                  <c:v>3848</c:v>
                </c:pt>
                <c:pt idx="1057">
                  <c:v>3850</c:v>
                </c:pt>
                <c:pt idx="1058">
                  <c:v>3852</c:v>
                </c:pt>
                <c:pt idx="1059">
                  <c:v>3854</c:v>
                </c:pt>
                <c:pt idx="1060">
                  <c:v>3856</c:v>
                </c:pt>
                <c:pt idx="1061">
                  <c:v>3858</c:v>
                </c:pt>
                <c:pt idx="1062">
                  <c:v>3860</c:v>
                </c:pt>
                <c:pt idx="1063">
                  <c:v>3862</c:v>
                </c:pt>
                <c:pt idx="1064">
                  <c:v>3864</c:v>
                </c:pt>
                <c:pt idx="1065">
                  <c:v>3866</c:v>
                </c:pt>
                <c:pt idx="1066">
                  <c:v>3868</c:v>
                </c:pt>
                <c:pt idx="1067">
                  <c:v>3870</c:v>
                </c:pt>
                <c:pt idx="1068">
                  <c:v>3872</c:v>
                </c:pt>
                <c:pt idx="1069">
                  <c:v>3874</c:v>
                </c:pt>
                <c:pt idx="1070">
                  <c:v>3876</c:v>
                </c:pt>
                <c:pt idx="1071">
                  <c:v>3878</c:v>
                </c:pt>
                <c:pt idx="1072">
                  <c:v>3880</c:v>
                </c:pt>
                <c:pt idx="1073">
                  <c:v>3882</c:v>
                </c:pt>
                <c:pt idx="1074">
                  <c:v>3884</c:v>
                </c:pt>
                <c:pt idx="1075">
                  <c:v>3886</c:v>
                </c:pt>
                <c:pt idx="1076">
                  <c:v>3888</c:v>
                </c:pt>
                <c:pt idx="1077">
                  <c:v>3890</c:v>
                </c:pt>
                <c:pt idx="1078">
                  <c:v>3892</c:v>
                </c:pt>
                <c:pt idx="1079">
                  <c:v>3894</c:v>
                </c:pt>
                <c:pt idx="1080">
                  <c:v>3896</c:v>
                </c:pt>
                <c:pt idx="1081">
                  <c:v>3898</c:v>
                </c:pt>
                <c:pt idx="1082">
                  <c:v>3900</c:v>
                </c:pt>
                <c:pt idx="1083">
                  <c:v>3902</c:v>
                </c:pt>
                <c:pt idx="1084">
                  <c:v>3904</c:v>
                </c:pt>
                <c:pt idx="1085">
                  <c:v>3906</c:v>
                </c:pt>
                <c:pt idx="1086">
                  <c:v>3908</c:v>
                </c:pt>
                <c:pt idx="1087">
                  <c:v>3910</c:v>
                </c:pt>
                <c:pt idx="1088">
                  <c:v>3912</c:v>
                </c:pt>
                <c:pt idx="1089">
                  <c:v>3914</c:v>
                </c:pt>
                <c:pt idx="1090">
                  <c:v>3916</c:v>
                </c:pt>
                <c:pt idx="1091">
                  <c:v>3918</c:v>
                </c:pt>
                <c:pt idx="1092">
                  <c:v>3920</c:v>
                </c:pt>
                <c:pt idx="1093">
                  <c:v>3922</c:v>
                </c:pt>
                <c:pt idx="1094">
                  <c:v>3924</c:v>
                </c:pt>
                <c:pt idx="1095">
                  <c:v>3926</c:v>
                </c:pt>
                <c:pt idx="1096">
                  <c:v>3928</c:v>
                </c:pt>
                <c:pt idx="1097">
                  <c:v>3930</c:v>
                </c:pt>
                <c:pt idx="1098">
                  <c:v>3932</c:v>
                </c:pt>
                <c:pt idx="1099">
                  <c:v>3934</c:v>
                </c:pt>
                <c:pt idx="1100">
                  <c:v>3936</c:v>
                </c:pt>
                <c:pt idx="1101">
                  <c:v>3938</c:v>
                </c:pt>
                <c:pt idx="1102">
                  <c:v>3940</c:v>
                </c:pt>
                <c:pt idx="1103">
                  <c:v>3942</c:v>
                </c:pt>
                <c:pt idx="1104">
                  <c:v>3944</c:v>
                </c:pt>
                <c:pt idx="1105">
                  <c:v>3946</c:v>
                </c:pt>
                <c:pt idx="1106">
                  <c:v>3948</c:v>
                </c:pt>
                <c:pt idx="1107">
                  <c:v>3950</c:v>
                </c:pt>
                <c:pt idx="1108">
                  <c:v>3952</c:v>
                </c:pt>
                <c:pt idx="1109">
                  <c:v>3954</c:v>
                </c:pt>
                <c:pt idx="1110">
                  <c:v>3956</c:v>
                </c:pt>
                <c:pt idx="1111">
                  <c:v>3958</c:v>
                </c:pt>
                <c:pt idx="1112">
                  <c:v>3960</c:v>
                </c:pt>
                <c:pt idx="1113">
                  <c:v>3962</c:v>
                </c:pt>
                <c:pt idx="1114">
                  <c:v>3964</c:v>
                </c:pt>
                <c:pt idx="1115">
                  <c:v>3966</c:v>
                </c:pt>
                <c:pt idx="1116">
                  <c:v>3968</c:v>
                </c:pt>
                <c:pt idx="1117">
                  <c:v>3970</c:v>
                </c:pt>
                <c:pt idx="1118">
                  <c:v>3972</c:v>
                </c:pt>
                <c:pt idx="1119">
                  <c:v>3974</c:v>
                </c:pt>
                <c:pt idx="1120">
                  <c:v>3976</c:v>
                </c:pt>
                <c:pt idx="1121">
                  <c:v>3978</c:v>
                </c:pt>
                <c:pt idx="1122">
                  <c:v>3980</c:v>
                </c:pt>
                <c:pt idx="1123">
                  <c:v>3982</c:v>
                </c:pt>
                <c:pt idx="1124">
                  <c:v>3984</c:v>
                </c:pt>
                <c:pt idx="1125">
                  <c:v>3986</c:v>
                </c:pt>
                <c:pt idx="1126">
                  <c:v>3988</c:v>
                </c:pt>
                <c:pt idx="1127">
                  <c:v>3990</c:v>
                </c:pt>
                <c:pt idx="1128">
                  <c:v>3992</c:v>
                </c:pt>
                <c:pt idx="1129">
                  <c:v>3994</c:v>
                </c:pt>
                <c:pt idx="1130">
                  <c:v>3996</c:v>
                </c:pt>
                <c:pt idx="1131">
                  <c:v>3998</c:v>
                </c:pt>
                <c:pt idx="1132">
                  <c:v>4000</c:v>
                </c:pt>
                <c:pt idx="1133">
                  <c:v>4002</c:v>
                </c:pt>
                <c:pt idx="1134">
                  <c:v>4004</c:v>
                </c:pt>
                <c:pt idx="1135">
                  <c:v>4006</c:v>
                </c:pt>
                <c:pt idx="1136">
                  <c:v>4008</c:v>
                </c:pt>
                <c:pt idx="1137">
                  <c:v>4010</c:v>
                </c:pt>
                <c:pt idx="1138">
                  <c:v>4012</c:v>
                </c:pt>
                <c:pt idx="1139">
                  <c:v>4014</c:v>
                </c:pt>
                <c:pt idx="1140">
                  <c:v>4016</c:v>
                </c:pt>
                <c:pt idx="1141">
                  <c:v>4018</c:v>
                </c:pt>
                <c:pt idx="1142">
                  <c:v>4020</c:v>
                </c:pt>
                <c:pt idx="1143">
                  <c:v>4022</c:v>
                </c:pt>
                <c:pt idx="1144">
                  <c:v>4024</c:v>
                </c:pt>
                <c:pt idx="1145">
                  <c:v>4026</c:v>
                </c:pt>
                <c:pt idx="1146">
                  <c:v>4028</c:v>
                </c:pt>
                <c:pt idx="1147">
                  <c:v>4030</c:v>
                </c:pt>
                <c:pt idx="1148">
                  <c:v>4032</c:v>
                </c:pt>
                <c:pt idx="1149">
                  <c:v>4034</c:v>
                </c:pt>
                <c:pt idx="1150">
                  <c:v>4036</c:v>
                </c:pt>
                <c:pt idx="1151">
                  <c:v>4038</c:v>
                </c:pt>
                <c:pt idx="1152">
                  <c:v>4040</c:v>
                </c:pt>
                <c:pt idx="1153">
                  <c:v>4042</c:v>
                </c:pt>
                <c:pt idx="1154">
                  <c:v>4044</c:v>
                </c:pt>
                <c:pt idx="1155">
                  <c:v>4046</c:v>
                </c:pt>
                <c:pt idx="1156">
                  <c:v>4048</c:v>
                </c:pt>
                <c:pt idx="1157">
                  <c:v>4050</c:v>
                </c:pt>
                <c:pt idx="1158">
                  <c:v>4052</c:v>
                </c:pt>
                <c:pt idx="1159">
                  <c:v>4054</c:v>
                </c:pt>
                <c:pt idx="1160">
                  <c:v>4056</c:v>
                </c:pt>
                <c:pt idx="1161">
                  <c:v>4058</c:v>
                </c:pt>
                <c:pt idx="1162">
                  <c:v>4060</c:v>
                </c:pt>
                <c:pt idx="1163">
                  <c:v>4062</c:v>
                </c:pt>
                <c:pt idx="1164">
                  <c:v>4064</c:v>
                </c:pt>
                <c:pt idx="1165">
                  <c:v>4066</c:v>
                </c:pt>
                <c:pt idx="1166">
                  <c:v>4068</c:v>
                </c:pt>
                <c:pt idx="1167">
                  <c:v>4070</c:v>
                </c:pt>
                <c:pt idx="1168">
                  <c:v>4072</c:v>
                </c:pt>
                <c:pt idx="1169">
                  <c:v>4074</c:v>
                </c:pt>
                <c:pt idx="1170">
                  <c:v>4076</c:v>
                </c:pt>
                <c:pt idx="1171">
                  <c:v>4078</c:v>
                </c:pt>
                <c:pt idx="1172">
                  <c:v>4080</c:v>
                </c:pt>
                <c:pt idx="1173">
                  <c:v>4082</c:v>
                </c:pt>
                <c:pt idx="1174">
                  <c:v>4084</c:v>
                </c:pt>
                <c:pt idx="1175">
                  <c:v>4086</c:v>
                </c:pt>
                <c:pt idx="1176">
                  <c:v>4088</c:v>
                </c:pt>
                <c:pt idx="1177">
                  <c:v>4090</c:v>
                </c:pt>
                <c:pt idx="1178">
                  <c:v>4092</c:v>
                </c:pt>
                <c:pt idx="1179">
                  <c:v>4094</c:v>
                </c:pt>
                <c:pt idx="1180">
                  <c:v>4096</c:v>
                </c:pt>
                <c:pt idx="1181">
                  <c:v>4098</c:v>
                </c:pt>
                <c:pt idx="1182">
                  <c:v>4100</c:v>
                </c:pt>
                <c:pt idx="1183">
                  <c:v>4102</c:v>
                </c:pt>
                <c:pt idx="1184">
                  <c:v>4104</c:v>
                </c:pt>
                <c:pt idx="1185">
                  <c:v>4106</c:v>
                </c:pt>
                <c:pt idx="1186">
                  <c:v>4108</c:v>
                </c:pt>
                <c:pt idx="1187">
                  <c:v>4110</c:v>
                </c:pt>
                <c:pt idx="1188">
                  <c:v>4112</c:v>
                </c:pt>
                <c:pt idx="1189">
                  <c:v>4114</c:v>
                </c:pt>
                <c:pt idx="1190">
                  <c:v>4116</c:v>
                </c:pt>
                <c:pt idx="1191">
                  <c:v>4118</c:v>
                </c:pt>
                <c:pt idx="1192">
                  <c:v>4120</c:v>
                </c:pt>
                <c:pt idx="1193">
                  <c:v>4122</c:v>
                </c:pt>
                <c:pt idx="1194">
                  <c:v>4124</c:v>
                </c:pt>
                <c:pt idx="1195">
                  <c:v>4126</c:v>
                </c:pt>
                <c:pt idx="1196">
                  <c:v>4128</c:v>
                </c:pt>
                <c:pt idx="1197">
                  <c:v>4130</c:v>
                </c:pt>
                <c:pt idx="1198">
                  <c:v>4132</c:v>
                </c:pt>
                <c:pt idx="1199">
                  <c:v>4134</c:v>
                </c:pt>
                <c:pt idx="1200">
                  <c:v>4136</c:v>
                </c:pt>
                <c:pt idx="1201">
                  <c:v>4138</c:v>
                </c:pt>
                <c:pt idx="1202">
                  <c:v>4140</c:v>
                </c:pt>
                <c:pt idx="1203">
                  <c:v>4142</c:v>
                </c:pt>
                <c:pt idx="1204">
                  <c:v>4144</c:v>
                </c:pt>
                <c:pt idx="1205">
                  <c:v>4146</c:v>
                </c:pt>
                <c:pt idx="1206">
                  <c:v>4148</c:v>
                </c:pt>
                <c:pt idx="1207">
                  <c:v>4150</c:v>
                </c:pt>
                <c:pt idx="1208">
                  <c:v>4152</c:v>
                </c:pt>
                <c:pt idx="1209">
                  <c:v>4154</c:v>
                </c:pt>
                <c:pt idx="1210">
                  <c:v>4156</c:v>
                </c:pt>
                <c:pt idx="1211">
                  <c:v>4158</c:v>
                </c:pt>
                <c:pt idx="1212">
                  <c:v>4160</c:v>
                </c:pt>
                <c:pt idx="1213">
                  <c:v>4162</c:v>
                </c:pt>
                <c:pt idx="1214">
                  <c:v>4164</c:v>
                </c:pt>
                <c:pt idx="1215">
                  <c:v>4166</c:v>
                </c:pt>
                <c:pt idx="1216">
                  <c:v>4168</c:v>
                </c:pt>
                <c:pt idx="1217">
                  <c:v>4170</c:v>
                </c:pt>
                <c:pt idx="1218">
                  <c:v>4172</c:v>
                </c:pt>
                <c:pt idx="1219">
                  <c:v>4174</c:v>
                </c:pt>
                <c:pt idx="1220">
                  <c:v>4176</c:v>
                </c:pt>
                <c:pt idx="1221">
                  <c:v>4178</c:v>
                </c:pt>
                <c:pt idx="1222">
                  <c:v>4180</c:v>
                </c:pt>
                <c:pt idx="1223">
                  <c:v>4182</c:v>
                </c:pt>
                <c:pt idx="1224">
                  <c:v>4184</c:v>
                </c:pt>
                <c:pt idx="1225">
                  <c:v>4186</c:v>
                </c:pt>
                <c:pt idx="1226">
                  <c:v>4188</c:v>
                </c:pt>
                <c:pt idx="1227">
                  <c:v>4190</c:v>
                </c:pt>
                <c:pt idx="1228">
                  <c:v>4192</c:v>
                </c:pt>
                <c:pt idx="1229">
                  <c:v>4194</c:v>
                </c:pt>
                <c:pt idx="1230">
                  <c:v>4196</c:v>
                </c:pt>
                <c:pt idx="1231">
                  <c:v>4198</c:v>
                </c:pt>
                <c:pt idx="1232">
                  <c:v>4200</c:v>
                </c:pt>
                <c:pt idx="1233">
                  <c:v>4202</c:v>
                </c:pt>
                <c:pt idx="1234">
                  <c:v>4204</c:v>
                </c:pt>
                <c:pt idx="1235">
                  <c:v>4206</c:v>
                </c:pt>
                <c:pt idx="1236">
                  <c:v>4208</c:v>
                </c:pt>
                <c:pt idx="1237">
                  <c:v>4210</c:v>
                </c:pt>
                <c:pt idx="1238">
                  <c:v>4212</c:v>
                </c:pt>
                <c:pt idx="1239">
                  <c:v>4214</c:v>
                </c:pt>
                <c:pt idx="1240">
                  <c:v>4216</c:v>
                </c:pt>
                <c:pt idx="1241">
                  <c:v>4218</c:v>
                </c:pt>
                <c:pt idx="1242">
                  <c:v>4220</c:v>
                </c:pt>
                <c:pt idx="1243">
                  <c:v>4222</c:v>
                </c:pt>
                <c:pt idx="1244">
                  <c:v>4224</c:v>
                </c:pt>
                <c:pt idx="1245">
                  <c:v>4226</c:v>
                </c:pt>
                <c:pt idx="1246">
                  <c:v>4228</c:v>
                </c:pt>
                <c:pt idx="1247">
                  <c:v>4230</c:v>
                </c:pt>
                <c:pt idx="1248">
                  <c:v>4232</c:v>
                </c:pt>
                <c:pt idx="1249">
                  <c:v>4234</c:v>
                </c:pt>
                <c:pt idx="1250">
                  <c:v>4236</c:v>
                </c:pt>
                <c:pt idx="1251">
                  <c:v>4238</c:v>
                </c:pt>
                <c:pt idx="1252">
                  <c:v>4240</c:v>
                </c:pt>
                <c:pt idx="1253">
                  <c:v>4242</c:v>
                </c:pt>
                <c:pt idx="1254">
                  <c:v>4244</c:v>
                </c:pt>
                <c:pt idx="1255">
                  <c:v>4246</c:v>
                </c:pt>
                <c:pt idx="1256">
                  <c:v>4248</c:v>
                </c:pt>
                <c:pt idx="1257">
                  <c:v>4250</c:v>
                </c:pt>
                <c:pt idx="1258">
                  <c:v>4252</c:v>
                </c:pt>
                <c:pt idx="1259">
                  <c:v>4254</c:v>
                </c:pt>
                <c:pt idx="1260">
                  <c:v>4256</c:v>
                </c:pt>
                <c:pt idx="1261">
                  <c:v>4258</c:v>
                </c:pt>
                <c:pt idx="1262">
                  <c:v>4260</c:v>
                </c:pt>
                <c:pt idx="1263">
                  <c:v>4262</c:v>
                </c:pt>
                <c:pt idx="1264">
                  <c:v>4264</c:v>
                </c:pt>
                <c:pt idx="1265">
                  <c:v>4266</c:v>
                </c:pt>
                <c:pt idx="1266">
                  <c:v>4268</c:v>
                </c:pt>
                <c:pt idx="1267">
                  <c:v>4270</c:v>
                </c:pt>
                <c:pt idx="1268">
                  <c:v>4272</c:v>
                </c:pt>
                <c:pt idx="1269">
                  <c:v>4274</c:v>
                </c:pt>
                <c:pt idx="1270">
                  <c:v>4276</c:v>
                </c:pt>
                <c:pt idx="1271">
                  <c:v>4278</c:v>
                </c:pt>
                <c:pt idx="1272">
                  <c:v>4280</c:v>
                </c:pt>
                <c:pt idx="1273">
                  <c:v>4282</c:v>
                </c:pt>
                <c:pt idx="1274">
                  <c:v>4284</c:v>
                </c:pt>
                <c:pt idx="1275">
                  <c:v>4286</c:v>
                </c:pt>
                <c:pt idx="1276">
                  <c:v>4288</c:v>
                </c:pt>
                <c:pt idx="1277">
                  <c:v>4290</c:v>
                </c:pt>
                <c:pt idx="1278">
                  <c:v>4292</c:v>
                </c:pt>
                <c:pt idx="1279">
                  <c:v>4294</c:v>
                </c:pt>
                <c:pt idx="1280">
                  <c:v>4296</c:v>
                </c:pt>
                <c:pt idx="1281">
                  <c:v>4298</c:v>
                </c:pt>
                <c:pt idx="1282">
                  <c:v>4300</c:v>
                </c:pt>
                <c:pt idx="1283">
                  <c:v>4302</c:v>
                </c:pt>
                <c:pt idx="1284">
                  <c:v>4304</c:v>
                </c:pt>
                <c:pt idx="1285">
                  <c:v>4306</c:v>
                </c:pt>
                <c:pt idx="1286">
                  <c:v>4308</c:v>
                </c:pt>
                <c:pt idx="1287">
                  <c:v>4310</c:v>
                </c:pt>
                <c:pt idx="1288">
                  <c:v>4312</c:v>
                </c:pt>
                <c:pt idx="1289">
                  <c:v>4314</c:v>
                </c:pt>
                <c:pt idx="1290">
                  <c:v>4316</c:v>
                </c:pt>
                <c:pt idx="1291">
                  <c:v>4318</c:v>
                </c:pt>
                <c:pt idx="1292">
                  <c:v>4320</c:v>
                </c:pt>
                <c:pt idx="1293">
                  <c:v>4322</c:v>
                </c:pt>
                <c:pt idx="1294">
                  <c:v>4324</c:v>
                </c:pt>
                <c:pt idx="1295">
                  <c:v>4326</c:v>
                </c:pt>
                <c:pt idx="1296">
                  <c:v>4328</c:v>
                </c:pt>
                <c:pt idx="1297">
                  <c:v>4330</c:v>
                </c:pt>
                <c:pt idx="1298">
                  <c:v>4332</c:v>
                </c:pt>
                <c:pt idx="1299">
                  <c:v>4334</c:v>
                </c:pt>
                <c:pt idx="1300">
                  <c:v>4336</c:v>
                </c:pt>
                <c:pt idx="1301">
                  <c:v>4338</c:v>
                </c:pt>
                <c:pt idx="1302">
                  <c:v>4340</c:v>
                </c:pt>
                <c:pt idx="1303">
                  <c:v>4342</c:v>
                </c:pt>
                <c:pt idx="1304">
                  <c:v>4344</c:v>
                </c:pt>
                <c:pt idx="1305">
                  <c:v>4346</c:v>
                </c:pt>
                <c:pt idx="1306">
                  <c:v>4348</c:v>
                </c:pt>
                <c:pt idx="1307">
                  <c:v>4350</c:v>
                </c:pt>
                <c:pt idx="1308">
                  <c:v>4352</c:v>
                </c:pt>
                <c:pt idx="1309">
                  <c:v>4354</c:v>
                </c:pt>
                <c:pt idx="1310">
                  <c:v>4356</c:v>
                </c:pt>
                <c:pt idx="1311">
                  <c:v>4358</c:v>
                </c:pt>
                <c:pt idx="1312">
                  <c:v>4360</c:v>
                </c:pt>
                <c:pt idx="1313">
                  <c:v>4362</c:v>
                </c:pt>
                <c:pt idx="1314">
                  <c:v>4364</c:v>
                </c:pt>
                <c:pt idx="1315">
                  <c:v>4366</c:v>
                </c:pt>
                <c:pt idx="1316">
                  <c:v>4368</c:v>
                </c:pt>
                <c:pt idx="1317">
                  <c:v>4370</c:v>
                </c:pt>
                <c:pt idx="1318">
                  <c:v>4372</c:v>
                </c:pt>
                <c:pt idx="1319">
                  <c:v>4374</c:v>
                </c:pt>
                <c:pt idx="1320">
                  <c:v>4376</c:v>
                </c:pt>
                <c:pt idx="1321">
                  <c:v>4378</c:v>
                </c:pt>
                <c:pt idx="1322">
                  <c:v>4380</c:v>
                </c:pt>
                <c:pt idx="1323">
                  <c:v>4382</c:v>
                </c:pt>
                <c:pt idx="1324">
                  <c:v>4384</c:v>
                </c:pt>
                <c:pt idx="1325">
                  <c:v>4386</c:v>
                </c:pt>
                <c:pt idx="1326">
                  <c:v>4388</c:v>
                </c:pt>
                <c:pt idx="1327">
                  <c:v>4390</c:v>
                </c:pt>
                <c:pt idx="1328">
                  <c:v>4392</c:v>
                </c:pt>
                <c:pt idx="1329">
                  <c:v>4394</c:v>
                </c:pt>
                <c:pt idx="1330">
                  <c:v>4396</c:v>
                </c:pt>
                <c:pt idx="1331">
                  <c:v>4398</c:v>
                </c:pt>
                <c:pt idx="1332">
                  <c:v>4400</c:v>
                </c:pt>
                <c:pt idx="1333">
                  <c:v>4402</c:v>
                </c:pt>
                <c:pt idx="1334">
                  <c:v>4404</c:v>
                </c:pt>
                <c:pt idx="1335">
                  <c:v>4406</c:v>
                </c:pt>
                <c:pt idx="1336">
                  <c:v>4408</c:v>
                </c:pt>
                <c:pt idx="1337">
                  <c:v>4410</c:v>
                </c:pt>
                <c:pt idx="1338">
                  <c:v>4412</c:v>
                </c:pt>
                <c:pt idx="1339">
                  <c:v>4414</c:v>
                </c:pt>
                <c:pt idx="1340">
                  <c:v>4416</c:v>
                </c:pt>
                <c:pt idx="1341">
                  <c:v>4418</c:v>
                </c:pt>
                <c:pt idx="1342">
                  <c:v>4420</c:v>
                </c:pt>
                <c:pt idx="1343">
                  <c:v>4422</c:v>
                </c:pt>
                <c:pt idx="1344">
                  <c:v>4424</c:v>
                </c:pt>
                <c:pt idx="1345">
                  <c:v>4426</c:v>
                </c:pt>
                <c:pt idx="1346">
                  <c:v>4428</c:v>
                </c:pt>
                <c:pt idx="1347">
                  <c:v>4430</c:v>
                </c:pt>
                <c:pt idx="1348">
                  <c:v>4432</c:v>
                </c:pt>
                <c:pt idx="1349">
                  <c:v>4434</c:v>
                </c:pt>
                <c:pt idx="1350">
                  <c:v>4436</c:v>
                </c:pt>
                <c:pt idx="1351">
                  <c:v>4438</c:v>
                </c:pt>
                <c:pt idx="1352">
                  <c:v>4440</c:v>
                </c:pt>
                <c:pt idx="1353">
                  <c:v>4442</c:v>
                </c:pt>
                <c:pt idx="1354">
                  <c:v>4444</c:v>
                </c:pt>
                <c:pt idx="1355">
                  <c:v>4446</c:v>
                </c:pt>
                <c:pt idx="1356">
                  <c:v>4448</c:v>
                </c:pt>
                <c:pt idx="1357">
                  <c:v>4450</c:v>
                </c:pt>
                <c:pt idx="1358">
                  <c:v>4452</c:v>
                </c:pt>
                <c:pt idx="1359">
                  <c:v>4454</c:v>
                </c:pt>
                <c:pt idx="1360">
                  <c:v>4456</c:v>
                </c:pt>
                <c:pt idx="1361">
                  <c:v>4458</c:v>
                </c:pt>
                <c:pt idx="1362">
                  <c:v>4460</c:v>
                </c:pt>
                <c:pt idx="1363">
                  <c:v>4462</c:v>
                </c:pt>
                <c:pt idx="1364">
                  <c:v>4464</c:v>
                </c:pt>
                <c:pt idx="1365">
                  <c:v>4466</c:v>
                </c:pt>
                <c:pt idx="1366">
                  <c:v>4468</c:v>
                </c:pt>
                <c:pt idx="1367">
                  <c:v>4470</c:v>
                </c:pt>
                <c:pt idx="1368">
                  <c:v>4472</c:v>
                </c:pt>
                <c:pt idx="1369">
                  <c:v>4474</c:v>
                </c:pt>
                <c:pt idx="1370">
                  <c:v>4476</c:v>
                </c:pt>
                <c:pt idx="1371">
                  <c:v>4478</c:v>
                </c:pt>
                <c:pt idx="1372">
                  <c:v>4480</c:v>
                </c:pt>
                <c:pt idx="1373">
                  <c:v>4482</c:v>
                </c:pt>
                <c:pt idx="1374">
                  <c:v>4484</c:v>
                </c:pt>
                <c:pt idx="1375">
                  <c:v>4486</c:v>
                </c:pt>
                <c:pt idx="1376">
                  <c:v>4488</c:v>
                </c:pt>
                <c:pt idx="1377">
                  <c:v>4490</c:v>
                </c:pt>
                <c:pt idx="1378">
                  <c:v>4492</c:v>
                </c:pt>
                <c:pt idx="1379">
                  <c:v>4494</c:v>
                </c:pt>
                <c:pt idx="1380">
                  <c:v>4496</c:v>
                </c:pt>
                <c:pt idx="1381">
                  <c:v>4498</c:v>
                </c:pt>
                <c:pt idx="1382">
                  <c:v>4500</c:v>
                </c:pt>
                <c:pt idx="1383">
                  <c:v>4502</c:v>
                </c:pt>
                <c:pt idx="1384">
                  <c:v>4504</c:v>
                </c:pt>
                <c:pt idx="1385">
                  <c:v>4506</c:v>
                </c:pt>
                <c:pt idx="1386">
                  <c:v>4508</c:v>
                </c:pt>
                <c:pt idx="1387">
                  <c:v>4510</c:v>
                </c:pt>
                <c:pt idx="1388">
                  <c:v>4512</c:v>
                </c:pt>
                <c:pt idx="1389">
                  <c:v>4514</c:v>
                </c:pt>
                <c:pt idx="1390">
                  <c:v>4516</c:v>
                </c:pt>
                <c:pt idx="1391">
                  <c:v>4518</c:v>
                </c:pt>
                <c:pt idx="1392">
                  <c:v>4520</c:v>
                </c:pt>
                <c:pt idx="1393">
                  <c:v>4522</c:v>
                </c:pt>
                <c:pt idx="1394">
                  <c:v>4524</c:v>
                </c:pt>
                <c:pt idx="1395">
                  <c:v>4526</c:v>
                </c:pt>
                <c:pt idx="1396">
                  <c:v>4528</c:v>
                </c:pt>
                <c:pt idx="1397">
                  <c:v>4530</c:v>
                </c:pt>
                <c:pt idx="1398">
                  <c:v>4532</c:v>
                </c:pt>
                <c:pt idx="1399">
                  <c:v>4534</c:v>
                </c:pt>
                <c:pt idx="1400">
                  <c:v>4536</c:v>
                </c:pt>
                <c:pt idx="1401">
                  <c:v>4538</c:v>
                </c:pt>
                <c:pt idx="1402">
                  <c:v>4540</c:v>
                </c:pt>
                <c:pt idx="1403">
                  <c:v>4542</c:v>
                </c:pt>
                <c:pt idx="1404">
                  <c:v>4544</c:v>
                </c:pt>
                <c:pt idx="1405">
                  <c:v>4546</c:v>
                </c:pt>
                <c:pt idx="1406">
                  <c:v>4548</c:v>
                </c:pt>
                <c:pt idx="1407">
                  <c:v>4550</c:v>
                </c:pt>
                <c:pt idx="1408">
                  <c:v>4552</c:v>
                </c:pt>
                <c:pt idx="1409">
                  <c:v>4554</c:v>
                </c:pt>
                <c:pt idx="1410">
                  <c:v>4556</c:v>
                </c:pt>
                <c:pt idx="1411">
                  <c:v>4558</c:v>
                </c:pt>
                <c:pt idx="1412">
                  <c:v>4560</c:v>
                </c:pt>
                <c:pt idx="1413">
                  <c:v>4562</c:v>
                </c:pt>
                <c:pt idx="1414">
                  <c:v>4564</c:v>
                </c:pt>
              </c:numCache>
            </c:numRef>
          </c:xVal>
          <c:yVal>
            <c:numRef>
              <c:f>'Well_B-4'!$Z$61:$Z$1475</c:f>
              <c:numCache>
                <c:formatCode>0.00</c:formatCode>
                <c:ptCount val="1415"/>
                <c:pt idx="0">
                  <c:v>323.30800134435043</c:v>
                </c:pt>
                <c:pt idx="1">
                  <c:v>322.88151632461455</c:v>
                </c:pt>
                <c:pt idx="2">
                  <c:v>322.45559389371437</c:v>
                </c:pt>
                <c:pt idx="3">
                  <c:v>322.0302333095226</c:v>
                </c:pt>
                <c:pt idx="4">
                  <c:v>321.60543383089083</c:v>
                </c:pt>
                <c:pt idx="5">
                  <c:v>321.18119471764828</c:v>
                </c:pt>
                <c:pt idx="6">
                  <c:v>320.75751523060075</c:v>
                </c:pt>
                <c:pt idx="7">
                  <c:v>320.33439463152877</c:v>
                </c:pt>
                <c:pt idx="8">
                  <c:v>319.91183218318719</c:v>
                </c:pt>
                <c:pt idx="9">
                  <c:v>319.48982714930287</c:v>
                </c:pt>
                <c:pt idx="10">
                  <c:v>319.06837879457419</c:v>
                </c:pt>
                <c:pt idx="11">
                  <c:v>318.64748638466949</c:v>
                </c:pt>
                <c:pt idx="12">
                  <c:v>318.22714918622563</c:v>
                </c:pt>
                <c:pt idx="13">
                  <c:v>317.8073664668471</c:v>
                </c:pt>
                <c:pt idx="14">
                  <c:v>317.38813749510422</c:v>
                </c:pt>
                <c:pt idx="15">
                  <c:v>316.96946154053245</c:v>
                </c:pt>
                <c:pt idx="16">
                  <c:v>316.55133787363064</c:v>
                </c:pt>
                <c:pt idx="17">
                  <c:v>316.13376576586012</c:v>
                </c:pt>
                <c:pt idx="18">
                  <c:v>315.71674448964296</c:v>
                </c:pt>
                <c:pt idx="19">
                  <c:v>315.30027331836123</c:v>
                </c:pt>
                <c:pt idx="20">
                  <c:v>314.88435152635554</c:v>
                </c:pt>
                <c:pt idx="21">
                  <c:v>314.46897838892363</c:v>
                </c:pt>
                <c:pt idx="22">
                  <c:v>314.05415318231923</c:v>
                </c:pt>
                <c:pt idx="23">
                  <c:v>313.6398751837508</c:v>
                </c:pt>
                <c:pt idx="24">
                  <c:v>313.22614367138027</c:v>
                </c:pt>
                <c:pt idx="25">
                  <c:v>312.81295792432161</c:v>
                </c:pt>
                <c:pt idx="26">
                  <c:v>312.40031722264007</c:v>
                </c:pt>
                <c:pt idx="27">
                  <c:v>311.98822084735031</c:v>
                </c:pt>
                <c:pt idx="28">
                  <c:v>311.5766680804154</c:v>
                </c:pt>
                <c:pt idx="29">
                  <c:v>311.16565820474585</c:v>
                </c:pt>
                <c:pt idx="30">
                  <c:v>310.75519050419786</c:v>
                </c:pt>
                <c:pt idx="31">
                  <c:v>310.34526426357246</c:v>
                </c:pt>
                <c:pt idx="32">
                  <c:v>309.93587876861392</c:v>
                </c:pt>
                <c:pt idx="33">
                  <c:v>309.52703330600906</c:v>
                </c:pt>
                <c:pt idx="34">
                  <c:v>309.11872716338536</c:v>
                </c:pt>
                <c:pt idx="35">
                  <c:v>308.71095962931003</c:v>
                </c:pt>
                <c:pt idx="36">
                  <c:v>308.30372999328881</c:v>
                </c:pt>
                <c:pt idx="37">
                  <c:v>307.89703754576482</c:v>
                </c:pt>
                <c:pt idx="38">
                  <c:v>307.49088157811678</c:v>
                </c:pt>
                <c:pt idx="39">
                  <c:v>307.0852613826587</c:v>
                </c:pt>
                <c:pt idx="40">
                  <c:v>306.68017625263781</c:v>
                </c:pt>
                <c:pt idx="41">
                  <c:v>306.27562548223358</c:v>
                </c:pt>
                <c:pt idx="42">
                  <c:v>305.8716083665567</c:v>
                </c:pt>
                <c:pt idx="43">
                  <c:v>305.46812420164758</c:v>
                </c:pt>
                <c:pt idx="44">
                  <c:v>305.0651722844753</c:v>
                </c:pt>
                <c:pt idx="45">
                  <c:v>304.66275191293647</c:v>
                </c:pt>
                <c:pt idx="46">
                  <c:v>304.26086238585361</c:v>
                </c:pt>
                <c:pt idx="47">
                  <c:v>303.85950300297441</c:v>
                </c:pt>
                <c:pt idx="48">
                  <c:v>303.45867306497007</c:v>
                </c:pt>
                <c:pt idx="49">
                  <c:v>303.05837187343445</c:v>
                </c:pt>
                <c:pt idx="50">
                  <c:v>302.65859873088266</c:v>
                </c:pt>
                <c:pt idx="51">
                  <c:v>302.25935294074986</c:v>
                </c:pt>
                <c:pt idx="52">
                  <c:v>301.86063380739012</c:v>
                </c:pt>
                <c:pt idx="53">
                  <c:v>301.46244063607509</c:v>
                </c:pt>
                <c:pt idx="54">
                  <c:v>301.06477273299288</c:v>
                </c:pt>
                <c:pt idx="55">
                  <c:v>300.66762940524688</c:v>
                </c:pt>
                <c:pt idx="56">
                  <c:v>300.27100996085431</c:v>
                </c:pt>
                <c:pt idx="57">
                  <c:v>299.87491370874551</c:v>
                </c:pt>
                <c:pt idx="58">
                  <c:v>299.47933995876235</c:v>
                </c:pt>
                <c:pt idx="59">
                  <c:v>299.08428802165679</c:v>
                </c:pt>
                <c:pt idx="60">
                  <c:v>298.68975720909037</c:v>
                </c:pt>
                <c:pt idx="61">
                  <c:v>298.29574683363245</c:v>
                </c:pt>
                <c:pt idx="62">
                  <c:v>297.9022562087593</c:v>
                </c:pt>
                <c:pt idx="63">
                  <c:v>297.50928464885277</c:v>
                </c:pt>
                <c:pt idx="64">
                  <c:v>297.11683146919904</c:v>
                </c:pt>
                <c:pt idx="65">
                  <c:v>296.7248959859877</c:v>
                </c:pt>
                <c:pt idx="66">
                  <c:v>296.33347751631015</c:v>
                </c:pt>
                <c:pt idx="67">
                  <c:v>295.94257537815878</c:v>
                </c:pt>
                <c:pt idx="68">
                  <c:v>295.55218889042567</c:v>
                </c:pt>
                <c:pt idx="69">
                  <c:v>295.16231737290116</c:v>
                </c:pt>
                <c:pt idx="70">
                  <c:v>294.77296014627319</c:v>
                </c:pt>
                <c:pt idx="71">
                  <c:v>294.38411653212552</c:v>
                </c:pt>
                <c:pt idx="72">
                  <c:v>293.99578585293705</c:v>
                </c:pt>
                <c:pt idx="73">
                  <c:v>293.60796743208016</c:v>
                </c:pt>
                <c:pt idx="74">
                  <c:v>293.22066059381996</c:v>
                </c:pt>
                <c:pt idx="75">
                  <c:v>292.83386466331297</c:v>
                </c:pt>
                <c:pt idx="76">
                  <c:v>292.44757896660593</c:v>
                </c:pt>
                <c:pt idx="77">
                  <c:v>292.06180283063446</c:v>
                </c:pt>
                <c:pt idx="78">
                  <c:v>291.67653558322212</c:v>
                </c:pt>
                <c:pt idx="79">
                  <c:v>291.29177655307916</c:v>
                </c:pt>
                <c:pt idx="80">
                  <c:v>290.90752506980141</c:v>
                </c:pt>
                <c:pt idx="81">
                  <c:v>290.52378046386889</c:v>
                </c:pt>
                <c:pt idx="82">
                  <c:v>290.14054206664497</c:v>
                </c:pt>
                <c:pt idx="83">
                  <c:v>289.75780921037494</c:v>
                </c:pt>
                <c:pt idx="84">
                  <c:v>289.37558122818501</c:v>
                </c:pt>
                <c:pt idx="85">
                  <c:v>288.99385745408102</c:v>
                </c:pt>
                <c:pt idx="86">
                  <c:v>288.61263722294734</c:v>
                </c:pt>
                <c:pt idx="87">
                  <c:v>288.23191987054577</c:v>
                </c:pt>
                <c:pt idx="88">
                  <c:v>287.85170473351434</c:v>
                </c:pt>
                <c:pt idx="89">
                  <c:v>287.47199114936609</c:v>
                </c:pt>
                <c:pt idx="90">
                  <c:v>287.09277845648785</c:v>
                </c:pt>
                <c:pt idx="91">
                  <c:v>286.7140659941395</c:v>
                </c:pt>
                <c:pt idx="92">
                  <c:v>286.33585310245229</c:v>
                </c:pt>
                <c:pt idx="93">
                  <c:v>285.95813912242784</c:v>
                </c:pt>
                <c:pt idx="94">
                  <c:v>285.58092339593748</c:v>
                </c:pt>
                <c:pt idx="95">
                  <c:v>285.20420526572025</c:v>
                </c:pt>
                <c:pt idx="96">
                  <c:v>284.8279840753824</c:v>
                </c:pt>
                <c:pt idx="97">
                  <c:v>284.45225916939614</c:v>
                </c:pt>
                <c:pt idx="98">
                  <c:v>284.0770298930982</c:v>
                </c:pt>
                <c:pt idx="99">
                  <c:v>283.70229559268898</c:v>
                </c:pt>
                <c:pt idx="100">
                  <c:v>283.32805561523145</c:v>
                </c:pt>
                <c:pt idx="101">
                  <c:v>282.95430930864961</c:v>
                </c:pt>
                <c:pt idx="102">
                  <c:v>282.58105602172793</c:v>
                </c:pt>
                <c:pt idx="103">
                  <c:v>282.20829510410982</c:v>
                </c:pt>
                <c:pt idx="104">
                  <c:v>281.83602590629641</c:v>
                </c:pt>
                <c:pt idx="105">
                  <c:v>281.46424777964592</c:v>
                </c:pt>
                <c:pt idx="106">
                  <c:v>281.09296007637187</c:v>
                </c:pt>
                <c:pt idx="107">
                  <c:v>280.72216214954261</c:v>
                </c:pt>
                <c:pt idx="108">
                  <c:v>280.35185335307972</c:v>
                </c:pt>
                <c:pt idx="109">
                  <c:v>279.98203304175706</c:v>
                </c:pt>
                <c:pt idx="110">
                  <c:v>279.61270057119964</c:v>
                </c:pt>
                <c:pt idx="111">
                  <c:v>279.24385529788231</c:v>
                </c:pt>
                <c:pt idx="112">
                  <c:v>278.87549657912911</c:v>
                </c:pt>
                <c:pt idx="113">
                  <c:v>278.50762377311179</c:v>
                </c:pt>
                <c:pt idx="114">
                  <c:v>278.14023623884856</c:v>
                </c:pt>
                <c:pt idx="115">
                  <c:v>277.77333333620334</c:v>
                </c:pt>
                <c:pt idx="116">
                  <c:v>277.40691442588439</c:v>
                </c:pt>
                <c:pt idx="117">
                  <c:v>277.04097886944328</c:v>
                </c:pt>
                <c:pt idx="118">
                  <c:v>276.6755260292739</c:v>
                </c:pt>
                <c:pt idx="119">
                  <c:v>276.31055526861104</c:v>
                </c:pt>
                <c:pt idx="120">
                  <c:v>275.94606595152965</c:v>
                </c:pt>
                <c:pt idx="121">
                  <c:v>275.58205744294327</c:v>
                </c:pt>
                <c:pt idx="122">
                  <c:v>275.2185291086036</c:v>
                </c:pt>
                <c:pt idx="123">
                  <c:v>274.85548031509865</c:v>
                </c:pt>
                <c:pt idx="124">
                  <c:v>274.49291042985209</c:v>
                </c:pt>
                <c:pt idx="125">
                  <c:v>274.1308188211222</c:v>
                </c:pt>
                <c:pt idx="126">
                  <c:v>273.76920485800031</c:v>
                </c:pt>
                <c:pt idx="127">
                  <c:v>273.40806791041024</c:v>
                </c:pt>
                <c:pt idx="128">
                  <c:v>273.04740734910683</c:v>
                </c:pt>
                <c:pt idx="129">
                  <c:v>272.68722254567507</c:v>
                </c:pt>
                <c:pt idx="130">
                  <c:v>272.32751287252893</c:v>
                </c:pt>
                <c:pt idx="131">
                  <c:v>271.96827770291009</c:v>
                </c:pt>
                <c:pt idx="132">
                  <c:v>271.60951641088712</c:v>
                </c:pt>
                <c:pt idx="133">
                  <c:v>271.25122837135427</c:v>
                </c:pt>
                <c:pt idx="134">
                  <c:v>270.89341296003039</c:v>
                </c:pt>
                <c:pt idx="135">
                  <c:v>270.53606955345776</c:v>
                </c:pt>
                <c:pt idx="136">
                  <c:v>270.17919752900116</c:v>
                </c:pt>
                <c:pt idx="137">
                  <c:v>269.82279626484666</c:v>
                </c:pt>
                <c:pt idx="138">
                  <c:v>269.46686514000061</c:v>
                </c:pt>
                <c:pt idx="139">
                  <c:v>269.11140353428868</c:v>
                </c:pt>
                <c:pt idx="140">
                  <c:v>268.75641082835421</c:v>
                </c:pt>
                <c:pt idx="141">
                  <c:v>268.40188640365801</c:v>
                </c:pt>
                <c:pt idx="142">
                  <c:v>268.04782964247664</c:v>
                </c:pt>
                <c:pt idx="143">
                  <c:v>267.69423992790144</c:v>
                </c:pt>
                <c:pt idx="144">
                  <c:v>267.34111664383761</c:v>
                </c:pt>
                <c:pt idx="145">
                  <c:v>266.98845917500302</c:v>
                </c:pt>
                <c:pt idx="146">
                  <c:v>266.63626690692729</c:v>
                </c:pt>
                <c:pt idx="147">
                  <c:v>266.28453922595037</c:v>
                </c:pt>
                <c:pt idx="148">
                  <c:v>265.93327551922204</c:v>
                </c:pt>
                <c:pt idx="149">
                  <c:v>265.58247517470028</c:v>
                </c:pt>
                <c:pt idx="150">
                  <c:v>265.23213758115043</c:v>
                </c:pt>
                <c:pt idx="151">
                  <c:v>264.88226212814419</c:v>
                </c:pt>
                <c:pt idx="152">
                  <c:v>264.53284820605853</c:v>
                </c:pt>
                <c:pt idx="153">
                  <c:v>264.18389520607451</c:v>
                </c:pt>
                <c:pt idx="154">
                  <c:v>263.83540252017633</c:v>
                </c:pt>
                <c:pt idx="155">
                  <c:v>263.4873695411502</c:v>
                </c:pt>
                <c:pt idx="156">
                  <c:v>263.13979566258348</c:v>
                </c:pt>
                <c:pt idx="157">
                  <c:v>262.79268027886332</c:v>
                </c:pt>
                <c:pt idx="158">
                  <c:v>262.44602278517573</c:v>
                </c:pt>
                <c:pt idx="159">
                  <c:v>262.0998225775046</c:v>
                </c:pt>
                <c:pt idx="160">
                  <c:v>261.75407905263069</c:v>
                </c:pt>
                <c:pt idx="161">
                  <c:v>261.40879160813034</c:v>
                </c:pt>
                <c:pt idx="162">
                  <c:v>261.06395964237458</c:v>
                </c:pt>
                <c:pt idx="163">
                  <c:v>260.71958255452819</c:v>
                </c:pt>
                <c:pt idx="164">
                  <c:v>260.37565974454839</c:v>
                </c:pt>
                <c:pt idx="165">
                  <c:v>260.03219061318401</c:v>
                </c:pt>
                <c:pt idx="166">
                  <c:v>259.68917456197426</c:v>
                </c:pt>
                <c:pt idx="167">
                  <c:v>259.34661099324802</c:v>
                </c:pt>
                <c:pt idx="168">
                  <c:v>259.00449931012247</c:v>
                </c:pt>
                <c:pt idx="169">
                  <c:v>258.66283891650198</c:v>
                </c:pt>
                <c:pt idx="170">
                  <c:v>258.32162921707743</c:v>
                </c:pt>
                <c:pt idx="171">
                  <c:v>257.98086961732503</c:v>
                </c:pt>
                <c:pt idx="172">
                  <c:v>257.64055952350515</c:v>
                </c:pt>
                <c:pt idx="173">
                  <c:v>257.30069834266129</c:v>
                </c:pt>
                <c:pt idx="174">
                  <c:v>256.96128548261936</c:v>
                </c:pt>
                <c:pt idx="175">
                  <c:v>256.62232035198627</c:v>
                </c:pt>
                <c:pt idx="176">
                  <c:v>256.28380236014908</c:v>
                </c:pt>
                <c:pt idx="177">
                  <c:v>255.94573091727395</c:v>
                </c:pt>
                <c:pt idx="178">
                  <c:v>255.60810543430514</c:v>
                </c:pt>
                <c:pt idx="179">
                  <c:v>255.27092532296388</c:v>
                </c:pt>
                <c:pt idx="180">
                  <c:v>254.93418999574752</c:v>
                </c:pt>
                <c:pt idx="181">
                  <c:v>254.59789886592827</c:v>
                </c:pt>
                <c:pt idx="182">
                  <c:v>254.26205134755247</c:v>
                </c:pt>
                <c:pt idx="183">
                  <c:v>253.9266468554392</c:v>
                </c:pt>
                <c:pt idx="184">
                  <c:v>253.59168480517963</c:v>
                </c:pt>
                <c:pt idx="185">
                  <c:v>253.25716461313587</c:v>
                </c:pt>
                <c:pt idx="186">
                  <c:v>252.92308569643981</c:v>
                </c:pt>
                <c:pt idx="187">
                  <c:v>252.58944747299225</c:v>
                </c:pt>
                <c:pt idx="188">
                  <c:v>252.2562493614619</c:v>
                </c:pt>
                <c:pt idx="189">
                  <c:v>251.92349078128422</c:v>
                </c:pt>
                <c:pt idx="190">
                  <c:v>251.59117115266062</c:v>
                </c:pt>
                <c:pt idx="191">
                  <c:v>251.25928989655731</c:v>
                </c:pt>
                <c:pt idx="192">
                  <c:v>250.92784643470426</c:v>
                </c:pt>
                <c:pt idx="193">
                  <c:v>250.59684018959433</c:v>
                </c:pt>
                <c:pt idx="194">
                  <c:v>250.26627058448216</c:v>
                </c:pt>
                <c:pt idx="195">
                  <c:v>249.93613704338316</c:v>
                </c:pt>
                <c:pt idx="196">
                  <c:v>249.60643899107259</c:v>
                </c:pt>
                <c:pt idx="197">
                  <c:v>249.27717585308446</c:v>
                </c:pt>
                <c:pt idx="198">
                  <c:v>248.9483470557106</c:v>
                </c:pt>
                <c:pt idx="199">
                  <c:v>248.61995202599959</c:v>
                </c:pt>
                <c:pt idx="200">
                  <c:v>248.29199019175593</c:v>
                </c:pt>
                <c:pt idx="201">
                  <c:v>247.96446098153882</c:v>
                </c:pt>
                <c:pt idx="202">
                  <c:v>247.63736382466118</c:v>
                </c:pt>
                <c:pt idx="203">
                  <c:v>247.31069815118897</c:v>
                </c:pt>
                <c:pt idx="204">
                  <c:v>246.98446339193981</c:v>
                </c:pt>
                <c:pt idx="205">
                  <c:v>246.65865897848212</c:v>
                </c:pt>
                <c:pt idx="206">
                  <c:v>246.33328434313424</c:v>
                </c:pt>
                <c:pt idx="207">
                  <c:v>246.00833891896335</c:v>
                </c:pt>
                <c:pt idx="208">
                  <c:v>245.68382213978441</c:v>
                </c:pt>
                <c:pt idx="209">
                  <c:v>245.35973344015932</c:v>
                </c:pt>
                <c:pt idx="210">
                  <c:v>245.03607225539588</c:v>
                </c:pt>
                <c:pt idx="211">
                  <c:v>244.7128380215467</c:v>
                </c:pt>
                <c:pt idx="212">
                  <c:v>244.39003017540841</c:v>
                </c:pt>
                <c:pt idx="213">
                  <c:v>244.06764815452053</c:v>
                </c:pt>
                <c:pt idx="214">
                  <c:v>243.74569139716453</c:v>
                </c:pt>
                <c:pt idx="215">
                  <c:v>243.42415934236291</c:v>
                </c:pt>
                <c:pt idx="216">
                  <c:v>243.10305142987812</c:v>
                </c:pt>
                <c:pt idx="217">
                  <c:v>242.78236710021162</c:v>
                </c:pt>
                <c:pt idx="218">
                  <c:v>242.46210579460296</c:v>
                </c:pt>
                <c:pt idx="219">
                  <c:v>242.14226695502882</c:v>
                </c:pt>
                <c:pt idx="220">
                  <c:v>241.82285002420181</c:v>
                </c:pt>
                <c:pt idx="221">
                  <c:v>241.50385444556994</c:v>
                </c:pt>
                <c:pt idx="222">
                  <c:v>241.18527966331513</c:v>
                </c:pt>
                <c:pt idx="223">
                  <c:v>240.8671251223526</c:v>
                </c:pt>
                <c:pt idx="224">
                  <c:v>240.54939026832986</c:v>
                </c:pt>
                <c:pt idx="225">
                  <c:v>240.23207454762559</c:v>
                </c:pt>
                <c:pt idx="226">
                  <c:v>239.91517740734875</c:v>
                </c:pt>
                <c:pt idx="227">
                  <c:v>239.59869829533775</c:v>
                </c:pt>
                <c:pt idx="228">
                  <c:v>239.28263666015928</c:v>
                </c:pt>
                <c:pt idx="229">
                  <c:v>238.96699195110747</c:v>
                </c:pt>
                <c:pt idx="230">
                  <c:v>238.65176361820289</c:v>
                </c:pt>
                <c:pt idx="231">
                  <c:v>238.3369511121916</c:v>
                </c:pt>
                <c:pt idx="232">
                  <c:v>238.02255388454421</c:v>
                </c:pt>
                <c:pt idx="233">
                  <c:v>237.70857138745495</c:v>
                </c:pt>
                <c:pt idx="234">
                  <c:v>237.39500307384063</c:v>
                </c:pt>
                <c:pt idx="235">
                  <c:v>237.08184839733971</c:v>
                </c:pt>
                <c:pt idx="236">
                  <c:v>236.76910681231143</c:v>
                </c:pt>
                <c:pt idx="237">
                  <c:v>236.45677777383474</c:v>
                </c:pt>
                <c:pt idx="238">
                  <c:v>236.14486073770749</c:v>
                </c:pt>
                <c:pt idx="239">
                  <c:v>235.83335516044525</c:v>
                </c:pt>
                <c:pt idx="240">
                  <c:v>235.52226049928078</c:v>
                </c:pt>
                <c:pt idx="241">
                  <c:v>235.21157621216258</c:v>
                </c:pt>
                <c:pt idx="242">
                  <c:v>234.90130175775431</c:v>
                </c:pt>
                <c:pt idx="243">
                  <c:v>234.59143659543361</c:v>
                </c:pt>
                <c:pt idx="244">
                  <c:v>234.28198018529142</c:v>
                </c:pt>
                <c:pt idx="245">
                  <c:v>233.97293198813074</c:v>
                </c:pt>
                <c:pt idx="246">
                  <c:v>233.66429146546596</c:v>
                </c:pt>
                <c:pt idx="247">
                  <c:v>233.35605807952177</c:v>
                </c:pt>
                <c:pt idx="248">
                  <c:v>233.04823129323222</c:v>
                </c:pt>
                <c:pt idx="249">
                  <c:v>232.7408105702398</c:v>
                </c:pt>
                <c:pt idx="250">
                  <c:v>232.43379537489463</c:v>
                </c:pt>
                <c:pt idx="251">
                  <c:v>232.12718517225332</c:v>
                </c:pt>
                <c:pt idx="252">
                  <c:v>231.82097942807818</c:v>
                </c:pt>
                <c:pt idx="253">
                  <c:v>231.51517760883624</c:v>
                </c:pt>
                <c:pt idx="254">
                  <c:v>231.20977918169834</c:v>
                </c:pt>
                <c:pt idx="255">
                  <c:v>230.90478361453816</c:v>
                </c:pt>
                <c:pt idx="256">
                  <c:v>230.60019037593142</c:v>
                </c:pt>
                <c:pt idx="257">
                  <c:v>230.29599893515461</c:v>
                </c:pt>
                <c:pt idx="258">
                  <c:v>229.99220876218473</c:v>
                </c:pt>
                <c:pt idx="259">
                  <c:v>229.68881932769753</c:v>
                </c:pt>
                <c:pt idx="260">
                  <c:v>229.38583010306729</c:v>
                </c:pt>
                <c:pt idx="261">
                  <c:v>229.08324056036543</c:v>
                </c:pt>
                <c:pt idx="262">
                  <c:v>228.78105017235987</c:v>
                </c:pt>
                <c:pt idx="263">
                  <c:v>228.47925841251401</c:v>
                </c:pt>
                <c:pt idx="264">
                  <c:v>228.17786475498585</c:v>
                </c:pt>
                <c:pt idx="265">
                  <c:v>227.87686867462691</c:v>
                </c:pt>
                <c:pt idx="266">
                  <c:v>227.57626964698164</c:v>
                </c:pt>
                <c:pt idx="267">
                  <c:v>227.27606714828616</c:v>
                </c:pt>
                <c:pt idx="268">
                  <c:v>226.9762606554676</c:v>
                </c:pt>
                <c:pt idx="269">
                  <c:v>226.67684964614301</c:v>
                </c:pt>
                <c:pt idx="270">
                  <c:v>226.37783359861862</c:v>
                </c:pt>
                <c:pt idx="271">
                  <c:v>226.07921199188874</c:v>
                </c:pt>
                <c:pt idx="272">
                  <c:v>225.780984305635</c:v>
                </c:pt>
                <c:pt idx="273">
                  <c:v>225.48315002022548</c:v>
                </c:pt>
                <c:pt idx="274">
                  <c:v>225.18570861671361</c:v>
                </c:pt>
                <c:pt idx="275">
                  <c:v>224.88865957683731</c:v>
                </c:pt>
                <c:pt idx="276">
                  <c:v>224.59200238301847</c:v>
                </c:pt>
                <c:pt idx="277">
                  <c:v>224.29573651836134</c:v>
                </c:pt>
                <c:pt idx="278">
                  <c:v>223.99986146665231</c:v>
                </c:pt>
                <c:pt idx="279">
                  <c:v>223.70437671235854</c:v>
                </c:pt>
                <c:pt idx="280">
                  <c:v>223.40928174062736</c:v>
                </c:pt>
                <c:pt idx="281">
                  <c:v>223.11457603728522</c:v>
                </c:pt>
                <c:pt idx="282">
                  <c:v>222.82025908883679</c:v>
                </c:pt>
                <c:pt idx="283">
                  <c:v>222.52633038246418</c:v>
                </c:pt>
                <c:pt idx="284">
                  <c:v>222.23278940602592</c:v>
                </c:pt>
                <c:pt idx="285">
                  <c:v>221.93963564805617</c:v>
                </c:pt>
                <c:pt idx="286">
                  <c:v>221.6468685977637</c:v>
                </c:pt>
                <c:pt idx="287">
                  <c:v>221.35448774503115</c:v>
                </c:pt>
                <c:pt idx="288">
                  <c:v>221.06249258041404</c:v>
                </c:pt>
                <c:pt idx="289">
                  <c:v>220.77088259513997</c:v>
                </c:pt>
                <c:pt idx="290">
                  <c:v>220.47965728110754</c:v>
                </c:pt>
                <c:pt idx="291">
                  <c:v>220.18881613088578</c:v>
                </c:pt>
                <c:pt idx="292">
                  <c:v>219.89835863771293</c:v>
                </c:pt>
                <c:pt idx="293">
                  <c:v>219.60828429549582</c:v>
                </c:pt>
                <c:pt idx="294">
                  <c:v>219.31859259880875</c:v>
                </c:pt>
                <c:pt idx="295">
                  <c:v>219.02928304289296</c:v>
                </c:pt>
                <c:pt idx="296">
                  <c:v>218.74035512365538</c:v>
                </c:pt>
                <c:pt idx="297">
                  <c:v>218.45180833766793</c:v>
                </c:pt>
                <c:pt idx="298">
                  <c:v>218.16364218216657</c:v>
                </c:pt>
                <c:pt idx="299">
                  <c:v>217.87585615505054</c:v>
                </c:pt>
                <c:pt idx="300">
                  <c:v>217.58844975488137</c:v>
                </c:pt>
                <c:pt idx="301">
                  <c:v>217.30142248088214</c:v>
                </c:pt>
                <c:pt idx="302">
                  <c:v>217.01477383293641</c:v>
                </c:pt>
                <c:pt idx="303">
                  <c:v>216.7285033115875</c:v>
                </c:pt>
                <c:pt idx="304">
                  <c:v>216.44261041803762</c:v>
                </c:pt>
                <c:pt idx="305">
                  <c:v>216.15709465414685</c:v>
                </c:pt>
                <c:pt idx="306">
                  <c:v>215.87195552243253</c:v>
                </c:pt>
                <c:pt idx="307">
                  <c:v>215.58719252606807</c:v>
                </c:pt>
                <c:pt idx="308">
                  <c:v>215.30280516888246</c:v>
                </c:pt>
                <c:pt idx="309">
                  <c:v>215.01879295535903</c:v>
                </c:pt>
                <c:pt idx="310">
                  <c:v>214.73515539063484</c:v>
                </c:pt>
                <c:pt idx="311">
                  <c:v>214.45189198049974</c:v>
                </c:pt>
                <c:pt idx="312">
                  <c:v>214.16900223139547</c:v>
                </c:pt>
                <c:pt idx="313">
                  <c:v>213.88648565041484</c:v>
                </c:pt>
                <c:pt idx="314">
                  <c:v>213.60434174530099</c:v>
                </c:pt>
                <c:pt idx="315">
                  <c:v>213.32257002444621</c:v>
                </c:pt>
                <c:pt idx="316">
                  <c:v>213.04116999689143</c:v>
                </c:pt>
                <c:pt idx="317">
                  <c:v>212.76014117232512</c:v>
                </c:pt>
                <c:pt idx="318">
                  <c:v>212.47948306108262</c:v>
                </c:pt>
                <c:pt idx="319">
                  <c:v>212.19919517414519</c:v>
                </c:pt>
                <c:pt idx="320">
                  <c:v>211.9192770231391</c:v>
                </c:pt>
                <c:pt idx="321">
                  <c:v>211.63972812033489</c:v>
                </c:pt>
                <c:pt idx="322">
                  <c:v>211.36054797864651</c:v>
                </c:pt>
                <c:pt idx="323">
                  <c:v>211.08173611163042</c:v>
                </c:pt>
                <c:pt idx="324">
                  <c:v>210.80329203348475</c:v>
                </c:pt>
                <c:pt idx="325">
                  <c:v>210.52521525904842</c:v>
                </c:pt>
                <c:pt idx="326">
                  <c:v>210.24750530380044</c:v>
                </c:pt>
                <c:pt idx="327">
                  <c:v>209.97016168385886</c:v>
                </c:pt>
                <c:pt idx="328">
                  <c:v>209.69318391598014</c:v>
                </c:pt>
                <c:pt idx="329">
                  <c:v>209.41657151755811</c:v>
                </c:pt>
                <c:pt idx="330">
                  <c:v>209.14032400662327</c:v>
                </c:pt>
                <c:pt idx="331">
                  <c:v>208.8644409018419</c:v>
                </c:pt>
                <c:pt idx="332">
                  <c:v>208.58892172251521</c:v>
                </c:pt>
                <c:pt idx="333">
                  <c:v>208.3137659885785</c:v>
                </c:pt>
                <c:pt idx="334">
                  <c:v>208.03897322060035</c:v>
                </c:pt>
                <c:pt idx="335">
                  <c:v>207.76454293978179</c:v>
                </c:pt>
                <c:pt idx="336">
                  <c:v>207.4904746679554</c:v>
                </c:pt>
                <c:pt idx="337">
                  <c:v>207.21676792758456</c:v>
                </c:pt>
                <c:pt idx="338">
                  <c:v>206.94342224176256</c:v>
                </c:pt>
                <c:pt idx="339">
                  <c:v>206.67043713421188</c:v>
                </c:pt>
                <c:pt idx="340">
                  <c:v>206.39781212928312</c:v>
                </c:pt>
                <c:pt idx="341">
                  <c:v>206.12554675195443</c:v>
                </c:pt>
                <c:pt idx="342">
                  <c:v>205.85364052783055</c:v>
                </c:pt>
                <c:pt idx="343">
                  <c:v>205.58209298314202</c:v>
                </c:pt>
                <c:pt idx="344">
                  <c:v>205.31090364474431</c:v>
                </c:pt>
                <c:pt idx="345">
                  <c:v>205.04007204011705</c:v>
                </c:pt>
                <c:pt idx="346">
                  <c:v>204.7695976973632</c:v>
                </c:pt>
                <c:pt idx="347">
                  <c:v>204.49948014520817</c:v>
                </c:pt>
                <c:pt idx="348">
                  <c:v>204.22971891299909</c:v>
                </c:pt>
                <c:pt idx="349">
                  <c:v>203.96031353070387</c:v>
                </c:pt>
                <c:pt idx="350">
                  <c:v>203.69126352891055</c:v>
                </c:pt>
                <c:pt idx="351">
                  <c:v>203.42256843882637</c:v>
                </c:pt>
                <c:pt idx="352">
                  <c:v>203.15422779227694</c:v>
                </c:pt>
                <c:pt idx="353">
                  <c:v>202.88624112170535</c:v>
                </c:pt>
                <c:pt idx="354">
                  <c:v>202.61860796017169</c:v>
                </c:pt>
                <c:pt idx="355">
                  <c:v>202.35132784135175</c:v>
                </c:pt>
                <c:pt idx="356">
                  <c:v>202.08440029953664</c:v>
                </c:pt>
                <c:pt idx="357">
                  <c:v>201.81782486963175</c:v>
                </c:pt>
                <c:pt idx="358">
                  <c:v>201.55160108715594</c:v>
                </c:pt>
                <c:pt idx="359">
                  <c:v>201.28572848824089</c:v>
                </c:pt>
                <c:pt idx="360">
                  <c:v>201.02020660963007</c:v>
                </c:pt>
                <c:pt idx="361">
                  <c:v>200.75503498867812</c:v>
                </c:pt>
                <c:pt idx="362">
                  <c:v>200.49021316334992</c:v>
                </c:pt>
                <c:pt idx="363">
                  <c:v>200.22574067221984</c:v>
                </c:pt>
                <c:pt idx="364">
                  <c:v>199.96161705447096</c:v>
                </c:pt>
                <c:pt idx="365">
                  <c:v>199.69784184989425</c:v>
                </c:pt>
                <c:pt idx="366">
                  <c:v>199.43441459888768</c:v>
                </c:pt>
                <c:pt idx="367">
                  <c:v>199.17133484245554</c:v>
                </c:pt>
                <c:pt idx="368">
                  <c:v>198.90860212220767</c:v>
                </c:pt>
                <c:pt idx="369">
                  <c:v>198.64621598035842</c:v>
                </c:pt>
                <c:pt idx="370">
                  <c:v>198.38417595972621</c:v>
                </c:pt>
                <c:pt idx="371">
                  <c:v>198.12248160373233</c:v>
                </c:pt>
                <c:pt idx="372">
                  <c:v>197.86113245640053</c:v>
                </c:pt>
                <c:pt idx="373">
                  <c:v>197.60012806235599</c:v>
                </c:pt>
                <c:pt idx="374">
                  <c:v>197.3394679668246</c:v>
                </c:pt>
                <c:pt idx="375">
                  <c:v>197.07915171563209</c:v>
                </c:pt>
                <c:pt idx="376">
                  <c:v>196.8191788552034</c:v>
                </c:pt>
                <c:pt idx="377">
                  <c:v>196.55954893256174</c:v>
                </c:pt>
                <c:pt idx="378">
                  <c:v>196.30026149532785</c:v>
                </c:pt>
                <c:pt idx="379">
                  <c:v>196.0413160917193</c:v>
                </c:pt>
                <c:pt idx="380">
                  <c:v>195.78271227054947</c:v>
                </c:pt>
                <c:pt idx="381">
                  <c:v>195.52444958122703</c:v>
                </c:pt>
                <c:pt idx="382">
                  <c:v>195.26652757375501</c:v>
                </c:pt>
                <c:pt idx="383">
                  <c:v>195.00894579873005</c:v>
                </c:pt>
                <c:pt idx="384">
                  <c:v>194.75170380734158</c:v>
                </c:pt>
                <c:pt idx="385">
                  <c:v>194.49480115137106</c:v>
                </c:pt>
                <c:pt idx="386">
                  <c:v>194.23823738319129</c:v>
                </c:pt>
                <c:pt idx="387">
                  <c:v>193.98201205576552</c:v>
                </c:pt>
                <c:pt idx="388">
                  <c:v>193.7261247226466</c:v>
                </c:pt>
                <c:pt idx="389">
                  <c:v>193.47057493797644</c:v>
                </c:pt>
                <c:pt idx="390">
                  <c:v>193.21536225648498</c:v>
                </c:pt>
                <c:pt idx="391">
                  <c:v>192.96048623348958</c:v>
                </c:pt>
                <c:pt idx="392">
                  <c:v>192.70594642489422</c:v>
                </c:pt>
                <c:pt idx="393">
                  <c:v>192.45174238718869</c:v>
                </c:pt>
                <c:pt idx="394">
                  <c:v>192.19787367744775</c:v>
                </c:pt>
                <c:pt idx="395">
                  <c:v>191.94433985333058</c:v>
                </c:pt>
                <c:pt idx="396">
                  <c:v>191.69114047307968</c:v>
                </c:pt>
                <c:pt idx="397">
                  <c:v>191.43827509552045</c:v>
                </c:pt>
                <c:pt idx="398">
                  <c:v>191.18574328006019</c:v>
                </c:pt>
                <c:pt idx="399">
                  <c:v>190.93354458668739</c:v>
                </c:pt>
                <c:pt idx="400">
                  <c:v>190.68167857597098</c:v>
                </c:pt>
                <c:pt idx="401">
                  <c:v>190.43014480905958</c:v>
                </c:pt>
                <c:pt idx="402">
                  <c:v>190.17894284768064</c:v>
                </c:pt>
                <c:pt idx="403">
                  <c:v>189.92807225413981</c:v>
                </c:pt>
                <c:pt idx="404">
                  <c:v>189.67753259132019</c:v>
                </c:pt>
                <c:pt idx="405">
                  <c:v>189.42732342268133</c:v>
                </c:pt>
                <c:pt idx="406">
                  <c:v>189.1774443122587</c:v>
                </c:pt>
                <c:pt idx="407">
                  <c:v>188.92789482466293</c:v>
                </c:pt>
                <c:pt idx="408">
                  <c:v>188.67867452507889</c:v>
                </c:pt>
                <c:pt idx="409">
                  <c:v>188.42978297926504</c:v>
                </c:pt>
                <c:pt idx="410">
                  <c:v>188.1812197535528</c:v>
                </c:pt>
                <c:pt idx="411">
                  <c:v>187.93298441484541</c:v>
                </c:pt>
                <c:pt idx="412">
                  <c:v>187.68507653061764</c:v>
                </c:pt>
                <c:pt idx="413">
                  <c:v>187.43749566891469</c:v>
                </c:pt>
                <c:pt idx="414">
                  <c:v>187.19024139835162</c:v>
                </c:pt>
                <c:pt idx="415">
                  <c:v>186.94331328811251</c:v>
                </c:pt>
                <c:pt idx="416">
                  <c:v>186.69671090794978</c:v>
                </c:pt>
                <c:pt idx="417">
                  <c:v>186.45043382818338</c:v>
                </c:pt>
                <c:pt idx="418">
                  <c:v>186.20448161970003</c:v>
                </c:pt>
                <c:pt idx="419">
                  <c:v>185.95885385395255</c:v>
                </c:pt>
                <c:pt idx="420">
                  <c:v>185.71355010295912</c:v>
                </c:pt>
                <c:pt idx="421">
                  <c:v>185.46856993930231</c:v>
                </c:pt>
                <c:pt idx="422">
                  <c:v>185.2239129361287</c:v>
                </c:pt>
                <c:pt idx="423">
                  <c:v>184.97957866714788</c:v>
                </c:pt>
                <c:pt idx="424">
                  <c:v>184.73556670663172</c:v>
                </c:pt>
                <c:pt idx="425">
                  <c:v>184.49187662941372</c:v>
                </c:pt>
                <c:pt idx="426">
                  <c:v>184.24850801088826</c:v>
                </c:pt>
                <c:pt idx="427">
                  <c:v>184.00546042700975</c:v>
                </c:pt>
                <c:pt idx="428">
                  <c:v>183.76273345429206</c:v>
                </c:pt>
                <c:pt idx="429">
                  <c:v>183.52032666980759</c:v>
                </c:pt>
                <c:pt idx="430">
                  <c:v>183.27823965118679</c:v>
                </c:pt>
                <c:pt idx="431">
                  <c:v>183.03647197661712</c:v>
                </c:pt>
                <c:pt idx="432">
                  <c:v>182.79502322484248</c:v>
                </c:pt>
                <c:pt idx="433">
                  <c:v>182.55389297516263</c:v>
                </c:pt>
                <c:pt idx="434">
                  <c:v>182.31308080743202</c:v>
                </c:pt>
                <c:pt idx="435">
                  <c:v>182.07258630205959</c:v>
                </c:pt>
                <c:pt idx="436">
                  <c:v>181.83240904000755</c:v>
                </c:pt>
                <c:pt idx="437">
                  <c:v>181.59254860279106</c:v>
                </c:pt>
                <c:pt idx="438">
                  <c:v>181.35300457247715</c:v>
                </c:pt>
                <c:pt idx="439">
                  <c:v>181.11377653168432</c:v>
                </c:pt>
                <c:pt idx="440">
                  <c:v>180.8748640635815</c:v>
                </c:pt>
                <c:pt idx="441">
                  <c:v>180.6362667518876</c:v>
                </c:pt>
                <c:pt idx="442">
                  <c:v>180.39798418087062</c:v>
                </c:pt>
                <c:pt idx="443">
                  <c:v>180.16001593534693</c:v>
                </c:pt>
                <c:pt idx="444">
                  <c:v>179.92236160068055</c:v>
                </c:pt>
                <c:pt idx="445">
                  <c:v>179.68502076278256</c:v>
                </c:pt>
                <c:pt idx="446">
                  <c:v>179.44799300811019</c:v>
                </c:pt>
                <c:pt idx="447">
                  <c:v>179.21127792366624</c:v>
                </c:pt>
                <c:pt idx="448">
                  <c:v>178.97487509699829</c:v>
                </c:pt>
                <c:pt idx="449">
                  <c:v>178.73878411619802</c:v>
                </c:pt>
                <c:pt idx="450">
                  <c:v>178.50300456990036</c:v>
                </c:pt>
                <c:pt idx="451">
                  <c:v>178.26753604728304</c:v>
                </c:pt>
                <c:pt idx="452">
                  <c:v>178.03237813806567</c:v>
                </c:pt>
                <c:pt idx="453">
                  <c:v>177.79753043250898</c:v>
                </c:pt>
                <c:pt idx="454">
                  <c:v>177.56299252141429</c:v>
                </c:pt>
                <c:pt idx="455">
                  <c:v>177.32876399612269</c:v>
                </c:pt>
                <c:pt idx="456">
                  <c:v>177.09484444851435</c:v>
                </c:pt>
                <c:pt idx="457">
                  <c:v>176.86123347100778</c:v>
                </c:pt>
                <c:pt idx="458">
                  <c:v>176.62793065655913</c:v>
                </c:pt>
                <c:pt idx="459">
                  <c:v>176.39493559866156</c:v>
                </c:pt>
                <c:pt idx="460">
                  <c:v>176.16224789134441</c:v>
                </c:pt>
                <c:pt idx="461">
                  <c:v>175.92986712917258</c:v>
                </c:pt>
                <c:pt idx="462">
                  <c:v>175.69779290724568</c:v>
                </c:pt>
                <c:pt idx="463">
                  <c:v>175.46602482119766</c:v>
                </c:pt>
                <c:pt idx="464">
                  <c:v>175.23456246719564</c:v>
                </c:pt>
                <c:pt idx="465">
                  <c:v>175.00340544193963</c:v>
                </c:pt>
                <c:pt idx="466">
                  <c:v>174.7725533426615</c:v>
                </c:pt>
                <c:pt idx="467">
                  <c:v>174.54200576712455</c:v>
                </c:pt>
                <c:pt idx="468">
                  <c:v>174.31176231362261</c:v>
                </c:pt>
                <c:pt idx="469">
                  <c:v>174.08182258097943</c:v>
                </c:pt>
                <c:pt idx="470">
                  <c:v>173.85218616854795</c:v>
                </c:pt>
                <c:pt idx="471">
                  <c:v>173.62285267620965</c:v>
                </c:pt>
                <c:pt idx="472">
                  <c:v>173.39382170437375</c:v>
                </c:pt>
                <c:pt idx="473">
                  <c:v>173.16509285397666</c:v>
                </c:pt>
                <c:pt idx="474">
                  <c:v>172.93666572648118</c:v>
                </c:pt>
                <c:pt idx="475">
                  <c:v>172.70853992387583</c:v>
                </c:pt>
                <c:pt idx="476">
                  <c:v>172.48071504867406</c:v>
                </c:pt>
                <c:pt idx="477">
                  <c:v>172.25319070391387</c:v>
                </c:pt>
                <c:pt idx="478">
                  <c:v>172.02596649315677</c:v>
                </c:pt>
                <c:pt idx="479">
                  <c:v>171.79904202048724</c:v>
                </c:pt>
                <c:pt idx="480">
                  <c:v>171.57241689051193</c:v>
                </c:pt>
                <c:pt idx="481">
                  <c:v>171.34609070835924</c:v>
                </c:pt>
                <c:pt idx="482">
                  <c:v>171.12006307967835</c:v>
                </c:pt>
                <c:pt idx="483">
                  <c:v>170.89433361063865</c:v>
                </c:pt>
                <c:pt idx="484">
                  <c:v>170.66890190792907</c:v>
                </c:pt>
                <c:pt idx="485">
                  <c:v>170.44376757875736</c:v>
                </c:pt>
                <c:pt idx="486">
                  <c:v>170.21893023084942</c:v>
                </c:pt>
                <c:pt idx="487">
                  <c:v>169.99438947244857</c:v>
                </c:pt>
                <c:pt idx="488">
                  <c:v>169.77014491231495</c:v>
                </c:pt>
                <c:pt idx="489">
                  <c:v>169.54619615972473</c:v>
                </c:pt>
                <c:pt idx="490">
                  <c:v>169.32254282446962</c:v>
                </c:pt>
                <c:pt idx="491">
                  <c:v>169.09918451685598</c:v>
                </c:pt>
                <c:pt idx="492">
                  <c:v>168.87612084770421</c:v>
                </c:pt>
                <c:pt idx="493">
                  <c:v>168.65335142834817</c:v>
                </c:pt>
                <c:pt idx="494">
                  <c:v>168.43087587063428</c:v>
                </c:pt>
                <c:pt idx="495">
                  <c:v>168.20869378692109</c:v>
                </c:pt>
                <c:pt idx="496">
                  <c:v>167.98680479007854</c:v>
                </c:pt>
                <c:pt idx="497">
                  <c:v>167.76520849348717</c:v>
                </c:pt>
                <c:pt idx="498">
                  <c:v>167.54390451103754</c:v>
                </c:pt>
                <c:pt idx="499">
                  <c:v>167.32289245712948</c:v>
                </c:pt>
                <c:pt idx="500">
                  <c:v>167.1021719466716</c:v>
                </c:pt>
                <c:pt idx="501">
                  <c:v>166.8817425950804</c:v>
                </c:pt>
                <c:pt idx="502">
                  <c:v>166.66160401827969</c:v>
                </c:pt>
                <c:pt idx="503">
                  <c:v>166.44175583270001</c:v>
                </c:pt>
                <c:pt idx="504">
                  <c:v>166.2221976552778</c:v>
                </c:pt>
                <c:pt idx="505">
                  <c:v>166.00292910345485</c:v>
                </c:pt>
                <c:pt idx="506">
                  <c:v>165.78394979517753</c:v>
                </c:pt>
                <c:pt idx="507">
                  <c:v>165.56525934889629</c:v>
                </c:pt>
                <c:pt idx="508">
                  <c:v>165.34685738356484</c:v>
                </c:pt>
                <c:pt idx="509">
                  <c:v>165.12874351863954</c:v>
                </c:pt>
                <c:pt idx="510">
                  <c:v>164.91091737407868</c:v>
                </c:pt>
                <c:pt idx="511">
                  <c:v>164.69337857034202</c:v>
                </c:pt>
                <c:pt idx="512">
                  <c:v>164.4761267283898</c:v>
                </c:pt>
                <c:pt idx="513">
                  <c:v>164.2591614696824</c:v>
                </c:pt>
                <c:pt idx="514">
                  <c:v>164.04248241617952</c:v>
                </c:pt>
                <c:pt idx="515">
                  <c:v>163.82608919033953</c:v>
                </c:pt>
                <c:pt idx="516">
                  <c:v>163.60998141511877</c:v>
                </c:pt>
                <c:pt idx="517">
                  <c:v>163.39415871397102</c:v>
                </c:pt>
                <c:pt idx="518">
                  <c:v>163.17862071084676</c:v>
                </c:pt>
                <c:pt idx="519">
                  <c:v>162.9633670301925</c:v>
                </c:pt>
                <c:pt idx="520">
                  <c:v>162.7483972969502</c:v>
                </c:pt>
                <c:pt idx="521">
                  <c:v>162.53371113655652</c:v>
                </c:pt>
                <c:pt idx="522">
                  <c:v>162.31930817494225</c:v>
                </c:pt>
                <c:pt idx="523">
                  <c:v>162.10518803853159</c:v>
                </c:pt>
                <c:pt idx="524">
                  <c:v>161.89135035424161</c:v>
                </c:pt>
                <c:pt idx="525">
                  <c:v>161.67779474948142</c:v>
                </c:pt>
                <c:pt idx="526">
                  <c:v>161.46452085215171</c:v>
                </c:pt>
                <c:pt idx="527">
                  <c:v>161.25152829064399</c:v>
                </c:pt>
                <c:pt idx="528">
                  <c:v>161.03881669383995</c:v>
                </c:pt>
                <c:pt idx="529">
                  <c:v>160.82638569111089</c:v>
                </c:pt>
                <c:pt idx="530">
                  <c:v>160.6142349123169</c:v>
                </c:pt>
                <c:pt idx="531">
                  <c:v>160.40236398780644</c:v>
                </c:pt>
                <c:pt idx="532">
                  <c:v>160.19077254841562</c:v>
                </c:pt>
                <c:pt idx="533">
                  <c:v>159.97946022546739</c:v>
                </c:pt>
                <c:pt idx="534">
                  <c:v>159.76842665077118</c:v>
                </c:pt>
                <c:pt idx="535">
                  <c:v>159.55767145662193</c:v>
                </c:pt>
                <c:pt idx="536">
                  <c:v>159.34719427579984</c:v>
                </c:pt>
                <c:pt idx="537">
                  <c:v>159.13699474156934</c:v>
                </c:pt>
                <c:pt idx="538">
                  <c:v>158.92707248767874</c:v>
                </c:pt>
                <c:pt idx="539">
                  <c:v>158.71742714835946</c:v>
                </c:pt>
                <c:pt idx="540">
                  <c:v>158.5080583583254</c:v>
                </c:pt>
                <c:pt idx="541">
                  <c:v>158.29896575277232</c:v>
                </c:pt>
                <c:pt idx="542">
                  <c:v>158.09014896737722</c:v>
                </c:pt>
                <c:pt idx="543">
                  <c:v>157.88160763829768</c:v>
                </c:pt>
                <c:pt idx="544">
                  <c:v>157.67334140217122</c:v>
                </c:pt>
                <c:pt idx="545">
                  <c:v>157.4653498961147</c:v>
                </c:pt>
                <c:pt idx="546">
                  <c:v>157.25763275772374</c:v>
                </c:pt>
                <c:pt idx="547">
                  <c:v>157.05018962507182</c:v>
                </c:pt>
                <c:pt idx="548">
                  <c:v>156.84302013671004</c:v>
                </c:pt>
                <c:pt idx="549">
                  <c:v>156.63612393166625</c:v>
                </c:pt>
                <c:pt idx="550">
                  <c:v>156.42950064944438</c:v>
                </c:pt>
                <c:pt idx="551">
                  <c:v>156.22314993002408</c:v>
                </c:pt>
                <c:pt idx="552">
                  <c:v>156.01707141385972</c:v>
                </c:pt>
                <c:pt idx="553">
                  <c:v>155.81126474188005</c:v>
                </c:pt>
                <c:pt idx="554">
                  <c:v>155.6057295554875</c:v>
                </c:pt>
                <c:pt idx="555">
                  <c:v>155.40046549655747</c:v>
                </c:pt>
                <c:pt idx="556">
                  <c:v>155.19547220743786</c:v>
                </c:pt>
                <c:pt idx="557">
                  <c:v>154.99074933094832</c:v>
                </c:pt>
                <c:pt idx="558">
                  <c:v>154.78629651037957</c:v>
                </c:pt>
                <c:pt idx="559">
                  <c:v>154.58211338949306</c:v>
                </c:pt>
                <c:pt idx="560">
                  <c:v>154.37819961252001</c:v>
                </c:pt>
                <c:pt idx="561">
                  <c:v>154.17455482416102</c:v>
                </c:pt>
                <c:pt idx="562">
                  <c:v>153.97117866958536</c:v>
                </c:pt>
                <c:pt idx="563">
                  <c:v>153.7680707944304</c:v>
                </c:pt>
                <c:pt idx="564">
                  <c:v>153.56523084480085</c:v>
                </c:pt>
                <c:pt idx="565">
                  <c:v>153.3626584672684</c:v>
                </c:pt>
                <c:pt idx="566">
                  <c:v>153.16035330887084</c:v>
                </c:pt>
                <c:pt idx="567">
                  <c:v>152.95831501711166</c:v>
                </c:pt>
                <c:pt idx="568">
                  <c:v>152.75654323995923</c:v>
                </c:pt>
                <c:pt idx="569">
                  <c:v>152.55503762584641</c:v>
                </c:pt>
                <c:pt idx="570">
                  <c:v>152.35379782366977</c:v>
                </c:pt>
                <c:pt idx="571">
                  <c:v>152.15282348278899</c:v>
                </c:pt>
                <c:pt idx="572">
                  <c:v>151.95211425302631</c:v>
                </c:pt>
                <c:pt idx="573">
                  <c:v>151.75166978466598</c:v>
                </c:pt>
                <c:pt idx="574">
                  <c:v>151.55148972845345</c:v>
                </c:pt>
                <c:pt idx="575">
                  <c:v>151.351573735595</c:v>
                </c:pt>
                <c:pt idx="576">
                  <c:v>151.15192145775688</c:v>
                </c:pt>
                <c:pt idx="577">
                  <c:v>150.95253254706498</c:v>
                </c:pt>
                <c:pt idx="578">
                  <c:v>150.75340665610398</c:v>
                </c:pt>
                <c:pt idx="579">
                  <c:v>150.55454343791686</c:v>
                </c:pt>
                <c:pt idx="580">
                  <c:v>150.35594254600431</c:v>
                </c:pt>
                <c:pt idx="581">
                  <c:v>150.15760363432409</c:v>
                </c:pt>
                <c:pt idx="582">
                  <c:v>149.95952635729046</c:v>
                </c:pt>
                <c:pt idx="583">
                  <c:v>149.76171036977348</c:v>
                </c:pt>
                <c:pt idx="584">
                  <c:v>149.56415532709855</c:v>
                </c:pt>
                <c:pt idx="585">
                  <c:v>149.3668608850457</c:v>
                </c:pt>
                <c:pt idx="586">
                  <c:v>149.16982669984898</c:v>
                </c:pt>
                <c:pt idx="587">
                  <c:v>148.97305242819607</c:v>
                </c:pt>
                <c:pt idx="588">
                  <c:v>148.77653772722743</c:v>
                </c:pt>
                <c:pt idx="589">
                  <c:v>148.5802822545358</c:v>
                </c:pt>
                <c:pt idx="590">
                  <c:v>148.38428566816549</c:v>
                </c:pt>
                <c:pt idx="591">
                  <c:v>148.18854762661209</c:v>
                </c:pt>
                <c:pt idx="592">
                  <c:v>147.99306778882161</c:v>
                </c:pt>
                <c:pt idx="593">
                  <c:v>147.79784581418986</c:v>
                </c:pt>
                <c:pt idx="594">
                  <c:v>147.60288136256202</c:v>
                </c:pt>
                <c:pt idx="595">
                  <c:v>147.40817409423204</c:v>
                </c:pt>
                <c:pt idx="596">
                  <c:v>147.21372366994191</c:v>
                </c:pt>
                <c:pt idx="597">
                  <c:v>147.01952975088111</c:v>
                </c:pt>
                <c:pt idx="598">
                  <c:v>146.82559199868615</c:v>
                </c:pt>
                <c:pt idx="599">
                  <c:v>146.63191007543983</c:v>
                </c:pt>
                <c:pt idx="600">
                  <c:v>146.43848364367076</c:v>
                </c:pt>
                <c:pt idx="601">
                  <c:v>146.24531236635261</c:v>
                </c:pt>
                <c:pt idx="602">
                  <c:v>146.05239590690374</c:v>
                </c:pt>
                <c:pt idx="603">
                  <c:v>145.85973392918643</c:v>
                </c:pt>
                <c:pt idx="604">
                  <c:v>145.66732609750642</c:v>
                </c:pt>
                <c:pt idx="605">
                  <c:v>145.47517207661224</c:v>
                </c:pt>
                <c:pt idx="606">
                  <c:v>145.28327153169474</c:v>
                </c:pt>
                <c:pt idx="607">
                  <c:v>145.09162412838626</c:v>
                </c:pt>
                <c:pt idx="608">
                  <c:v>144.90022953276042</c:v>
                </c:pt>
                <c:pt idx="609">
                  <c:v>144.70908741133115</c:v>
                </c:pt>
                <c:pt idx="610">
                  <c:v>144.51819743105241</c:v>
                </c:pt>
                <c:pt idx="611">
                  <c:v>144.32755925931741</c:v>
                </c:pt>
                <c:pt idx="612">
                  <c:v>144.13717256395822</c:v>
                </c:pt>
                <c:pt idx="613">
                  <c:v>143.94703701324494</c:v>
                </c:pt>
                <c:pt idx="614">
                  <c:v>143.75715227588537</c:v>
                </c:pt>
                <c:pt idx="615">
                  <c:v>143.56751802102431</c:v>
                </c:pt>
                <c:pt idx="616">
                  <c:v>143.37813391824295</c:v>
                </c:pt>
                <c:pt idx="617">
                  <c:v>143.18899963755845</c:v>
                </c:pt>
                <c:pt idx="618">
                  <c:v>143.00011484942311</c:v>
                </c:pt>
                <c:pt idx="619">
                  <c:v>142.81147922472405</c:v>
                </c:pt>
                <c:pt idx="620">
                  <c:v>142.62309243478254</c:v>
                </c:pt>
                <c:pt idx="621">
                  <c:v>142.43495415135339</c:v>
                </c:pt>
                <c:pt idx="622">
                  <c:v>142.24706404662436</c:v>
                </c:pt>
                <c:pt idx="623">
                  <c:v>142.05942179321568</c:v>
                </c:pt>
                <c:pt idx="624">
                  <c:v>141.87202706417952</c:v>
                </c:pt>
                <c:pt idx="625">
                  <c:v>141.68487953299922</c:v>
                </c:pt>
                <c:pt idx="626">
                  <c:v>141.49797887358883</c:v>
                </c:pt>
                <c:pt idx="627">
                  <c:v>141.31132476029265</c:v>
                </c:pt>
                <c:pt idx="628">
                  <c:v>141.12491686788448</c:v>
                </c:pt>
                <c:pt idx="629">
                  <c:v>140.93875487156717</c:v>
                </c:pt>
                <c:pt idx="630">
                  <c:v>140.75283844697199</c:v>
                </c:pt>
                <c:pt idx="631">
                  <c:v>140.56716727015814</c:v>
                </c:pt>
                <c:pt idx="632">
                  <c:v>140.38174101761211</c:v>
                </c:pt>
                <c:pt idx="633">
                  <c:v>140.19655936624713</c:v>
                </c:pt>
                <c:pt idx="634">
                  <c:v>140.01162199340268</c:v>
                </c:pt>
                <c:pt idx="635">
                  <c:v>139.82692857684381</c:v>
                </c:pt>
                <c:pt idx="636">
                  <c:v>139.64247879476065</c:v>
                </c:pt>
                <c:pt idx="637">
                  <c:v>139.45827232576789</c:v>
                </c:pt>
                <c:pt idx="638">
                  <c:v>139.2743088489041</c:v>
                </c:pt>
                <c:pt idx="639">
                  <c:v>139.09058804363127</c:v>
                </c:pt>
                <c:pt idx="640">
                  <c:v>138.90710958983428</c:v>
                </c:pt>
                <c:pt idx="641">
                  <c:v>138.7238731678201</c:v>
                </c:pt>
                <c:pt idx="642">
                  <c:v>138.54087845831771</c:v>
                </c:pt>
                <c:pt idx="643">
                  <c:v>138.35812514247695</c:v>
                </c:pt>
                <c:pt idx="644">
                  <c:v>138.17561290186848</c:v>
                </c:pt>
                <c:pt idx="645">
                  <c:v>137.99334141848286</c:v>
                </c:pt>
                <c:pt idx="646">
                  <c:v>137.81131037473023</c:v>
                </c:pt>
                <c:pt idx="647">
                  <c:v>137.62951945343968</c:v>
                </c:pt>
                <c:pt idx="648">
                  <c:v>137.4479683378587</c:v>
                </c:pt>
                <c:pt idx="649">
                  <c:v>137.26665671165242</c:v>
                </c:pt>
                <c:pt idx="650">
                  <c:v>137.08558425890354</c:v>
                </c:pt>
                <c:pt idx="651">
                  <c:v>136.90475066411145</c:v>
                </c:pt>
                <c:pt idx="652">
                  <c:v>136.72415561219145</c:v>
                </c:pt>
                <c:pt idx="653">
                  <c:v>136.54379878847485</c:v>
                </c:pt>
                <c:pt idx="654">
                  <c:v>136.36367987870773</c:v>
                </c:pt>
                <c:pt idx="655">
                  <c:v>136.18379856905102</c:v>
                </c:pt>
                <c:pt idx="656">
                  <c:v>136.00415454607932</c:v>
                </c:pt>
                <c:pt idx="657">
                  <c:v>135.82474749678096</c:v>
                </c:pt>
                <c:pt idx="658">
                  <c:v>135.64557710855695</c:v>
                </c:pt>
                <c:pt idx="659">
                  <c:v>135.46664306922085</c:v>
                </c:pt>
                <c:pt idx="660">
                  <c:v>135.28794506699788</c:v>
                </c:pt>
                <c:pt idx="661">
                  <c:v>135.10948279052468</c:v>
                </c:pt>
                <c:pt idx="662">
                  <c:v>134.9312559288484</c:v>
                </c:pt>
                <c:pt idx="663">
                  <c:v>134.75326417142665</c:v>
                </c:pt>
                <c:pt idx="664">
                  <c:v>134.57550720812642</c:v>
                </c:pt>
                <c:pt idx="665">
                  <c:v>134.39798472922408</c:v>
                </c:pt>
                <c:pt idx="666">
                  <c:v>134.22069642540427</c:v>
                </c:pt>
                <c:pt idx="667">
                  <c:v>134.04364198775988</c:v>
                </c:pt>
                <c:pt idx="668">
                  <c:v>133.8668211077912</c:v>
                </c:pt>
                <c:pt idx="669">
                  <c:v>133.69023347740549</c:v>
                </c:pt>
                <c:pt idx="670">
                  <c:v>133.51387878891643</c:v>
                </c:pt>
                <c:pt idx="671">
                  <c:v>133.33775673504351</c:v>
                </c:pt>
                <c:pt idx="672">
                  <c:v>133.16186700891171</c:v>
                </c:pt>
                <c:pt idx="673">
                  <c:v>132.98620930405062</c:v>
                </c:pt>
                <c:pt idx="674">
                  <c:v>132.81078331439434</c:v>
                </c:pt>
                <c:pt idx="675">
                  <c:v>132.63558873428042</c:v>
                </c:pt>
                <c:pt idx="676">
                  <c:v>132.46062525844997</c:v>
                </c:pt>
                <c:pt idx="677">
                  <c:v>132.28589258204639</c:v>
                </c:pt>
                <c:pt idx="678">
                  <c:v>132.11139040061556</c:v>
                </c:pt>
                <c:pt idx="679">
                  <c:v>131.93711841010477</c:v>
                </c:pt>
                <c:pt idx="680">
                  <c:v>131.7630763068625</c:v>
                </c:pt>
                <c:pt idx="681">
                  <c:v>131.58926378763769</c:v>
                </c:pt>
                <c:pt idx="682">
                  <c:v>131.41568054957943</c:v>
                </c:pt>
                <c:pt idx="683">
                  <c:v>131.24232629023618</c:v>
                </c:pt>
                <c:pt idx="684">
                  <c:v>131.0692007075555</c:v>
                </c:pt>
                <c:pt idx="685">
                  <c:v>130.89630349988323</c:v>
                </c:pt>
                <c:pt idx="686">
                  <c:v>130.72363436596336</c:v>
                </c:pt>
                <c:pt idx="687">
                  <c:v>130.55119300493701</c:v>
                </c:pt>
                <c:pt idx="688">
                  <c:v>130.37897911634241</c:v>
                </c:pt>
                <c:pt idx="689">
                  <c:v>130.20699240011405</c:v>
                </c:pt>
                <c:pt idx="690">
                  <c:v>130.03523255658214</c:v>
                </c:pt>
                <c:pt idx="691">
                  <c:v>129.86369928647238</c:v>
                </c:pt>
                <c:pt idx="692">
                  <c:v>129.69239229090505</c:v>
                </c:pt>
                <c:pt idx="693">
                  <c:v>129.52131127139492</c:v>
                </c:pt>
                <c:pt idx="694">
                  <c:v>129.35045592985028</c:v>
                </c:pt>
                <c:pt idx="695">
                  <c:v>129.1798259685728</c:v>
                </c:pt>
                <c:pt idx="696">
                  <c:v>129.00942109025675</c:v>
                </c:pt>
                <c:pt idx="697">
                  <c:v>128.83924099798867</c:v>
                </c:pt>
                <c:pt idx="698">
                  <c:v>128.66928539524667</c:v>
                </c:pt>
                <c:pt idx="699">
                  <c:v>128.49955398590015</c:v>
                </c:pt>
                <c:pt idx="700">
                  <c:v>128.33004647420896</c:v>
                </c:pt>
                <c:pt idx="701">
                  <c:v>128.16076256482324</c:v>
                </c:pt>
                <c:pt idx="702">
                  <c:v>127.99170196278259</c:v>
                </c:pt>
                <c:pt idx="703">
                  <c:v>127.82286437351587</c:v>
                </c:pt>
                <c:pt idx="704">
                  <c:v>127.65424950284034</c:v>
                </c:pt>
                <c:pt idx="705">
                  <c:v>127.48585705696144</c:v>
                </c:pt>
                <c:pt idx="706">
                  <c:v>127.31768674247215</c:v>
                </c:pt>
                <c:pt idx="707">
                  <c:v>127.14973826635241</c:v>
                </c:pt>
                <c:pt idx="708">
                  <c:v>126.98201133596886</c:v>
                </c:pt>
                <c:pt idx="709">
                  <c:v>126.81450565907394</c:v>
                </c:pt>
                <c:pt idx="710">
                  <c:v>126.64722094380581</c:v>
                </c:pt>
                <c:pt idx="711">
                  <c:v>126.48015689868743</c:v>
                </c:pt>
                <c:pt idx="712">
                  <c:v>126.3133132326265</c:v>
                </c:pt>
                <c:pt idx="713">
                  <c:v>126.14668965491444</c:v>
                </c:pt>
                <c:pt idx="714">
                  <c:v>125.9802858752264</c:v>
                </c:pt>
                <c:pt idx="715">
                  <c:v>125.81410160362029</c:v>
                </c:pt>
                <c:pt idx="716">
                  <c:v>125.64813655053671</c:v>
                </c:pt>
                <c:pt idx="717">
                  <c:v>125.48239042679798</c:v>
                </c:pt>
                <c:pt idx="718">
                  <c:v>125.31686294360811</c:v>
                </c:pt>
                <c:pt idx="719">
                  <c:v>125.15155381255192</c:v>
                </c:pt>
                <c:pt idx="720">
                  <c:v>124.98646274559479</c:v>
                </c:pt>
                <c:pt idx="721">
                  <c:v>124.82158945508192</c:v>
                </c:pt>
                <c:pt idx="722">
                  <c:v>124.65693365373814</c:v>
                </c:pt>
                <c:pt idx="723">
                  <c:v>124.49249505466706</c:v>
                </c:pt>
                <c:pt idx="724">
                  <c:v>124.32827337135083</c:v>
                </c:pt>
                <c:pt idx="725">
                  <c:v>124.16426831764966</c:v>
                </c:pt>
                <c:pt idx="726">
                  <c:v>124.00047960780097</c:v>
                </c:pt>
                <c:pt idx="727">
                  <c:v>123.83690695641936</c:v>
                </c:pt>
                <c:pt idx="728">
                  <c:v>123.67355007849569</c:v>
                </c:pt>
                <c:pt idx="729">
                  <c:v>123.51040868939704</c:v>
                </c:pt>
                <c:pt idx="730">
                  <c:v>123.3474825048657</c:v>
                </c:pt>
                <c:pt idx="731">
                  <c:v>123.18477124101912</c:v>
                </c:pt>
                <c:pt idx="732">
                  <c:v>123.02227461434904</c:v>
                </c:pt>
                <c:pt idx="733">
                  <c:v>122.85999234172147</c:v>
                </c:pt>
                <c:pt idx="734">
                  <c:v>122.69792414037556</c:v>
                </c:pt>
                <c:pt idx="735">
                  <c:v>122.53606972792377</c:v>
                </c:pt>
                <c:pt idx="736">
                  <c:v>122.37442882235082</c:v>
                </c:pt>
                <c:pt idx="737">
                  <c:v>122.21300114201367</c:v>
                </c:pt>
                <c:pt idx="738">
                  <c:v>122.05178640564057</c:v>
                </c:pt>
                <c:pt idx="739">
                  <c:v>121.89078433233104</c:v>
                </c:pt>
                <c:pt idx="740">
                  <c:v>121.72999464155491</c:v>
                </c:pt>
                <c:pt idx="741">
                  <c:v>121.56941705315229</c:v>
                </c:pt>
                <c:pt idx="742">
                  <c:v>121.40905128733266</c:v>
                </c:pt>
                <c:pt idx="743">
                  <c:v>121.24889706467469</c:v>
                </c:pt>
                <c:pt idx="744">
                  <c:v>121.08895410612571</c:v>
                </c:pt>
                <c:pt idx="745">
                  <c:v>120.92922213300095</c:v>
                </c:pt>
                <c:pt idx="746">
                  <c:v>120.76970086698347</c:v>
                </c:pt>
                <c:pt idx="747">
                  <c:v>120.6103900301233</c:v>
                </c:pt>
                <c:pt idx="748">
                  <c:v>120.45128934483726</c:v>
                </c:pt>
                <c:pt idx="749">
                  <c:v>120.29239853390821</c:v>
                </c:pt>
                <c:pt idx="750">
                  <c:v>120.13371732048485</c:v>
                </c:pt>
                <c:pt idx="751">
                  <c:v>119.97524542808088</c:v>
                </c:pt>
                <c:pt idx="752">
                  <c:v>119.81698258057497</c:v>
                </c:pt>
                <c:pt idx="753">
                  <c:v>119.65892850220976</c:v>
                </c:pt>
                <c:pt idx="754">
                  <c:v>119.5010829175919</c:v>
                </c:pt>
                <c:pt idx="755">
                  <c:v>119.34344555169109</c:v>
                </c:pt>
                <c:pt idx="756">
                  <c:v>119.18601612984006</c:v>
                </c:pt>
                <c:pt idx="757">
                  <c:v>119.02879437773363</c:v>
                </c:pt>
                <c:pt idx="758">
                  <c:v>118.87178002142869</c:v>
                </c:pt>
                <c:pt idx="759">
                  <c:v>118.7149727873433</c:v>
                </c:pt>
                <c:pt idx="760">
                  <c:v>118.55837240225651</c:v>
                </c:pt>
                <c:pt idx="761">
                  <c:v>118.40197859330785</c:v>
                </c:pt>
                <c:pt idx="762">
                  <c:v>118.24579108799658</c:v>
                </c:pt>
                <c:pt idx="763">
                  <c:v>118.08980961418168</c:v>
                </c:pt>
                <c:pt idx="764">
                  <c:v>117.93403390008088</c:v>
                </c:pt>
                <c:pt idx="765">
                  <c:v>117.77846367427063</c:v>
                </c:pt>
                <c:pt idx="766">
                  <c:v>117.62309866568522</c:v>
                </c:pt>
                <c:pt idx="767">
                  <c:v>117.46793860361676</c:v>
                </c:pt>
                <c:pt idx="768">
                  <c:v>117.31298321771418</c:v>
                </c:pt>
                <c:pt idx="769">
                  <c:v>117.15823223798328</c:v>
                </c:pt>
                <c:pt idx="770">
                  <c:v>117.00368539478583</c:v>
                </c:pt>
                <c:pt idx="771">
                  <c:v>116.84934241883947</c:v>
                </c:pt>
                <c:pt idx="772">
                  <c:v>116.69520304121684</c:v>
                </c:pt>
                <c:pt idx="773">
                  <c:v>116.54126699334559</c:v>
                </c:pt>
                <c:pt idx="774">
                  <c:v>116.38753400700735</c:v>
                </c:pt>
                <c:pt idx="775">
                  <c:v>116.23400381433787</c:v>
                </c:pt>
                <c:pt idx="776">
                  <c:v>116.080676147826</c:v>
                </c:pt>
                <c:pt idx="777">
                  <c:v>115.92755074031366</c:v>
                </c:pt>
                <c:pt idx="778">
                  <c:v>115.77462732499501</c:v>
                </c:pt>
                <c:pt idx="779">
                  <c:v>115.6219056354163</c:v>
                </c:pt>
                <c:pt idx="780">
                  <c:v>115.46938540547528</c:v>
                </c:pt>
                <c:pt idx="781">
                  <c:v>115.31706636942054</c:v>
                </c:pt>
                <c:pt idx="782">
                  <c:v>115.16494826185148</c:v>
                </c:pt>
                <c:pt idx="783">
                  <c:v>115.01303081771735</c:v>
                </c:pt>
                <c:pt idx="784">
                  <c:v>114.86131377231727</c:v>
                </c:pt>
                <c:pt idx="785">
                  <c:v>114.70979686129931</c:v>
                </c:pt>
                <c:pt idx="786">
                  <c:v>114.55847982066049</c:v>
                </c:pt>
                <c:pt idx="787">
                  <c:v>114.40736238674582</c:v>
                </c:pt>
                <c:pt idx="788">
                  <c:v>114.25644429624838</c:v>
                </c:pt>
                <c:pt idx="789">
                  <c:v>114.10572528620833</c:v>
                </c:pt>
                <c:pt idx="790">
                  <c:v>113.95520509401294</c:v>
                </c:pt>
                <c:pt idx="791">
                  <c:v>113.80488345739569</c:v>
                </c:pt>
                <c:pt idx="792">
                  <c:v>113.65476011443621</c:v>
                </c:pt>
                <c:pt idx="793">
                  <c:v>113.50483480355948</c:v>
                </c:pt>
                <c:pt idx="794">
                  <c:v>113.35510726353564</c:v>
                </c:pt>
                <c:pt idx="795">
                  <c:v>113.20557723347936</c:v>
                </c:pt>
                <c:pt idx="796">
                  <c:v>113.05624445284947</c:v>
                </c:pt>
                <c:pt idx="797">
                  <c:v>112.90710866144859</c:v>
                </c:pt>
                <c:pt idx="798">
                  <c:v>112.75816959942233</c:v>
                </c:pt>
                <c:pt idx="799">
                  <c:v>112.60942700725938</c:v>
                </c:pt>
                <c:pt idx="800">
                  <c:v>112.46088062579047</c:v>
                </c:pt>
                <c:pt idx="801">
                  <c:v>112.31253019618848</c:v>
                </c:pt>
                <c:pt idx="802">
                  <c:v>112.16437545996746</c:v>
                </c:pt>
                <c:pt idx="803">
                  <c:v>112.01641615898266</c:v>
                </c:pt>
                <c:pt idx="804">
                  <c:v>111.86865203542968</c:v>
                </c:pt>
                <c:pt idx="805">
                  <c:v>111.72108283184436</c:v>
                </c:pt>
                <c:pt idx="806">
                  <c:v>111.57370829110197</c:v>
                </c:pt>
                <c:pt idx="807">
                  <c:v>111.42652815641718</c:v>
                </c:pt>
                <c:pt idx="808">
                  <c:v>111.27954217134321</c:v>
                </c:pt>
                <c:pt idx="809">
                  <c:v>111.1327500797717</c:v>
                </c:pt>
                <c:pt idx="810">
                  <c:v>110.98615162593201</c:v>
                </c:pt>
                <c:pt idx="811">
                  <c:v>110.83974655439104</c:v>
                </c:pt>
                <c:pt idx="812">
                  <c:v>110.69353461005245</c:v>
                </c:pt>
                <c:pt idx="813">
                  <c:v>110.54751553815665</c:v>
                </c:pt>
                <c:pt idx="814">
                  <c:v>110.40168908427981</c:v>
                </c:pt>
                <c:pt idx="815">
                  <c:v>110.25605499433397</c:v>
                </c:pt>
                <c:pt idx="816">
                  <c:v>110.1106130145663</c:v>
                </c:pt>
                <c:pt idx="817">
                  <c:v>109.96536289155854</c:v>
                </c:pt>
                <c:pt idx="818">
                  <c:v>109.82030437222697</c:v>
                </c:pt>
                <c:pt idx="819">
                  <c:v>109.67543720382147</c:v>
                </c:pt>
                <c:pt idx="820">
                  <c:v>109.53076113392554</c:v>
                </c:pt>
                <c:pt idx="821">
                  <c:v>109.38627591045548</c:v>
                </c:pt>
                <c:pt idx="822">
                  <c:v>109.24198128166029</c:v>
                </c:pt>
                <c:pt idx="823">
                  <c:v>109.09787699612087</c:v>
                </c:pt>
                <c:pt idx="824">
                  <c:v>108.95396280274998</c:v>
                </c:pt>
                <c:pt idx="825">
                  <c:v>108.81023845079139</c:v>
                </c:pt>
                <c:pt idx="826">
                  <c:v>108.66670368981987</c:v>
                </c:pt>
                <c:pt idx="827">
                  <c:v>108.52335826974029</c:v>
                </c:pt>
                <c:pt idx="828">
                  <c:v>108.38020194078767</c:v>
                </c:pt>
                <c:pt idx="829">
                  <c:v>108.23723445352627</c:v>
                </c:pt>
                <c:pt idx="830">
                  <c:v>108.09445555884963</c:v>
                </c:pt>
                <c:pt idx="831">
                  <c:v>107.95186500797965</c:v>
                </c:pt>
                <c:pt idx="832">
                  <c:v>107.80946255246661</c:v>
                </c:pt>
                <c:pt idx="833">
                  <c:v>107.66724794418836</c:v>
                </c:pt>
                <c:pt idx="834">
                  <c:v>107.52522093535015</c:v>
                </c:pt>
                <c:pt idx="835">
                  <c:v>107.38338127848417</c:v>
                </c:pt>
                <c:pt idx="836">
                  <c:v>107.24172872644886</c:v>
                </c:pt>
                <c:pt idx="837">
                  <c:v>107.10026303242883</c:v>
                </c:pt>
                <c:pt idx="838">
                  <c:v>106.95898394993417</c:v>
                </c:pt>
                <c:pt idx="839">
                  <c:v>106.81789123280025</c:v>
                </c:pt>
                <c:pt idx="840">
                  <c:v>106.67698463518698</c:v>
                </c:pt>
                <c:pt idx="841">
                  <c:v>106.5362639115788</c:v>
                </c:pt>
                <c:pt idx="842">
                  <c:v>106.39572881678374</c:v>
                </c:pt>
                <c:pt idx="843">
                  <c:v>106.25537910593356</c:v>
                </c:pt>
                <c:pt idx="844">
                  <c:v>106.11521453448276</c:v>
                </c:pt>
                <c:pt idx="845">
                  <c:v>105.97523485820867</c:v>
                </c:pt>
                <c:pt idx="846">
                  <c:v>105.83543983321053</c:v>
                </c:pt>
                <c:pt idx="847">
                  <c:v>105.69582921590961</c:v>
                </c:pt>
                <c:pt idx="848">
                  <c:v>105.55640276304818</c:v>
                </c:pt>
                <c:pt idx="849">
                  <c:v>105.41716023168971</c:v>
                </c:pt>
                <c:pt idx="850">
                  <c:v>105.27810137921783</c:v>
                </c:pt>
                <c:pt idx="851">
                  <c:v>105.13922596333643</c:v>
                </c:pt>
                <c:pt idx="852">
                  <c:v>105.000533742069</c:v>
                </c:pt>
                <c:pt idx="853">
                  <c:v>104.86202447375807</c:v>
                </c:pt>
                <c:pt idx="854">
                  <c:v>104.72369791706517</c:v>
                </c:pt>
                <c:pt idx="855">
                  <c:v>104.58555383096997</c:v>
                </c:pt>
                <c:pt idx="856">
                  <c:v>104.44759197477025</c:v>
                </c:pt>
                <c:pt idx="857">
                  <c:v>104.30981210808119</c:v>
                </c:pt>
                <c:pt idx="858">
                  <c:v>104.17221399083517</c:v>
                </c:pt>
                <c:pt idx="859">
                  <c:v>104.03479738328113</c:v>
                </c:pt>
                <c:pt idx="860">
                  <c:v>103.8975620459844</c:v>
                </c:pt>
                <c:pt idx="861">
                  <c:v>103.76050773982604</c:v>
                </c:pt>
                <c:pt idx="862">
                  <c:v>103.62363422600265</c:v>
                </c:pt>
                <c:pt idx="863">
                  <c:v>103.4869412660257</c:v>
                </c:pt>
                <c:pt idx="864">
                  <c:v>103.35042862172145</c:v>
                </c:pt>
                <c:pt idx="865">
                  <c:v>103.21409605523013</c:v>
                </c:pt>
                <c:pt idx="866">
                  <c:v>103.07794332900593</c:v>
                </c:pt>
                <c:pt idx="867">
                  <c:v>102.94197020581623</c:v>
                </c:pt>
                <c:pt idx="868">
                  <c:v>102.8061764487415</c:v>
                </c:pt>
                <c:pt idx="869">
                  <c:v>102.67056182117457</c:v>
                </c:pt>
                <c:pt idx="870">
                  <c:v>102.53512608682054</c:v>
                </c:pt>
                <c:pt idx="871">
                  <c:v>102.39986900969619</c:v>
                </c:pt>
                <c:pt idx="872">
                  <c:v>102.26479035412947</c:v>
                </c:pt>
                <c:pt idx="873">
                  <c:v>102.12988988475936</c:v>
                </c:pt>
                <c:pt idx="874">
                  <c:v>101.99516736653521</c:v>
                </c:pt>
                <c:pt idx="875">
                  <c:v>101.86062256471651</c:v>
                </c:pt>
                <c:pt idx="876">
                  <c:v>101.72625524487229</c:v>
                </c:pt>
                <c:pt idx="877">
                  <c:v>101.59206517288099</c:v>
                </c:pt>
                <c:pt idx="878">
                  <c:v>101.45805211492971</c:v>
                </c:pt>
                <c:pt idx="879">
                  <c:v>101.32421583751416</c:v>
                </c:pt>
                <c:pt idx="880">
                  <c:v>101.19055610743786</c:v>
                </c:pt>
                <c:pt idx="881">
                  <c:v>101.05707269181217</c:v>
                </c:pt>
                <c:pt idx="882">
                  <c:v>100.92376535805546</c:v>
                </c:pt>
                <c:pt idx="883">
                  <c:v>100.79063387389309</c:v>
                </c:pt>
                <c:pt idx="884">
                  <c:v>100.65767800735664</c:v>
                </c:pt>
                <c:pt idx="885">
                  <c:v>100.52489752678385</c:v>
                </c:pt>
                <c:pt idx="886">
                  <c:v>100.39229220081791</c:v>
                </c:pt>
                <c:pt idx="887">
                  <c:v>100.25986179840733</c:v>
                </c:pt>
                <c:pt idx="888">
                  <c:v>100.12760608880527</c:v>
                </c:pt>
                <c:pt idx="889">
                  <c:v>99.995524841569406</c:v>
                </c:pt>
                <c:pt idx="890">
                  <c:v>99.863617826561352</c:v>
                </c:pt>
                <c:pt idx="891">
                  <c:v>99.731884813946238</c:v>
                </c:pt>
                <c:pt idx="892">
                  <c:v>99.600325574192482</c:v>
                </c:pt>
                <c:pt idx="893">
                  <c:v>99.468939878071168</c:v>
                </c:pt>
                <c:pt idx="894">
                  <c:v>99.337727496655916</c:v>
                </c:pt>
                <c:pt idx="895">
                  <c:v>99.206688201322137</c:v>
                </c:pt>
                <c:pt idx="896">
                  <c:v>99.07582176374703</c:v>
                </c:pt>
                <c:pt idx="897">
                  <c:v>98.94512795590876</c:v>
                </c:pt>
                <c:pt idx="898">
                  <c:v>98.814606550086538</c:v>
                </c:pt>
                <c:pt idx="899">
                  <c:v>98.684257318859721</c:v>
                </c:pt>
                <c:pt idx="900">
                  <c:v>98.554080035107859</c:v>
                </c:pt>
                <c:pt idx="901">
                  <c:v>98.424074472009963</c:v>
                </c:pt>
                <c:pt idx="902">
                  <c:v>98.294240403044356</c:v>
                </c:pt>
                <c:pt idx="903">
                  <c:v>98.164577601988057</c:v>
                </c:pt>
                <c:pt idx="904">
                  <c:v>98.035085842916629</c:v>
                </c:pt>
                <c:pt idx="905">
                  <c:v>97.90576490020355</c:v>
                </c:pt>
                <c:pt idx="906">
                  <c:v>97.776614548520016</c:v>
                </c:pt>
                <c:pt idx="907">
                  <c:v>97.647634562834426</c:v>
                </c:pt>
                <c:pt idx="908">
                  <c:v>97.518824718411977</c:v>
                </c:pt>
                <c:pt idx="909">
                  <c:v>97.39018479081443</c:v>
                </c:pt>
                <c:pt idx="910">
                  <c:v>97.261714555899459</c:v>
                </c:pt>
                <c:pt idx="911">
                  <c:v>97.133413789820565</c:v>
                </c:pt>
                <c:pt idx="912">
                  <c:v>97.005282269026409</c:v>
                </c:pt>
                <c:pt idx="913">
                  <c:v>96.877319770260655</c:v>
                </c:pt>
                <c:pt idx="914">
                  <c:v>96.749526070561345</c:v>
                </c:pt>
                <c:pt idx="915">
                  <c:v>96.621900947260769</c:v>
                </c:pt>
                <c:pt idx="916">
                  <c:v>96.494444177984803</c:v>
                </c:pt>
                <c:pt idx="917">
                  <c:v>96.367155540652846</c:v>
                </c:pt>
                <c:pt idx="918">
                  <c:v>96.240034813477024</c:v>
                </c:pt>
                <c:pt idx="919">
                  <c:v>96.113081774962254</c:v>
                </c:pt>
                <c:pt idx="920">
                  <c:v>95.986296203905439</c:v>
                </c:pt>
                <c:pt idx="921">
                  <c:v>95.859677879395477</c:v>
                </c:pt>
                <c:pt idx="922">
                  <c:v>95.733226580812442</c:v>
                </c:pt>
                <c:pt idx="923">
                  <c:v>95.606942087827676</c:v>
                </c:pt>
                <c:pt idx="924">
                  <c:v>95.480824180402934</c:v>
                </c:pt>
                <c:pt idx="925">
                  <c:v>95.354872638790411</c:v>
                </c:pt>
                <c:pt idx="926">
                  <c:v>95.229087243532149</c:v>
                </c:pt>
                <c:pt idx="927">
                  <c:v>95.103467775459535</c:v>
                </c:pt>
                <c:pt idx="928">
                  <c:v>94.978014015693276</c:v>
                </c:pt>
                <c:pt idx="929">
                  <c:v>94.85272574564263</c:v>
                </c:pt>
                <c:pt idx="930">
                  <c:v>94.727602747005378</c:v>
                </c:pt>
                <c:pt idx="931">
                  <c:v>94.602644801767042</c:v>
                </c:pt>
                <c:pt idx="932">
                  <c:v>94.477851692201014</c:v>
                </c:pt>
                <c:pt idx="933">
                  <c:v>94.353223200867617</c:v>
                </c:pt>
                <c:pt idx="934">
                  <c:v>94.228759110614249</c:v>
                </c:pt>
                <c:pt idx="935">
                  <c:v>94.104459204574553</c:v>
                </c:pt>
                <c:pt idx="936">
                  <c:v>93.980323266168426</c:v>
                </c:pt>
                <c:pt idx="937">
                  <c:v>93.856351079101287</c:v>
                </c:pt>
                <c:pt idx="938">
                  <c:v>93.732542427364052</c:v>
                </c:pt>
                <c:pt idx="939">
                  <c:v>93.608897095232422</c:v>
                </c:pt>
                <c:pt idx="940">
                  <c:v>93.485414867266812</c:v>
                </c:pt>
                <c:pt idx="941">
                  <c:v>93.362095528311684</c:v>
                </c:pt>
                <c:pt idx="942">
                  <c:v>93.238938863495463</c:v>
                </c:pt>
                <c:pt idx="943">
                  <c:v>93.11594465822985</c:v>
                </c:pt>
                <c:pt idx="944">
                  <c:v>92.993112698209785</c:v>
                </c:pt>
                <c:pt idx="945">
                  <c:v>92.870442769412861</c:v>
                </c:pt>
                <c:pt idx="946">
                  <c:v>92.747934658098842</c:v>
                </c:pt>
                <c:pt idx="947">
                  <c:v>92.625588150809705</c:v>
                </c:pt>
                <c:pt idx="948">
                  <c:v>92.503403034368745</c:v>
                </c:pt>
                <c:pt idx="949">
                  <c:v>92.381379095880675</c:v>
                </c:pt>
                <c:pt idx="950">
                  <c:v>92.259516122730872</c:v>
                </c:pt>
                <c:pt idx="951">
                  <c:v>92.13781390258535</c:v>
                </c:pt>
                <c:pt idx="952">
                  <c:v>92.016272223390047</c:v>
                </c:pt>
                <c:pt idx="953">
                  <c:v>91.894890873370784</c:v>
                </c:pt>
                <c:pt idx="954">
                  <c:v>91.773669641032569</c:v>
                </c:pt>
                <c:pt idx="955">
                  <c:v>91.652608315159611</c:v>
                </c:pt>
                <c:pt idx="956">
                  <c:v>91.531706684814523</c:v>
                </c:pt>
                <c:pt idx="957">
                  <c:v>91.410964539338366</c:v>
                </c:pt>
                <c:pt idx="958">
                  <c:v>91.290381668349895</c:v>
                </c:pt>
                <c:pt idx="959">
                  <c:v>91.169957861745601</c:v>
                </c:pt>
                <c:pt idx="960">
                  <c:v>91.049692909698891</c:v>
                </c:pt>
                <c:pt idx="961">
                  <c:v>90.929586602660152</c:v>
                </c:pt>
                <c:pt idx="962">
                  <c:v>90.809638731356145</c:v>
                </c:pt>
                <c:pt idx="963">
                  <c:v>90.689849086789621</c:v>
                </c:pt>
                <c:pt idx="964">
                  <c:v>90.570217460239107</c:v>
                </c:pt>
                <c:pt idx="965">
                  <c:v>90.450743643258377</c:v>
                </c:pt>
                <c:pt idx="966">
                  <c:v>90.331427427676303</c:v>
                </c:pt>
                <c:pt idx="967">
                  <c:v>90.212268605596179</c:v>
                </c:pt>
                <c:pt idx="968">
                  <c:v>90.093266969395742</c:v>
                </c:pt>
                <c:pt idx="969">
                  <c:v>89.974422311726428</c:v>
                </c:pt>
                <c:pt idx="970">
                  <c:v>89.855734425513347</c:v>
                </c:pt>
                <c:pt idx="971">
                  <c:v>89.737203103954641</c:v>
                </c:pt>
                <c:pt idx="972">
                  <c:v>89.61882814052133</c:v>
                </c:pt>
                <c:pt idx="973">
                  <c:v>89.500609328956841</c:v>
                </c:pt>
                <c:pt idx="974">
                  <c:v>89.382546463276725</c:v>
                </c:pt>
                <c:pt idx="975">
                  <c:v>89.264639337768116</c:v>
                </c:pt>
                <c:pt idx="976">
                  <c:v>89.146887746989734</c:v>
                </c:pt>
                <c:pt idx="977">
                  <c:v>89.029291485771068</c:v>
                </c:pt>
                <c:pt idx="978">
                  <c:v>88.911850349212443</c:v>
                </c:pt>
                <c:pt idx="979">
                  <c:v>88.794564132684343</c:v>
                </c:pt>
                <c:pt idx="980">
                  <c:v>88.677432631827244</c:v>
                </c:pt>
                <c:pt idx="981">
                  <c:v>88.560455642551233</c:v>
                </c:pt>
                <c:pt idx="982">
                  <c:v>88.44363296103549</c:v>
                </c:pt>
                <c:pt idx="983">
                  <c:v>88.326964383728239</c:v>
                </c:pt>
                <c:pt idx="984">
                  <c:v>88.210449707346044</c:v>
                </c:pt>
                <c:pt idx="985">
                  <c:v>88.094088728873771</c:v>
                </c:pt>
                <c:pt idx="986">
                  <c:v>87.97788124556395</c:v>
                </c:pt>
                <c:pt idx="987">
                  <c:v>87.861827054936711</c:v>
                </c:pt>
                <c:pt idx="988">
                  <c:v>87.745925954779111</c:v>
                </c:pt>
                <c:pt idx="989">
                  <c:v>87.630177743145154</c:v>
                </c:pt>
                <c:pt idx="990">
                  <c:v>87.514582218355002</c:v>
                </c:pt>
                <c:pt idx="991">
                  <c:v>87.3991391789951</c:v>
                </c:pt>
                <c:pt idx="992">
                  <c:v>87.283848423917391</c:v>
                </c:pt>
                <c:pt idx="993">
                  <c:v>87.16870975223928</c:v>
                </c:pt>
                <c:pt idx="994">
                  <c:v>87.053722963343048</c:v>
                </c:pt>
                <c:pt idx="995">
                  <c:v>86.938887856875795</c:v>
                </c:pt>
                <c:pt idx="996">
                  <c:v>86.824204232748684</c:v>
                </c:pt>
                <c:pt idx="997">
                  <c:v>86.709671891137035</c:v>
                </c:pt>
                <c:pt idx="998">
                  <c:v>86.595290632479589</c:v>
                </c:pt>
                <c:pt idx="999">
                  <c:v>86.481060257478447</c:v>
                </c:pt>
                <c:pt idx="1000">
                  <c:v>86.366980567098608</c:v>
                </c:pt>
                <c:pt idx="1001">
                  <c:v>86.253051362567533</c:v>
                </c:pt>
                <c:pt idx="1002">
                  <c:v>86.139272445375013</c:v>
                </c:pt>
                <c:pt idx="1003">
                  <c:v>86.025643617272564</c:v>
                </c:pt>
                <c:pt idx="1004">
                  <c:v>85.912164680273335</c:v>
                </c:pt>
                <c:pt idx="1005">
                  <c:v>85.798835436651558</c:v>
                </c:pt>
                <c:pt idx="1006">
                  <c:v>85.68565568894239</c:v>
                </c:pt>
                <c:pt idx="1007">
                  <c:v>85.572625239941317</c:v>
                </c:pt>
                <c:pt idx="1008">
                  <c:v>85.459743892704154</c:v>
                </c:pt>
                <c:pt idx="1009">
                  <c:v>85.347011450546347</c:v>
                </c:pt>
                <c:pt idx="1010">
                  <c:v>85.234427717042919</c:v>
                </c:pt>
                <c:pt idx="1011">
                  <c:v>85.121992496027858</c:v>
                </c:pt>
                <c:pt idx="1012">
                  <c:v>85.009705591594113</c:v>
                </c:pt>
                <c:pt idx="1013">
                  <c:v>84.897566808092861</c:v>
                </c:pt>
                <c:pt idx="1014">
                  <c:v>84.78557595013352</c:v>
                </c:pt>
                <c:pt idx="1015">
                  <c:v>84.673732822583133</c:v>
                </c:pt>
                <c:pt idx="1016">
                  <c:v>84.562037230566233</c:v>
                </c:pt>
                <c:pt idx="1017">
                  <c:v>84.450488979464438</c:v>
                </c:pt>
                <c:pt idx="1018">
                  <c:v>84.339087874915975</c:v>
                </c:pt>
                <c:pt idx="1019">
                  <c:v>84.227833722815589</c:v>
                </c:pt>
                <c:pt idx="1020">
                  <c:v>84.116726329313963</c:v>
                </c:pt>
                <c:pt idx="1021">
                  <c:v>84.005765500817603</c:v>
                </c:pt>
                <c:pt idx="1022">
                  <c:v>83.894951043988272</c:v>
                </c:pt>
                <c:pt idx="1023">
                  <c:v>83.784282765742901</c:v>
                </c:pt>
                <c:pt idx="1024">
                  <c:v>83.673760473252983</c:v>
                </c:pt>
                <c:pt idx="1025">
                  <c:v>83.563383973944525</c:v>
                </c:pt>
                <c:pt idx="1026">
                  <c:v>83.453153075497397</c:v>
                </c:pt>
                <c:pt idx="1027">
                  <c:v>83.343067585845347</c:v>
                </c:pt>
                <c:pt idx="1028">
                  <c:v>83.233127313175302</c:v>
                </c:pt>
                <c:pt idx="1029">
                  <c:v>83.123332065927372</c:v>
                </c:pt>
                <c:pt idx="1030">
                  <c:v>83.013681652794247</c:v>
                </c:pt>
                <c:pt idx="1031">
                  <c:v>82.904175882721063</c:v>
                </c:pt>
                <c:pt idx="1032">
                  <c:v>82.794814564904883</c:v>
                </c:pt>
                <c:pt idx="1033">
                  <c:v>82.685597508794572</c:v>
                </c:pt>
                <c:pt idx="1034">
                  <c:v>82.576524524090246</c:v>
                </c:pt>
                <c:pt idx="1035">
                  <c:v>82.467595420743152</c:v>
                </c:pt>
                <c:pt idx="1036">
                  <c:v>82.358810008955203</c:v>
                </c:pt>
                <c:pt idx="1037">
                  <c:v>82.250168099178623</c:v>
                </c:pt>
                <c:pt idx="1038">
                  <c:v>82.141669502115789</c:v>
                </c:pt>
                <c:pt idx="1039">
                  <c:v>82.033314028718621</c:v>
                </c:pt>
                <c:pt idx="1040">
                  <c:v>81.925101490188624</c:v>
                </c:pt>
                <c:pt idx="1041">
                  <c:v>81.817031697976162</c:v>
                </c:pt>
                <c:pt idx="1042">
                  <c:v>81.709104463780449</c:v>
                </c:pt>
                <c:pt idx="1043">
                  <c:v>81.601319599549001</c:v>
                </c:pt>
                <c:pt idx="1044">
                  <c:v>81.493676917477487</c:v>
                </c:pt>
                <c:pt idx="1045">
                  <c:v>81.386176230009227</c:v>
                </c:pt>
                <c:pt idx="1046">
                  <c:v>81.27881734983508</c:v>
                </c:pt>
                <c:pt idx="1047">
                  <c:v>81.171600089892777</c:v>
                </c:pt>
                <c:pt idx="1048">
                  <c:v>81.064524263367048</c:v>
                </c:pt>
                <c:pt idx="1049">
                  <c:v>80.95758968368888</c:v>
                </c:pt>
                <c:pt idx="1050">
                  <c:v>80.850796164535495</c:v>
                </c:pt>
                <c:pt idx="1051">
                  <c:v>80.744143519829763</c:v>
                </c:pt>
                <c:pt idx="1052">
                  <c:v>80.637631563740158</c:v>
                </c:pt>
                <c:pt idx="1053">
                  <c:v>80.531260110680151</c:v>
                </c:pt>
                <c:pt idx="1054">
                  <c:v>80.425028975308138</c:v>
                </c:pt>
                <c:pt idx="1055">
                  <c:v>80.31893797252701</c:v>
                </c:pt>
                <c:pt idx="1056">
                  <c:v>80.212986917483676</c:v>
                </c:pt>
                <c:pt idx="1057">
                  <c:v>80.107175625569084</c:v>
                </c:pt>
                <c:pt idx="1058">
                  <c:v>80.001503912417519</c:v>
                </c:pt>
                <c:pt idx="1059">
                  <c:v>79.895971593906651</c:v>
                </c:pt>
                <c:pt idx="1060">
                  <c:v>79.790578486156875</c:v>
                </c:pt>
                <c:pt idx="1061">
                  <c:v>79.685324405531276</c:v>
                </c:pt>
                <c:pt idx="1062">
                  <c:v>79.580209168635037</c:v>
                </c:pt>
                <c:pt idx="1063">
                  <c:v>79.475232592315436</c:v>
                </c:pt>
                <c:pt idx="1064">
                  <c:v>79.370394493661166</c:v>
                </c:pt>
                <c:pt idx="1065">
                  <c:v>79.265694690002363</c:v>
                </c:pt>
                <c:pt idx="1066">
                  <c:v>79.161132998910034</c:v>
                </c:pt>
                <c:pt idx="1067">
                  <c:v>79.056709238195893</c:v>
                </c:pt>
                <c:pt idx="1068">
                  <c:v>78.952423225911886</c:v>
                </c:pt>
                <c:pt idx="1069">
                  <c:v>78.848274780350138</c:v>
                </c:pt>
                <c:pt idx="1070">
                  <c:v>78.744263720042269</c:v>
                </c:pt>
                <c:pt idx="1071">
                  <c:v>78.640389863759424</c:v>
                </c:pt>
                <c:pt idx="1072">
                  <c:v>78.5366530305118</c:v>
                </c:pt>
                <c:pt idx="1073">
                  <c:v>78.43305303954827</c:v>
                </c:pt>
                <c:pt idx="1074">
                  <c:v>78.329589710356217</c:v>
                </c:pt>
                <c:pt idx="1075">
                  <c:v>78.226262862661073</c:v>
                </c:pt>
                <c:pt idx="1076">
                  <c:v>78.12307231642616</c:v>
                </c:pt>
                <c:pt idx="1077">
                  <c:v>78.020017891852177</c:v>
                </c:pt>
                <c:pt idx="1078">
                  <c:v>77.917099409377158</c:v>
                </c:pt>
                <c:pt idx="1079">
                  <c:v>77.814316689675806</c:v>
                </c:pt>
                <c:pt idx="1080">
                  <c:v>77.71166955365959</c:v>
                </c:pt>
                <c:pt idx="1081">
                  <c:v>77.609157822476035</c:v>
                </c:pt>
                <c:pt idx="1082">
                  <c:v>77.506781317508725</c:v>
                </c:pt>
                <c:pt idx="1083">
                  <c:v>77.404539860376772</c:v>
                </c:pt>
                <c:pt idx="1084">
                  <c:v>77.302433272934664</c:v>
                </c:pt>
                <c:pt idx="1085">
                  <c:v>77.200461377271836</c:v>
                </c:pt>
                <c:pt idx="1086">
                  <c:v>77.098623995712472</c:v>
                </c:pt>
                <c:pt idx="1087">
                  <c:v>76.996920950815039</c:v>
                </c:pt>
                <c:pt idx="1088">
                  <c:v>76.89535206537218</c:v>
                </c:pt>
                <c:pt idx="1089">
                  <c:v>76.793917162410168</c:v>
                </c:pt>
                <c:pt idx="1090">
                  <c:v>76.692616065188858</c:v>
                </c:pt>
                <c:pt idx="1091">
                  <c:v>76.591448597201207</c:v>
                </c:pt>
                <c:pt idx="1092">
                  <c:v>76.490414582172946</c:v>
                </c:pt>
                <c:pt idx="1093">
                  <c:v>76.389513844062435</c:v>
                </c:pt>
                <c:pt idx="1094">
                  <c:v>76.288746207060143</c:v>
                </c:pt>
                <c:pt idx="1095">
                  <c:v>76.188111495588572</c:v>
                </c:pt>
                <c:pt idx="1096">
                  <c:v>76.087609534301706</c:v>
                </c:pt>
                <c:pt idx="1097">
                  <c:v>75.987240148084979</c:v>
                </c:pt>
                <c:pt idx="1098">
                  <c:v>75.887003162054683</c:v>
                </c:pt>
                <c:pt idx="1099">
                  <c:v>75.786898401557934</c:v>
                </c:pt>
                <c:pt idx="1100">
                  <c:v>75.686925692172082</c:v>
                </c:pt>
                <c:pt idx="1101">
                  <c:v>75.58708485970476</c:v>
                </c:pt>
                <c:pt idx="1102">
                  <c:v>75.487375730193179</c:v>
                </c:pt>
                <c:pt idx="1103">
                  <c:v>75.387798129904198</c:v>
                </c:pt>
                <c:pt idx="1104">
                  <c:v>75.288351885333711</c:v>
                </c:pt>
                <c:pt idx="1105">
                  <c:v>75.189036823206649</c:v>
                </c:pt>
                <c:pt idx="1106">
                  <c:v>75.089852770476313</c:v>
                </c:pt>
                <c:pt idx="1107">
                  <c:v>74.990799554324454</c:v>
                </c:pt>
                <c:pt idx="1108">
                  <c:v>74.891877002160754</c:v>
                </c:pt>
                <c:pt idx="1109">
                  <c:v>74.793084941622439</c:v>
                </c:pt>
                <c:pt idx="1110">
                  <c:v>74.694423200574306</c:v>
                </c:pt>
                <c:pt idx="1111">
                  <c:v>74.595891607108001</c:v>
                </c:pt>
                <c:pt idx="1112">
                  <c:v>74.497489989542146</c:v>
                </c:pt>
                <c:pt idx="1113">
                  <c:v>74.399218176421655</c:v>
                </c:pt>
                <c:pt idx="1114">
                  <c:v>74.301075996517781</c:v>
                </c:pt>
                <c:pt idx="1115">
                  <c:v>74.203063278827486</c:v>
                </c:pt>
                <c:pt idx="1116">
                  <c:v>74.105179852573457</c:v>
                </c:pt>
                <c:pt idx="1117">
                  <c:v>74.007425547203511</c:v>
                </c:pt>
                <c:pt idx="1118">
                  <c:v>73.909800192390605</c:v>
                </c:pt>
                <c:pt idx="1119">
                  <c:v>73.812303618032203</c:v>
                </c:pt>
                <c:pt idx="1120">
                  <c:v>73.71493565425034</c:v>
                </c:pt>
                <c:pt idx="1121">
                  <c:v>73.617696131390986</c:v>
                </c:pt>
                <c:pt idx="1122">
                  <c:v>73.520584880024018</c:v>
                </c:pt>
                <c:pt idx="1123">
                  <c:v>73.423601730942721</c:v>
                </c:pt>
                <c:pt idx="1124">
                  <c:v>73.326746515163677</c:v>
                </c:pt>
                <c:pt idx="1125">
                  <c:v>73.230019063926278</c:v>
                </c:pt>
                <c:pt idx="1126">
                  <c:v>73.133419208692644</c:v>
                </c:pt>
                <c:pt idx="1127">
                  <c:v>73.036946781147165</c:v>
                </c:pt>
                <c:pt idx="1128">
                  <c:v>72.940601613196193</c:v>
                </c:pt>
                <c:pt idx="1129">
                  <c:v>72.844383536967982</c:v>
                </c:pt>
                <c:pt idx="1130">
                  <c:v>72.748292384812018</c:v>
                </c:pt>
                <c:pt idx="1131">
                  <c:v>72.652327989299138</c:v>
                </c:pt>
                <c:pt idx="1132">
                  <c:v>72.556490183220916</c:v>
                </c:pt>
                <c:pt idx="1133">
                  <c:v>72.460778799589562</c:v>
                </c:pt>
                <c:pt idx="1134">
                  <c:v>72.365193671637499</c:v>
                </c:pt>
                <c:pt idx="1135">
                  <c:v>72.269734632817233</c:v>
                </c:pt>
                <c:pt idx="1136">
                  <c:v>72.174401516800842</c:v>
                </c:pt>
                <c:pt idx="1137">
                  <c:v>72.079194157479932</c:v>
                </c:pt>
                <c:pt idx="1138">
                  <c:v>71.984112388965158</c:v>
                </c:pt>
                <c:pt idx="1139">
                  <c:v>71.88915604558602</c:v>
                </c:pt>
                <c:pt idx="1140">
                  <c:v>71.794324961890553</c:v>
                </c:pt>
                <c:pt idx="1141">
                  <c:v>71.699618972645084</c:v>
                </c:pt>
                <c:pt idx="1142">
                  <c:v>71.605037912833808</c:v>
                </c:pt>
                <c:pt idx="1143">
                  <c:v>71.510581617658758</c:v>
                </c:pt>
                <c:pt idx="1144">
                  <c:v>71.41624992253918</c:v>
                </c:pt>
                <c:pt idx="1145">
                  <c:v>71.322042663111517</c:v>
                </c:pt>
                <c:pt idx="1146">
                  <c:v>71.227959675229087</c:v>
                </c:pt>
                <c:pt idx="1147">
                  <c:v>71.13400079496158</c:v>
                </c:pt>
                <c:pt idx="1148">
                  <c:v>71.040165858595074</c:v>
                </c:pt>
                <c:pt idx="1149">
                  <c:v>70.946454702631513</c:v>
                </c:pt>
                <c:pt idx="1150">
                  <c:v>70.852867163788602</c:v>
                </c:pt>
                <c:pt idx="1151">
                  <c:v>70.759403078999327</c:v>
                </c:pt>
                <c:pt idx="1152">
                  <c:v>70.666062285411911</c:v>
                </c:pt>
                <c:pt idx="1153">
                  <c:v>70.57284462038929</c:v>
                </c:pt>
                <c:pt idx="1154">
                  <c:v>70.479749921508997</c:v>
                </c:pt>
                <c:pt idx="1155">
                  <c:v>70.386778026562766</c:v>
                </c:pt>
                <c:pt idx="1156">
                  <c:v>70.293928773556416</c:v>
                </c:pt>
                <c:pt idx="1157">
                  <c:v>70.201202000709316</c:v>
                </c:pt>
                <c:pt idx="1158">
                  <c:v>70.108597546454362</c:v>
                </c:pt>
                <c:pt idx="1159">
                  <c:v>70.01611524943749</c:v>
                </c:pt>
                <c:pt idx="1160">
                  <c:v>69.923754948517583</c:v>
                </c:pt>
                <c:pt idx="1161">
                  <c:v>69.831516482765934</c:v>
                </c:pt>
                <c:pt idx="1162">
                  <c:v>69.739399691466289</c:v>
                </c:pt>
                <c:pt idx="1163">
                  <c:v>69.647404414114348</c:v>
                </c:pt>
                <c:pt idx="1164">
                  <c:v>69.555530490417425</c:v>
                </c:pt>
                <c:pt idx="1165">
                  <c:v>69.463777760294462</c:v>
                </c:pt>
                <c:pt idx="1166">
                  <c:v>69.372146063875419</c:v>
                </c:pt>
                <c:pt idx="1167">
                  <c:v>69.280635241501258</c:v>
                </c:pt>
                <c:pt idx="1168">
                  <c:v>69.189245133723432</c:v>
                </c:pt>
                <c:pt idx="1169">
                  <c:v>69.097975581303871</c:v>
                </c:pt>
                <c:pt idx="1170">
                  <c:v>69.006826425214427</c:v>
                </c:pt>
                <c:pt idx="1171">
                  <c:v>68.915797506636821</c:v>
                </c:pt>
                <c:pt idx="1172">
                  <c:v>68.824888666962195</c:v>
                </c:pt>
                <c:pt idx="1173">
                  <c:v>68.734099747791021</c:v>
                </c:pt>
                <c:pt idx="1174">
                  <c:v>68.643430590932596</c:v>
                </c:pt>
                <c:pt idx="1175">
                  <c:v>68.552881038405062</c:v>
                </c:pt>
                <c:pt idx="1176">
                  <c:v>68.462450932434734</c:v>
                </c:pt>
                <c:pt idx="1177">
                  <c:v>68.372140115456276</c:v>
                </c:pt>
                <c:pt idx="1178">
                  <c:v>68.281948430112024</c:v>
                </c:pt>
                <c:pt idx="1179">
                  <c:v>68.19187571925201</c:v>
                </c:pt>
                <c:pt idx="1180">
                  <c:v>68.101921825933488</c:v>
                </c:pt>
                <c:pt idx="1181">
                  <c:v>68.012086593420761</c:v>
                </c:pt>
                <c:pt idx="1182">
                  <c:v>67.922369865184962</c:v>
                </c:pt>
                <c:pt idx="1183">
                  <c:v>67.832771484903589</c:v>
                </c:pt>
                <c:pt idx="1184">
                  <c:v>67.743291296460413</c:v>
                </c:pt>
                <c:pt idx="1185">
                  <c:v>67.65392914394512</c:v>
                </c:pt>
                <c:pt idx="1186">
                  <c:v>67.564684871653114</c:v>
                </c:pt>
                <c:pt idx="1187">
                  <c:v>67.475558324085085</c:v>
                </c:pt>
                <c:pt idx="1188">
                  <c:v>67.386549345946989</c:v>
                </c:pt>
                <c:pt idx="1189">
                  <c:v>67.297657782149471</c:v>
                </c:pt>
                <c:pt idx="1190">
                  <c:v>67.208883477807944</c:v>
                </c:pt>
                <c:pt idx="1191">
                  <c:v>67.120226278241972</c:v>
                </c:pt>
                <c:pt idx="1192">
                  <c:v>67.031686028975273</c:v>
                </c:pt>
                <c:pt idx="1193">
                  <c:v>66.943262575735218</c:v>
                </c:pt>
                <c:pt idx="1194">
                  <c:v>66.854955764452868</c:v>
                </c:pt>
                <c:pt idx="1195">
                  <c:v>66.766765441262308</c:v>
                </c:pt>
                <c:pt idx="1196">
                  <c:v>66.678691452500786</c:v>
                </c:pt>
                <c:pt idx="1197">
                  <c:v>66.590733644708081</c:v>
                </c:pt>
                <c:pt idx="1198">
                  <c:v>66.502891864626577</c:v>
                </c:pt>
                <c:pt idx="1199">
                  <c:v>66.415165959200635</c:v>
                </c:pt>
                <c:pt idx="1200">
                  <c:v>66.32755577557667</c:v>
                </c:pt>
                <c:pt idx="1201">
                  <c:v>66.240061161102687</c:v>
                </c:pt>
                <c:pt idx="1202">
                  <c:v>66.152681963328007</c:v>
                </c:pt>
                <c:pt idx="1203">
                  <c:v>66.065418030003158</c:v>
                </c:pt>
                <c:pt idx="1204">
                  <c:v>65.978269209079357</c:v>
                </c:pt>
                <c:pt idx="1205">
                  <c:v>65.891235348708534</c:v>
                </c:pt>
                <c:pt idx="1206">
                  <c:v>65.804316297242849</c:v>
                </c:pt>
                <c:pt idx="1207">
                  <c:v>65.717511903234552</c:v>
                </c:pt>
                <c:pt idx="1208">
                  <c:v>65.630822015435584</c:v>
                </c:pt>
                <c:pt idx="1209">
                  <c:v>65.544246482797533</c:v>
                </c:pt>
                <c:pt idx="1210">
                  <c:v>65.457785154471097</c:v>
                </c:pt>
                <c:pt idx="1211">
                  <c:v>65.371437879806123</c:v>
                </c:pt>
                <c:pt idx="1212">
                  <c:v>65.285204508351001</c:v>
                </c:pt>
                <c:pt idx="1213">
                  <c:v>65.19908488985277</c:v>
                </c:pt>
                <c:pt idx="1214">
                  <c:v>65.113078874256516</c:v>
                </c:pt>
                <c:pt idx="1215">
                  <c:v>65.027186311705393</c:v>
                </c:pt>
                <c:pt idx="1216">
                  <c:v>64.941407052540143</c:v>
                </c:pt>
                <c:pt idx="1217">
                  <c:v>64.855740947298955</c:v>
                </c:pt>
                <c:pt idx="1218">
                  <c:v>64.770187846717221</c:v>
                </c:pt>
                <c:pt idx="1219">
                  <c:v>64.684747601727153</c:v>
                </c:pt>
                <c:pt idx="1220">
                  <c:v>64.5994200634577</c:v>
                </c:pt>
                <c:pt idx="1221">
                  <c:v>64.514205083234089</c:v>
                </c:pt>
                <c:pt idx="1222">
                  <c:v>64.429102512577771</c:v>
                </c:pt>
                <c:pt idx="1223">
                  <c:v>64.344112203205924</c:v>
                </c:pt>
                <c:pt idx="1224">
                  <c:v>64.259234007031495</c:v>
                </c:pt>
                <c:pt idx="1225">
                  <c:v>64.174467776162629</c:v>
                </c:pt>
                <c:pt idx="1226">
                  <c:v>64.089813362902674</c:v>
                </c:pt>
                <c:pt idx="1227">
                  <c:v>64.005270619749737</c:v>
                </c:pt>
                <c:pt idx="1228">
                  <c:v>63.920839399396513</c:v>
                </c:pt>
                <c:pt idx="1229">
                  <c:v>63.836519554730032</c:v>
                </c:pt>
                <c:pt idx="1230">
                  <c:v>63.752310938831386</c:v>
                </c:pt>
                <c:pt idx="1231">
                  <c:v>63.668213404975418</c:v>
                </c:pt>
                <c:pt idx="1232">
                  <c:v>63.584226806630632</c:v>
                </c:pt>
                <c:pt idx="1233">
                  <c:v>63.500350997458675</c:v>
                </c:pt>
                <c:pt idx="1234">
                  <c:v>63.416585831314407</c:v>
                </c:pt>
                <c:pt idx="1235">
                  <c:v>63.332931162245302</c:v>
                </c:pt>
                <c:pt idx="1236">
                  <c:v>63.249386844491468</c:v>
                </c:pt>
                <c:pt idx="1237">
                  <c:v>63.165952732485316</c:v>
                </c:pt>
                <c:pt idx="1238">
                  <c:v>63.082628680851151</c:v>
                </c:pt>
                <c:pt idx="1239">
                  <c:v>62.999414544405191</c:v>
                </c:pt>
                <c:pt idx="1240">
                  <c:v>62.916310178155044</c:v>
                </c:pt>
                <c:pt idx="1241">
                  <c:v>62.833315437299689</c:v>
                </c:pt>
                <c:pt idx="1242">
                  <c:v>62.750430177229028</c:v>
                </c:pt>
                <c:pt idx="1243">
                  <c:v>62.667654253523814</c:v>
                </c:pt>
                <c:pt idx="1244">
                  <c:v>62.584987521955192</c:v>
                </c:pt>
                <c:pt idx="1245">
                  <c:v>62.502429838484694</c:v>
                </c:pt>
                <c:pt idx="1246">
                  <c:v>62.419981059263726</c:v>
                </c:pt>
                <c:pt idx="1247">
                  <c:v>62.337641040633578</c:v>
                </c:pt>
                <c:pt idx="1248">
                  <c:v>62.255409639124927</c:v>
                </c:pt>
                <c:pt idx="1249">
                  <c:v>62.173286711457799</c:v>
                </c:pt>
                <c:pt idx="1250">
                  <c:v>62.091272114541148</c:v>
                </c:pt>
                <c:pt idx="1251">
                  <c:v>62.009365705472767</c:v>
                </c:pt>
                <c:pt idx="1252">
                  <c:v>61.927567341538847</c:v>
                </c:pt>
                <c:pt idx="1253">
                  <c:v>61.845876880213957</c:v>
                </c:pt>
                <c:pt idx="1254">
                  <c:v>61.764294179160565</c:v>
                </c:pt>
                <c:pt idx="1255">
                  <c:v>61.682819096228975</c:v>
                </c:pt>
                <c:pt idx="1256">
                  <c:v>61.601451489457013</c:v>
                </c:pt>
                <c:pt idx="1257">
                  <c:v>61.520191217069687</c:v>
                </c:pt>
                <c:pt idx="1258">
                  <c:v>61.439038137479123</c:v>
                </c:pt>
                <c:pt idx="1259">
                  <c:v>61.357992109284133</c:v>
                </c:pt>
                <c:pt idx="1260">
                  <c:v>61.277052991270139</c:v>
                </c:pt>
                <c:pt idx="1261">
                  <c:v>61.196220642408754</c:v>
                </c:pt>
                <c:pt idx="1262">
                  <c:v>61.115494921857724</c:v>
                </c:pt>
                <c:pt idx="1263">
                  <c:v>61.03487568896049</c:v>
                </c:pt>
                <c:pt idx="1264">
                  <c:v>60.954362803246113</c:v>
                </c:pt>
                <c:pt idx="1265">
                  <c:v>60.873956124428886</c:v>
                </c:pt>
                <c:pt idx="1266">
                  <c:v>60.793655512408236</c:v>
                </c:pt>
                <c:pt idx="1267">
                  <c:v>60.713460827268307</c:v>
                </c:pt>
                <c:pt idx="1268">
                  <c:v>60.633371929277907</c:v>
                </c:pt>
                <c:pt idx="1269">
                  <c:v>60.553388678890073</c:v>
                </c:pt>
                <c:pt idx="1270">
                  <c:v>60.473510936742016</c:v>
                </c:pt>
                <c:pt idx="1271">
                  <c:v>60.393738563654694</c:v>
                </c:pt>
                <c:pt idx="1272">
                  <c:v>60.314071420632715</c:v>
                </c:pt>
                <c:pt idx="1273">
                  <c:v>60.234509368864067</c:v>
                </c:pt>
                <c:pt idx="1274">
                  <c:v>60.155052269719761</c:v>
                </c:pt>
                <c:pt idx="1275">
                  <c:v>60.075699984753783</c:v>
                </c:pt>
                <c:pt idx="1276">
                  <c:v>59.996452375702617</c:v>
                </c:pt>
                <c:pt idx="1277">
                  <c:v>59.917309304485279</c:v>
                </c:pt>
                <c:pt idx="1278">
                  <c:v>59.838270633202804</c:v>
                </c:pt>
                <c:pt idx="1279">
                  <c:v>59.759336224138252</c:v>
                </c:pt>
                <c:pt idx="1280">
                  <c:v>59.68050593975623</c:v>
                </c:pt>
                <c:pt idx="1281">
                  <c:v>59.601779642702873</c:v>
                </c:pt>
                <c:pt idx="1282">
                  <c:v>59.523157195805425</c:v>
                </c:pt>
                <c:pt idx="1283">
                  <c:v>59.444638462072163</c:v>
                </c:pt>
                <c:pt idx="1284">
                  <c:v>59.366223304691971</c:v>
                </c:pt>
                <c:pt idx="1285">
                  <c:v>59.287911587034301</c:v>
                </c:pt>
                <c:pt idx="1286">
                  <c:v>59.209703172648759</c:v>
                </c:pt>
                <c:pt idx="1287">
                  <c:v>59.131597925265034</c:v>
                </c:pt>
                <c:pt idx="1288">
                  <c:v>59.053595708792464</c:v>
                </c:pt>
                <c:pt idx="1289">
                  <c:v>58.975696387320021</c:v>
                </c:pt>
                <c:pt idx="1290">
                  <c:v>58.897899825115864</c:v>
                </c:pt>
                <c:pt idx="1291">
                  <c:v>58.820205886627257</c:v>
                </c:pt>
                <c:pt idx="1292">
                  <c:v>58.742614436480302</c:v>
                </c:pt>
                <c:pt idx="1293">
                  <c:v>58.665125339479573</c:v>
                </c:pt>
                <c:pt idx="1294">
                  <c:v>58.587738460608101</c:v>
                </c:pt>
                <c:pt idx="1295">
                  <c:v>58.510453665026922</c:v>
                </c:pt>
                <c:pt idx="1296">
                  <c:v>58.433270818075037</c:v>
                </c:pt>
                <c:pt idx="1297">
                  <c:v>58.356189785268988</c:v>
                </c:pt>
                <c:pt idx="1298">
                  <c:v>58.279210432302797</c:v>
                </c:pt>
                <c:pt idx="1299">
                  <c:v>58.202332625047596</c:v>
                </c:pt>
                <c:pt idx="1300">
                  <c:v>58.125556229551506</c:v>
                </c:pt>
                <c:pt idx="1301">
                  <c:v>58.048881112039268</c:v>
                </c:pt>
                <c:pt idx="1302">
                  <c:v>57.9723071389122</c:v>
                </c:pt>
                <c:pt idx="1303">
                  <c:v>57.895834176747719</c:v>
                </c:pt>
                <c:pt idx="1304">
                  <c:v>57.819462092299396</c:v>
                </c:pt>
                <c:pt idx="1305">
                  <c:v>57.74319075249641</c:v>
                </c:pt>
                <c:pt idx="1306">
                  <c:v>57.667020024443637</c:v>
                </c:pt>
                <c:pt idx="1307">
                  <c:v>57.590949775421116</c:v>
                </c:pt>
                <c:pt idx="1308">
                  <c:v>57.514979872884048</c:v>
                </c:pt>
                <c:pt idx="1309">
                  <c:v>57.439110184462493</c:v>
                </c:pt>
                <c:pt idx="1310">
                  <c:v>57.363340577961026</c:v>
                </c:pt>
                <c:pt idx="1311">
                  <c:v>57.287670921358725</c:v>
                </c:pt>
                <c:pt idx="1312">
                  <c:v>57.212101082808701</c:v>
                </c:pt>
                <c:pt idx="1313">
                  <c:v>57.136630930638105</c:v>
                </c:pt>
                <c:pt idx="1314">
                  <c:v>57.061260333347676</c:v>
                </c:pt>
                <c:pt idx="1315">
                  <c:v>56.985989159611712</c:v>
                </c:pt>
                <c:pt idx="1316">
                  <c:v>56.910817278277648</c:v>
                </c:pt>
                <c:pt idx="1317">
                  <c:v>56.835744558366031</c:v>
                </c:pt>
                <c:pt idx="1318">
                  <c:v>56.760770869070093</c:v>
                </c:pt>
                <c:pt idx="1319">
                  <c:v>56.685896079755693</c:v>
                </c:pt>
                <c:pt idx="1320">
                  <c:v>56.611120059960953</c:v>
                </c:pt>
                <c:pt idx="1321">
                  <c:v>56.536442679396146</c:v>
                </c:pt>
                <c:pt idx="1322">
                  <c:v>56.461863807943345</c:v>
                </c:pt>
                <c:pt idx="1323">
                  <c:v>56.387383315656344</c:v>
                </c:pt>
                <c:pt idx="1324">
                  <c:v>56.313001072760279</c:v>
                </c:pt>
                <c:pt idx="1325">
                  <c:v>56.238716949651561</c:v>
                </c:pt>
                <c:pt idx="1326">
                  <c:v>56.164530816897447</c:v>
                </c:pt>
                <c:pt idx="1327">
                  <c:v>56.090442545236044</c:v>
                </c:pt>
                <c:pt idx="1328">
                  <c:v>56.01645200557595</c:v>
                </c:pt>
                <c:pt idx="1329">
                  <c:v>55.942559068995969</c:v>
                </c:pt>
                <c:pt idx="1330">
                  <c:v>55.868763606745098</c:v>
                </c:pt>
                <c:pt idx="1331">
                  <c:v>55.795065490242038</c:v>
                </c:pt>
                <c:pt idx="1332">
                  <c:v>55.721464591075232</c:v>
                </c:pt>
                <c:pt idx="1333">
                  <c:v>55.647960781002404</c:v>
                </c:pt>
                <c:pt idx="1334">
                  <c:v>55.574553931950547</c:v>
                </c:pt>
                <c:pt idx="1335">
                  <c:v>55.50124391601549</c:v>
                </c:pt>
                <c:pt idx="1336">
                  <c:v>55.428030605461899</c:v>
                </c:pt>
                <c:pt idx="1337">
                  <c:v>55.354913872722832</c:v>
                </c:pt>
                <c:pt idx="1338">
                  <c:v>55.281893590399726</c:v>
                </c:pt>
                <c:pt idx="1339">
                  <c:v>55.208969631261979</c:v>
                </c:pt>
                <c:pt idx="1340">
                  <c:v>55.136141868246909</c:v>
                </c:pt>
                <c:pt idx="1341">
                  <c:v>55.063410174459356</c:v>
                </c:pt>
                <c:pt idx="1342">
                  <c:v>54.990774423171644</c:v>
                </c:pt>
                <c:pt idx="1343">
                  <c:v>54.91823448782317</c:v>
                </c:pt>
                <c:pt idx="1344">
                  <c:v>54.845790242020392</c:v>
                </c:pt>
                <c:pt idx="1345">
                  <c:v>54.77344155953638</c:v>
                </c:pt>
                <c:pt idx="1346">
                  <c:v>54.701188314310805</c:v>
                </c:pt>
                <c:pt idx="1347">
                  <c:v>54.629030380449606</c:v>
                </c:pt>
                <c:pt idx="1348">
                  <c:v>54.556967632224733</c:v>
                </c:pt>
                <c:pt idx="1349">
                  <c:v>54.484999944074097</c:v>
                </c:pt>
                <c:pt idx="1350">
                  <c:v>54.413127190601124</c:v>
                </c:pt>
                <c:pt idx="1351">
                  <c:v>54.341349246574765</c:v>
                </c:pt>
                <c:pt idx="1352">
                  <c:v>54.269665986929049</c:v>
                </c:pt>
                <c:pt idx="1353">
                  <c:v>54.198077286763102</c:v>
                </c:pt>
                <c:pt idx="1354">
                  <c:v>54.126583021340714</c:v>
                </c:pt>
                <c:pt idx="1355">
                  <c:v>54.055183066090287</c:v>
                </c:pt>
                <c:pt idx="1356">
                  <c:v>53.983877296604497</c:v>
                </c:pt>
                <c:pt idx="1357">
                  <c:v>53.912665588640188</c:v>
                </c:pt>
                <c:pt idx="1358">
                  <c:v>53.841547818118016</c:v>
                </c:pt>
                <c:pt idx="1359">
                  <c:v>53.770523861122406</c:v>
                </c:pt>
                <c:pt idx="1360">
                  <c:v>53.699593593901156</c:v>
                </c:pt>
                <c:pt idx="1361">
                  <c:v>53.628756892865397</c:v>
                </c:pt>
                <c:pt idx="1362">
                  <c:v>53.55801363458918</c:v>
                </c:pt>
                <c:pt idx="1363">
                  <c:v>53.487363695809478</c:v>
                </c:pt>
                <c:pt idx="1364">
                  <c:v>53.416806953425834</c:v>
                </c:pt>
                <c:pt idx="1365">
                  <c:v>53.346343284500115</c:v>
                </c:pt>
                <c:pt idx="1366">
                  <c:v>53.275972566256456</c:v>
                </c:pt>
                <c:pt idx="1367">
                  <c:v>53.205694676080846</c:v>
                </c:pt>
                <c:pt idx="1368">
                  <c:v>53.135509491521141</c:v>
                </c:pt>
                <c:pt idx="1369">
                  <c:v>53.065416890286578</c:v>
                </c:pt>
                <c:pt idx="1370">
                  <c:v>52.995416750247855</c:v>
                </c:pt>
                <c:pt idx="1371">
                  <c:v>52.925508949436662</c:v>
                </c:pt>
                <c:pt idx="1372">
                  <c:v>52.855693366045685</c:v>
                </c:pt>
                <c:pt idx="1373">
                  <c:v>52.785969878428169</c:v>
                </c:pt>
                <c:pt idx="1374">
                  <c:v>52.716338365097947</c:v>
                </c:pt>
                <c:pt idx="1375">
                  <c:v>52.646798704729015</c:v>
                </c:pt>
                <c:pt idx="1376">
                  <c:v>52.577350776155477</c:v>
                </c:pt>
                <c:pt idx="1377">
                  <c:v>52.507994458371222</c:v>
                </c:pt>
                <c:pt idx="1378">
                  <c:v>52.438729630529807</c:v>
                </c:pt>
                <c:pt idx="1379">
                  <c:v>52.369556171944147</c:v>
                </c:pt>
                <c:pt idx="1380">
                  <c:v>52.300473962086436</c:v>
                </c:pt>
                <c:pt idx="1381">
                  <c:v>52.23148288058777</c:v>
                </c:pt>
                <c:pt idx="1382">
                  <c:v>52.162582807238081</c:v>
                </c:pt>
                <c:pt idx="1383">
                  <c:v>52.093773621985896</c:v>
                </c:pt>
                <c:pt idx="1384">
                  <c:v>52.025055204938027</c:v>
                </c:pt>
                <c:pt idx="1385">
                  <c:v>51.95642743635954</c:v>
                </c:pt>
                <c:pt idx="1386">
                  <c:v>51.887890196673332</c:v>
                </c:pt>
                <c:pt idx="1387">
                  <c:v>51.819443366460156</c:v>
                </c:pt>
                <c:pt idx="1388">
                  <c:v>51.751086826458184</c:v>
                </c:pt>
                <c:pt idx="1389">
                  <c:v>51.682820457563025</c:v>
                </c:pt>
                <c:pt idx="1390">
                  <c:v>51.614644140827274</c:v>
                </c:pt>
                <c:pt idx="1391">
                  <c:v>51.546557757460562</c:v>
                </c:pt>
                <c:pt idx="1392">
                  <c:v>51.478561188829097</c:v>
                </c:pt>
                <c:pt idx="1393">
                  <c:v>51.410654316455705</c:v>
                </c:pt>
                <c:pt idx="1394">
                  <c:v>51.342837022019374</c:v>
                </c:pt>
                <c:pt idx="1395">
                  <c:v>51.275109187355277</c:v>
                </c:pt>
                <c:pt idx="1396">
                  <c:v>51.207470694454379</c:v>
                </c:pt>
                <c:pt idx="1397">
                  <c:v>51.139921425463399</c:v>
                </c:pt>
                <c:pt idx="1398">
                  <c:v>51.072461262684428</c:v>
                </c:pt>
                <c:pt idx="1399">
                  <c:v>51.005090088574903</c:v>
                </c:pt>
                <c:pt idx="1400">
                  <c:v>50.937807785747225</c:v>
                </c:pt>
                <c:pt idx="1401">
                  <c:v>50.870614236968727</c:v>
                </c:pt>
                <c:pt idx="1402">
                  <c:v>50.803509325161365</c:v>
                </c:pt>
                <c:pt idx="1403">
                  <c:v>50.736492933401479</c:v>
                </c:pt>
                <c:pt idx="1404">
                  <c:v>50.669564944919749</c:v>
                </c:pt>
                <c:pt idx="1405">
                  <c:v>50.602725243100771</c:v>
                </c:pt>
                <c:pt idx="1406">
                  <c:v>50.535973711483074</c:v>
                </c:pt>
                <c:pt idx="1407">
                  <c:v>50.469310233758748</c:v>
                </c:pt>
                <c:pt idx="1408">
                  <c:v>50.402734693773354</c:v>
                </c:pt>
                <c:pt idx="1409">
                  <c:v>50.336246975525626</c:v>
                </c:pt>
                <c:pt idx="1410">
                  <c:v>50.269846963167375</c:v>
                </c:pt>
                <c:pt idx="1411">
                  <c:v>50.203534541003179</c:v>
                </c:pt>
                <c:pt idx="1412">
                  <c:v>50.137309593490286</c:v>
                </c:pt>
                <c:pt idx="1413">
                  <c:v>50.071172005238289</c:v>
                </c:pt>
                <c:pt idx="1414">
                  <c:v>50.005121661009092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A4E2-4676-92B0-9119C88015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962479"/>
        <c:axId val="2086962959"/>
      </c:scatterChart>
      <c:valAx>
        <c:axId val="2086962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962959"/>
        <c:crosses val="autoZero"/>
        <c:crossBetween val="midCat"/>
      </c:valAx>
      <c:valAx>
        <c:axId val="2086962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962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WOR &amp; WOR' V/S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WOR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'Well_B-5'!$Q$2:$Q$28</c:f>
              <c:numCache>
                <c:formatCode>General</c:formatCode>
                <c:ptCount val="27"/>
                <c:pt idx="0">
                  <c:v>0</c:v>
                </c:pt>
                <c:pt idx="1">
                  <c:v>28</c:v>
                </c:pt>
                <c:pt idx="2">
                  <c:v>59</c:v>
                </c:pt>
                <c:pt idx="3">
                  <c:v>89</c:v>
                </c:pt>
                <c:pt idx="4">
                  <c:v>120</c:v>
                </c:pt>
                <c:pt idx="5">
                  <c:v>150</c:v>
                </c:pt>
                <c:pt idx="6">
                  <c:v>181</c:v>
                </c:pt>
                <c:pt idx="7">
                  <c:v>212</c:v>
                </c:pt>
                <c:pt idx="8">
                  <c:v>242</c:v>
                </c:pt>
                <c:pt idx="9">
                  <c:v>273</c:v>
                </c:pt>
                <c:pt idx="10">
                  <c:v>303</c:v>
                </c:pt>
                <c:pt idx="11">
                  <c:v>334</c:v>
                </c:pt>
                <c:pt idx="12">
                  <c:v>365</c:v>
                </c:pt>
                <c:pt idx="13">
                  <c:v>393</c:v>
                </c:pt>
                <c:pt idx="14">
                  <c:v>424</c:v>
                </c:pt>
                <c:pt idx="15">
                  <c:v>454</c:v>
                </c:pt>
                <c:pt idx="16">
                  <c:v>485</c:v>
                </c:pt>
                <c:pt idx="17">
                  <c:v>515</c:v>
                </c:pt>
                <c:pt idx="18">
                  <c:v>546</c:v>
                </c:pt>
                <c:pt idx="19">
                  <c:v>577</c:v>
                </c:pt>
                <c:pt idx="20">
                  <c:v>607</c:v>
                </c:pt>
                <c:pt idx="21">
                  <c:v>638</c:v>
                </c:pt>
                <c:pt idx="22">
                  <c:v>668</c:v>
                </c:pt>
                <c:pt idx="23">
                  <c:v>699</c:v>
                </c:pt>
                <c:pt idx="24">
                  <c:v>730</c:v>
                </c:pt>
                <c:pt idx="25">
                  <c:v>758</c:v>
                </c:pt>
                <c:pt idx="26">
                  <c:v>789</c:v>
                </c:pt>
              </c:numCache>
            </c:numRef>
          </c:xVal>
          <c:yVal>
            <c:numRef>
              <c:f>'Well_B-5'!$R$2:$R$28</c:f>
              <c:numCache>
                <c:formatCode>0.00</c:formatCode>
                <c:ptCount val="27"/>
                <c:pt idx="0">
                  <c:v>6.5953644843480354E-5</c:v>
                </c:pt>
                <c:pt idx="11">
                  <c:v>2.5491716737637265E-4</c:v>
                </c:pt>
                <c:pt idx="12">
                  <c:v>6.5564315485682305E-3</c:v>
                </c:pt>
                <c:pt idx="13">
                  <c:v>3.1306713068240823E-2</c:v>
                </c:pt>
                <c:pt idx="14">
                  <c:v>8.3075874293841237E-2</c:v>
                </c:pt>
                <c:pt idx="15">
                  <c:v>0.20348597655654349</c:v>
                </c:pt>
                <c:pt idx="16">
                  <c:v>0.1030406858229721</c:v>
                </c:pt>
                <c:pt idx="17">
                  <c:v>2.1024193195468895E-2</c:v>
                </c:pt>
                <c:pt idx="18">
                  <c:v>2.4639637556980423E-2</c:v>
                </c:pt>
                <c:pt idx="19">
                  <c:v>9.5734772299399695E-2</c:v>
                </c:pt>
                <c:pt idx="20">
                  <c:v>8.8625917275996419E-2</c:v>
                </c:pt>
                <c:pt idx="21">
                  <c:v>5.0823443459402595E-2</c:v>
                </c:pt>
                <c:pt idx="22">
                  <c:v>9.0519412663890748E-3</c:v>
                </c:pt>
                <c:pt idx="23">
                  <c:v>2.8162509159811139E-2</c:v>
                </c:pt>
                <c:pt idx="24">
                  <c:v>4.4127080271040481E-2</c:v>
                </c:pt>
                <c:pt idx="25">
                  <c:v>4.1783865639116971E-2</c:v>
                </c:pt>
                <c:pt idx="26">
                  <c:v>2.3907387555617002E-2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1A8-4B5B-B580-E551A4FC3737}"/>
            </c:ext>
          </c:extLst>
        </c:ser>
        <c:ser>
          <c:idx val="1"/>
          <c:order val="1"/>
          <c:tx>
            <c:v>WOR'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'Well_B-5'!$Q$2:$Q$28</c:f>
              <c:numCache>
                <c:formatCode>General</c:formatCode>
                <c:ptCount val="27"/>
                <c:pt idx="0">
                  <c:v>0</c:v>
                </c:pt>
                <c:pt idx="1">
                  <c:v>28</c:v>
                </c:pt>
                <c:pt idx="2">
                  <c:v>59</c:v>
                </c:pt>
                <c:pt idx="3">
                  <c:v>89</c:v>
                </c:pt>
                <c:pt idx="4">
                  <c:v>120</c:v>
                </c:pt>
                <c:pt idx="5">
                  <c:v>150</c:v>
                </c:pt>
                <c:pt idx="6">
                  <c:v>181</c:v>
                </c:pt>
                <c:pt idx="7">
                  <c:v>212</c:v>
                </c:pt>
                <c:pt idx="8">
                  <c:v>242</c:v>
                </c:pt>
                <c:pt idx="9">
                  <c:v>273</c:v>
                </c:pt>
                <c:pt idx="10">
                  <c:v>303</c:v>
                </c:pt>
                <c:pt idx="11">
                  <c:v>334</c:v>
                </c:pt>
                <c:pt idx="12">
                  <c:v>365</c:v>
                </c:pt>
                <c:pt idx="13">
                  <c:v>393</c:v>
                </c:pt>
                <c:pt idx="14">
                  <c:v>424</c:v>
                </c:pt>
                <c:pt idx="15">
                  <c:v>454</c:v>
                </c:pt>
                <c:pt idx="16">
                  <c:v>485</c:v>
                </c:pt>
                <c:pt idx="17">
                  <c:v>515</c:v>
                </c:pt>
                <c:pt idx="18">
                  <c:v>546</c:v>
                </c:pt>
                <c:pt idx="19">
                  <c:v>577</c:v>
                </c:pt>
                <c:pt idx="20">
                  <c:v>607</c:v>
                </c:pt>
                <c:pt idx="21">
                  <c:v>638</c:v>
                </c:pt>
                <c:pt idx="22">
                  <c:v>668</c:v>
                </c:pt>
                <c:pt idx="23">
                  <c:v>699</c:v>
                </c:pt>
                <c:pt idx="24">
                  <c:v>730</c:v>
                </c:pt>
                <c:pt idx="25">
                  <c:v>758</c:v>
                </c:pt>
                <c:pt idx="26">
                  <c:v>789</c:v>
                </c:pt>
              </c:numCache>
            </c:numRef>
          </c:xVal>
          <c:yVal>
            <c:numRef>
              <c:f>'Well_B-5'!$S$2:$S$28</c:f>
              <c:numCache>
                <c:formatCode>General</c:formatCode>
                <c:ptCount val="27"/>
                <c:pt idx="11">
                  <c:v>1.7782131243081507E-5</c:v>
                </c:pt>
                <c:pt idx="12">
                  <c:v>5.2630162543838052E-4</c:v>
                </c:pt>
                <c:pt idx="13">
                  <c:v>1.2969397075470001E-3</c:v>
                </c:pt>
                <c:pt idx="14">
                  <c:v>2.822610876857421E-3</c:v>
                </c:pt>
                <c:pt idx="15">
                  <c:v>3.2729199228083384E-4</c:v>
                </c:pt>
                <c:pt idx="16">
                  <c:v>-2.991176776411059E-3</c:v>
                </c:pt>
                <c:pt idx="17">
                  <c:v>-1.2852630863277323E-3</c:v>
                </c:pt>
                <c:pt idx="18">
                  <c:v>1.2050093403859808E-3</c:v>
                </c:pt>
                <c:pt idx="19">
                  <c:v>1.0489554052297704E-3</c:v>
                </c:pt>
                <c:pt idx="20">
                  <c:v>-7.3625129245896888E-4</c:v>
                </c:pt>
                <c:pt idx="21">
                  <c:v>-1.304491409993563E-3</c:v>
                </c:pt>
                <c:pt idx="22">
                  <c:v>-3.7149072622281076E-4</c:v>
                </c:pt>
                <c:pt idx="23">
                  <c:v>5.6572804846211956E-4</c:v>
                </c:pt>
                <c:pt idx="24">
                  <c:v>2.3087044880179376E-4</c:v>
                </c:pt>
                <c:pt idx="25">
                  <c:v>-3.4270665619361829E-4</c:v>
                </c:pt>
                <c:pt idx="26">
                  <c:v>5.5123833296988087E-5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1A8-4B5B-B580-E551A4FC37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949375"/>
        <c:axId val="74949855"/>
      </c:scatterChart>
      <c:valAx>
        <c:axId val="74949375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949855"/>
        <c:crosses val="autoZero"/>
        <c:crossBetween val="midCat"/>
      </c:valAx>
      <c:valAx>
        <c:axId val="7494985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WOR</a:t>
                </a:r>
                <a:r>
                  <a:rPr lang="en-IN" baseline="0"/>
                  <a:t> &amp; WOR'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9493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production history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'Well_B-5'!$Y$3:$Y$29</c:f>
              <c:numCache>
                <c:formatCode>General</c:formatCode>
                <c:ptCount val="27"/>
                <c:pt idx="0">
                  <c:v>0</c:v>
                </c:pt>
                <c:pt idx="1">
                  <c:v>28</c:v>
                </c:pt>
                <c:pt idx="2">
                  <c:v>59</c:v>
                </c:pt>
                <c:pt idx="3">
                  <c:v>89</c:v>
                </c:pt>
                <c:pt idx="4">
                  <c:v>120</c:v>
                </c:pt>
                <c:pt idx="5">
                  <c:v>150</c:v>
                </c:pt>
                <c:pt idx="6">
                  <c:v>181</c:v>
                </c:pt>
                <c:pt idx="7">
                  <c:v>212</c:v>
                </c:pt>
                <c:pt idx="8">
                  <c:v>242</c:v>
                </c:pt>
                <c:pt idx="9">
                  <c:v>273</c:v>
                </c:pt>
                <c:pt idx="10">
                  <c:v>303</c:v>
                </c:pt>
                <c:pt idx="11">
                  <c:v>334</c:v>
                </c:pt>
                <c:pt idx="12">
                  <c:v>365</c:v>
                </c:pt>
                <c:pt idx="13">
                  <c:v>393</c:v>
                </c:pt>
                <c:pt idx="14">
                  <c:v>424</c:v>
                </c:pt>
                <c:pt idx="15">
                  <c:v>454</c:v>
                </c:pt>
                <c:pt idx="16">
                  <c:v>485</c:v>
                </c:pt>
                <c:pt idx="17">
                  <c:v>515</c:v>
                </c:pt>
                <c:pt idx="18">
                  <c:v>546</c:v>
                </c:pt>
                <c:pt idx="19">
                  <c:v>577</c:v>
                </c:pt>
                <c:pt idx="20">
                  <c:v>607</c:v>
                </c:pt>
                <c:pt idx="21">
                  <c:v>638</c:v>
                </c:pt>
                <c:pt idx="22">
                  <c:v>668</c:v>
                </c:pt>
                <c:pt idx="23">
                  <c:v>699</c:v>
                </c:pt>
                <c:pt idx="24">
                  <c:v>730</c:v>
                </c:pt>
                <c:pt idx="25">
                  <c:v>758</c:v>
                </c:pt>
                <c:pt idx="26">
                  <c:v>789</c:v>
                </c:pt>
              </c:numCache>
            </c:numRef>
          </c:xVal>
          <c:yVal>
            <c:numRef>
              <c:f>('Well_B-5'!$C$2,'Well_B-5'!$C$13:$C$28)</c:f>
              <c:numCache>
                <c:formatCode>0</c:formatCode>
                <c:ptCount val="17"/>
                <c:pt idx="0">
                  <c:v>40.872321428571425</c:v>
                </c:pt>
                <c:pt idx="1">
                  <c:v>46.960225806451618</c:v>
                </c:pt>
                <c:pt idx="2">
                  <c:v>159.35203571428571</c:v>
                </c:pt>
                <c:pt idx="3">
                  <c:v>180.15703225806453</c:v>
                </c:pt>
                <c:pt idx="4">
                  <c:v>193.59433333333334</c:v>
                </c:pt>
                <c:pt idx="5">
                  <c:v>196.73967741935485</c:v>
                </c:pt>
                <c:pt idx="6">
                  <c:v>222.08063333333334</c:v>
                </c:pt>
                <c:pt idx="7">
                  <c:v>235.88077419354838</c:v>
                </c:pt>
                <c:pt idx="8">
                  <c:v>253.82232258064499</c:v>
                </c:pt>
                <c:pt idx="9">
                  <c:v>253.70376666666601</c:v>
                </c:pt>
                <c:pt idx="10">
                  <c:v>265.442322580645</c:v>
                </c:pt>
                <c:pt idx="11">
                  <c:v>248.38200000000001</c:v>
                </c:pt>
                <c:pt idx="12">
                  <c:v>227.50945161290321</c:v>
                </c:pt>
                <c:pt idx="13">
                  <c:v>128.58590322580599</c:v>
                </c:pt>
                <c:pt idx="14">
                  <c:v>94.782892857142798</c:v>
                </c:pt>
                <c:pt idx="15">
                  <c:v>101.42929032258</c:v>
                </c:pt>
                <c:pt idx="16">
                  <c:v>11.5672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825-49E2-BD34-4ADB10BE53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915919"/>
        <c:axId val="2086900079"/>
      </c:scatterChart>
      <c:valAx>
        <c:axId val="2086915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900079"/>
        <c:crosses val="autoZero"/>
        <c:crossBetween val="midCat"/>
      </c:valAx>
      <c:valAx>
        <c:axId val="2086900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9159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WOR &amp; WOR' V/S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177511787536625"/>
          <c:y val="0.1233846153846154"/>
          <c:w val="0.84003696266154648"/>
          <c:h val="0.64318487112187894"/>
        </c:manualLayout>
      </c:layout>
      <c:scatterChart>
        <c:scatterStyle val="lineMarker"/>
        <c:varyColors val="0"/>
        <c:ser>
          <c:idx val="0"/>
          <c:order val="0"/>
          <c:tx>
            <c:strRef>
              <c:f>'Well_B-7'!$R$1</c:f>
              <c:strCache>
                <c:ptCount val="1"/>
                <c:pt idx="0">
                  <c:v>WOR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'Well_B-7'!$Q$2:$Q$24</c:f>
              <c:numCache>
                <c:formatCode>General</c:formatCode>
                <c:ptCount val="23"/>
                <c:pt idx="0">
                  <c:v>0</c:v>
                </c:pt>
                <c:pt idx="1">
                  <c:v>31</c:v>
                </c:pt>
                <c:pt idx="2">
                  <c:v>62</c:v>
                </c:pt>
                <c:pt idx="3">
                  <c:v>91</c:v>
                </c:pt>
                <c:pt idx="4">
                  <c:v>122</c:v>
                </c:pt>
                <c:pt idx="5">
                  <c:v>152</c:v>
                </c:pt>
                <c:pt idx="6">
                  <c:v>183</c:v>
                </c:pt>
                <c:pt idx="7">
                  <c:v>213</c:v>
                </c:pt>
                <c:pt idx="8">
                  <c:v>244</c:v>
                </c:pt>
                <c:pt idx="9">
                  <c:v>275</c:v>
                </c:pt>
                <c:pt idx="10">
                  <c:v>305</c:v>
                </c:pt>
                <c:pt idx="11">
                  <c:v>336</c:v>
                </c:pt>
                <c:pt idx="12">
                  <c:v>366</c:v>
                </c:pt>
                <c:pt idx="13">
                  <c:v>397</c:v>
                </c:pt>
                <c:pt idx="14">
                  <c:v>428</c:v>
                </c:pt>
                <c:pt idx="15">
                  <c:v>456</c:v>
                </c:pt>
                <c:pt idx="16">
                  <c:v>487</c:v>
                </c:pt>
                <c:pt idx="17">
                  <c:v>517</c:v>
                </c:pt>
                <c:pt idx="18">
                  <c:v>548</c:v>
                </c:pt>
                <c:pt idx="19">
                  <c:v>578</c:v>
                </c:pt>
                <c:pt idx="20">
                  <c:v>609</c:v>
                </c:pt>
                <c:pt idx="21">
                  <c:v>640</c:v>
                </c:pt>
                <c:pt idx="22">
                  <c:v>670</c:v>
                </c:pt>
              </c:numCache>
            </c:numRef>
          </c:xVal>
          <c:yVal>
            <c:numRef>
              <c:f>'Well_B-7'!$R$2:$R$24</c:f>
              <c:numCache>
                <c:formatCode>General</c:formatCode>
                <c:ptCount val="23"/>
                <c:pt idx="0">
                  <c:v>1.7957011656355898E-5</c:v>
                </c:pt>
                <c:pt idx="1">
                  <c:v>0.15065818262861297</c:v>
                </c:pt>
                <c:pt idx="2">
                  <c:v>0.4107324896102344</c:v>
                </c:pt>
                <c:pt idx="3">
                  <c:v>0.98607269458836788</c:v>
                </c:pt>
                <c:pt idx="4">
                  <c:v>1.1655092522660464</c:v>
                </c:pt>
                <c:pt idx="5">
                  <c:v>0.66917622251898701</c:v>
                </c:pt>
                <c:pt idx="6">
                  <c:v>1.1579338909386214</c:v>
                </c:pt>
                <c:pt idx="7">
                  <c:v>3.6831424445085803</c:v>
                </c:pt>
                <c:pt idx="8">
                  <c:v>3.5928865621753134</c:v>
                </c:pt>
                <c:pt idx="9">
                  <c:v>3.1662526583678883</c:v>
                </c:pt>
                <c:pt idx="10">
                  <c:v>3.2773113128973423</c:v>
                </c:pt>
                <c:pt idx="11">
                  <c:v>3.2938511859017328</c:v>
                </c:pt>
                <c:pt idx="12">
                  <c:v>2.9963876498997641</c:v>
                </c:pt>
                <c:pt idx="13">
                  <c:v>3.3423344383676645</c:v>
                </c:pt>
                <c:pt idx="14">
                  <c:v>2.9879284402414252</c:v>
                </c:pt>
                <c:pt idx="15">
                  <c:v>1.0877523718291031</c:v>
                </c:pt>
                <c:pt idx="16">
                  <c:v>1.2153803171370632</c:v>
                </c:pt>
                <c:pt idx="17">
                  <c:v>1.2308310609238375</c:v>
                </c:pt>
                <c:pt idx="18">
                  <c:v>0.94457148190903961</c:v>
                </c:pt>
                <c:pt idx="19">
                  <c:v>0.75706896374685384</c:v>
                </c:pt>
                <c:pt idx="20">
                  <c:v>1.5826841772259623</c:v>
                </c:pt>
                <c:pt idx="21">
                  <c:v>1.885365726252366</c:v>
                </c:pt>
                <c:pt idx="22">
                  <c:v>1.6395406302095061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23-415B-9FB6-F0ED1AC7B6F1}"/>
            </c:ext>
          </c:extLst>
        </c:ser>
        <c:ser>
          <c:idx val="1"/>
          <c:order val="1"/>
          <c:tx>
            <c:strRef>
              <c:f>'Well_B-7'!$S$1</c:f>
              <c:strCache>
                <c:ptCount val="1"/>
                <c:pt idx="0">
                  <c:v>WOR'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'Well_B-7'!$Q$2:$Q$24</c:f>
              <c:numCache>
                <c:formatCode>General</c:formatCode>
                <c:ptCount val="23"/>
                <c:pt idx="0">
                  <c:v>0</c:v>
                </c:pt>
                <c:pt idx="1">
                  <c:v>31</c:v>
                </c:pt>
                <c:pt idx="2">
                  <c:v>62</c:v>
                </c:pt>
                <c:pt idx="3">
                  <c:v>91</c:v>
                </c:pt>
                <c:pt idx="4">
                  <c:v>122</c:v>
                </c:pt>
                <c:pt idx="5">
                  <c:v>152</c:v>
                </c:pt>
                <c:pt idx="6">
                  <c:v>183</c:v>
                </c:pt>
                <c:pt idx="7">
                  <c:v>213</c:v>
                </c:pt>
                <c:pt idx="8">
                  <c:v>244</c:v>
                </c:pt>
                <c:pt idx="9">
                  <c:v>275</c:v>
                </c:pt>
                <c:pt idx="10">
                  <c:v>305</c:v>
                </c:pt>
                <c:pt idx="11">
                  <c:v>336</c:v>
                </c:pt>
                <c:pt idx="12">
                  <c:v>366</c:v>
                </c:pt>
                <c:pt idx="13">
                  <c:v>397</c:v>
                </c:pt>
                <c:pt idx="14">
                  <c:v>428</c:v>
                </c:pt>
                <c:pt idx="15">
                  <c:v>456</c:v>
                </c:pt>
                <c:pt idx="16">
                  <c:v>487</c:v>
                </c:pt>
                <c:pt idx="17">
                  <c:v>517</c:v>
                </c:pt>
                <c:pt idx="18">
                  <c:v>548</c:v>
                </c:pt>
                <c:pt idx="19">
                  <c:v>578</c:v>
                </c:pt>
                <c:pt idx="20">
                  <c:v>609</c:v>
                </c:pt>
                <c:pt idx="21">
                  <c:v>640</c:v>
                </c:pt>
                <c:pt idx="22">
                  <c:v>670</c:v>
                </c:pt>
              </c:numCache>
            </c:numRef>
          </c:xVal>
          <c:yVal>
            <c:numRef>
              <c:f>'Well_B-7'!$S$2:$S$24</c:f>
              <c:numCache>
                <c:formatCode>General</c:formatCode>
                <c:ptCount val="23"/>
                <c:pt idx="1">
                  <c:v>6.6244279451383552E-3</c:v>
                </c:pt>
                <c:pt idx="2">
                  <c:v>1.3923575199329248E-2</c:v>
                </c:pt>
                <c:pt idx="3">
                  <c:v>1.2579612710930199E-2</c:v>
                </c:pt>
                <c:pt idx="4">
                  <c:v>-5.1950241322849325E-3</c:v>
                </c:pt>
                <c:pt idx="5">
                  <c:v>-1.2418625126926194E-4</c:v>
                </c:pt>
                <c:pt idx="6">
                  <c:v>4.9409282327698249E-2</c:v>
                </c:pt>
                <c:pt idx="7">
                  <c:v>3.9917256905519539E-2</c:v>
                </c:pt>
                <c:pt idx="8">
                  <c:v>-8.3369320345272908E-3</c:v>
                </c:pt>
                <c:pt idx="9">
                  <c:v>-5.1733647422618212E-3</c:v>
                </c:pt>
                <c:pt idx="10">
                  <c:v>2.0917791398990899E-3</c:v>
                </c:pt>
                <c:pt idx="11">
                  <c:v>-4.6053059507799709E-3</c:v>
                </c:pt>
                <c:pt idx="12">
                  <c:v>7.9480741747429127E-4</c:v>
                </c:pt>
                <c:pt idx="13">
                  <c:v>-1.3643886545707914E-4</c:v>
                </c:pt>
                <c:pt idx="14">
                  <c:v>-3.8213255365060365E-2</c:v>
                </c:pt>
                <c:pt idx="15">
                  <c:v>-3.0043188527192576E-2</c:v>
                </c:pt>
                <c:pt idx="16">
                  <c:v>2.3455522802415477E-3</c:v>
                </c:pt>
                <c:pt idx="17">
                  <c:v>-4.4394891020987474E-3</c:v>
                </c:pt>
                <c:pt idx="18">
                  <c:v>-7.7665917569997326E-3</c:v>
                </c:pt>
                <c:pt idx="19">
                  <c:v>1.0460863857654471E-2</c:v>
                </c:pt>
                <c:pt idx="20">
                  <c:v>1.8198334879121165E-2</c:v>
                </c:pt>
                <c:pt idx="21">
                  <c:v>9.3207299973022627E-4</c:v>
                </c:pt>
                <c:pt idx="22">
                  <c:v>2.9458839472693218E-3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523-415B-9FB6-F0ED1AC7B6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979135"/>
        <c:axId val="74979615"/>
      </c:scatterChart>
      <c:valAx>
        <c:axId val="74979135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979615"/>
        <c:crosses val="autoZero"/>
        <c:crossBetween val="midCat"/>
      </c:valAx>
      <c:valAx>
        <c:axId val="7497961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WOR</a:t>
                </a:r>
                <a:r>
                  <a:rPr lang="en-IN" baseline="0"/>
                  <a:t> &amp; WOR'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9791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EXPONANTIAL</a:t>
            </a:r>
            <a:r>
              <a:rPr lang="en-IN" baseline="0"/>
              <a:t> PLOT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PRODUCTION HISTORY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'Well_B-7'!$Y$3:$Y$25</c:f>
              <c:numCache>
                <c:formatCode>General</c:formatCode>
                <c:ptCount val="23"/>
                <c:pt idx="0">
                  <c:v>0</c:v>
                </c:pt>
                <c:pt idx="1">
                  <c:v>31</c:v>
                </c:pt>
                <c:pt idx="2">
                  <c:v>62</c:v>
                </c:pt>
                <c:pt idx="3">
                  <c:v>91</c:v>
                </c:pt>
                <c:pt idx="4">
                  <c:v>122</c:v>
                </c:pt>
                <c:pt idx="5">
                  <c:v>152</c:v>
                </c:pt>
                <c:pt idx="6">
                  <c:v>183</c:v>
                </c:pt>
                <c:pt idx="7">
                  <c:v>213</c:v>
                </c:pt>
                <c:pt idx="8">
                  <c:v>244</c:v>
                </c:pt>
                <c:pt idx="9">
                  <c:v>275</c:v>
                </c:pt>
                <c:pt idx="10">
                  <c:v>305</c:v>
                </c:pt>
                <c:pt idx="11">
                  <c:v>336</c:v>
                </c:pt>
                <c:pt idx="12">
                  <c:v>366</c:v>
                </c:pt>
                <c:pt idx="13">
                  <c:v>397</c:v>
                </c:pt>
                <c:pt idx="14">
                  <c:v>428</c:v>
                </c:pt>
                <c:pt idx="15">
                  <c:v>456</c:v>
                </c:pt>
                <c:pt idx="16">
                  <c:v>487</c:v>
                </c:pt>
                <c:pt idx="17">
                  <c:v>517</c:v>
                </c:pt>
                <c:pt idx="18">
                  <c:v>548</c:v>
                </c:pt>
                <c:pt idx="19">
                  <c:v>578</c:v>
                </c:pt>
                <c:pt idx="20">
                  <c:v>609</c:v>
                </c:pt>
                <c:pt idx="21">
                  <c:v>640</c:v>
                </c:pt>
                <c:pt idx="22">
                  <c:v>670</c:v>
                </c:pt>
              </c:numCache>
            </c:numRef>
          </c:xVal>
          <c:yVal>
            <c:numRef>
              <c:f>'Well_B-7'!$C$2:$C$24</c:f>
              <c:numCache>
                <c:formatCode>0</c:formatCode>
                <c:ptCount val="23"/>
                <c:pt idx="0">
                  <c:v>56.496935483870963</c:v>
                </c:pt>
                <c:pt idx="1">
                  <c:v>455.64248387096774</c:v>
                </c:pt>
                <c:pt idx="2">
                  <c:v>490.12920689655169</c:v>
                </c:pt>
                <c:pt idx="3">
                  <c:v>404.76012903225808</c:v>
                </c:pt>
                <c:pt idx="4">
                  <c:v>305.27836666666667</c:v>
                </c:pt>
                <c:pt idx="5">
                  <c:v>311.48338709677421</c:v>
                </c:pt>
                <c:pt idx="6">
                  <c:v>324.75780000000003</c:v>
                </c:pt>
                <c:pt idx="7">
                  <c:v>317.42774193548388</c:v>
                </c:pt>
                <c:pt idx="8">
                  <c:v>331.36867741935487</c:v>
                </c:pt>
                <c:pt idx="9">
                  <c:v>266.71126666666663</c:v>
                </c:pt>
                <c:pt idx="10">
                  <c:v>257.05545161290325</c:v>
                </c:pt>
                <c:pt idx="11">
                  <c:v>257.85863333333333</c:v>
                </c:pt>
                <c:pt idx="12">
                  <c:v>305.21470967741936</c:v>
                </c:pt>
                <c:pt idx="13">
                  <c:v>313.55032258064517</c:v>
                </c:pt>
                <c:pt idx="14">
                  <c:v>280.81475</c:v>
                </c:pt>
                <c:pt idx="15">
                  <c:v>163.52222580645162</c:v>
                </c:pt>
                <c:pt idx="16">
                  <c:v>212.25943333333333</c:v>
                </c:pt>
                <c:pt idx="17">
                  <c:v>185.25880645161291</c:v>
                </c:pt>
                <c:pt idx="18">
                  <c:v>129.18606666666668</c:v>
                </c:pt>
                <c:pt idx="19">
                  <c:v>129.43125806451613</c:v>
                </c:pt>
                <c:pt idx="20">
                  <c:v>109.922</c:v>
                </c:pt>
                <c:pt idx="21">
                  <c:v>96.394866666666672</c:v>
                </c:pt>
                <c:pt idx="22">
                  <c:v>112.58109677419355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89D-49FA-88C8-F2C78BB69C8D}"/>
            </c:ext>
          </c:extLst>
        </c:ser>
        <c:ser>
          <c:idx val="1"/>
          <c:order val="1"/>
          <c:tx>
            <c:v>NEW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4.9278688331178724E-2"/>
                  <c:y val="-0.1651714804795526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="1" baseline="0"/>
                      <a:t>y = 1310.8e</a:t>
                    </a:r>
                    <a:r>
                      <a:rPr lang="en-US" b="1" baseline="30000"/>
                      <a:t>-0.004x</a:t>
                    </a:r>
                    <a:br>
                      <a:rPr lang="en-US" baseline="0"/>
                    </a:br>
                    <a:r>
                      <a:rPr lang="en-US" baseline="0"/>
                      <a:t>R² = 0.8623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'Well_B-7'!$Y$19:$Y$25</c:f>
              <c:numCache>
                <c:formatCode>General</c:formatCode>
                <c:ptCount val="7"/>
                <c:pt idx="0">
                  <c:v>487</c:v>
                </c:pt>
                <c:pt idx="1">
                  <c:v>517</c:v>
                </c:pt>
                <c:pt idx="2">
                  <c:v>548</c:v>
                </c:pt>
                <c:pt idx="3">
                  <c:v>578</c:v>
                </c:pt>
                <c:pt idx="4">
                  <c:v>609</c:v>
                </c:pt>
                <c:pt idx="5">
                  <c:v>640</c:v>
                </c:pt>
                <c:pt idx="6">
                  <c:v>670</c:v>
                </c:pt>
              </c:numCache>
            </c:numRef>
          </c:xVal>
          <c:yVal>
            <c:numRef>
              <c:f>'Well_B-7'!$C$18:$C$24</c:f>
              <c:numCache>
                <c:formatCode>0</c:formatCode>
                <c:ptCount val="7"/>
                <c:pt idx="0">
                  <c:v>212.25943333333333</c:v>
                </c:pt>
                <c:pt idx="1">
                  <c:v>185.25880645161291</c:v>
                </c:pt>
                <c:pt idx="2">
                  <c:v>129.18606666666668</c:v>
                </c:pt>
                <c:pt idx="3">
                  <c:v>129.43125806451613</c:v>
                </c:pt>
                <c:pt idx="4">
                  <c:v>109.922</c:v>
                </c:pt>
                <c:pt idx="5">
                  <c:v>96.394866666666672</c:v>
                </c:pt>
                <c:pt idx="6">
                  <c:v>112.58109677419355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89D-49FA-88C8-F2C78BB69C8D}"/>
            </c:ext>
          </c:extLst>
        </c:ser>
        <c:ser>
          <c:idx val="2"/>
          <c:order val="2"/>
          <c:tx>
            <c:v>EXTRAPOLATION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'Well_B-7'!$Y$25:$Y$171</c:f>
              <c:numCache>
                <c:formatCode>General</c:formatCode>
                <c:ptCount val="147"/>
                <c:pt idx="0">
                  <c:v>670</c:v>
                </c:pt>
                <c:pt idx="1">
                  <c:v>671</c:v>
                </c:pt>
                <c:pt idx="2">
                  <c:v>672</c:v>
                </c:pt>
                <c:pt idx="3">
                  <c:v>673</c:v>
                </c:pt>
                <c:pt idx="4">
                  <c:v>674</c:v>
                </c:pt>
                <c:pt idx="5">
                  <c:v>675</c:v>
                </c:pt>
                <c:pt idx="6">
                  <c:v>676</c:v>
                </c:pt>
                <c:pt idx="7">
                  <c:v>677</c:v>
                </c:pt>
                <c:pt idx="8">
                  <c:v>678</c:v>
                </c:pt>
                <c:pt idx="9">
                  <c:v>679</c:v>
                </c:pt>
                <c:pt idx="10">
                  <c:v>680</c:v>
                </c:pt>
                <c:pt idx="11">
                  <c:v>681</c:v>
                </c:pt>
                <c:pt idx="12">
                  <c:v>682</c:v>
                </c:pt>
                <c:pt idx="13">
                  <c:v>683</c:v>
                </c:pt>
                <c:pt idx="14">
                  <c:v>684</c:v>
                </c:pt>
                <c:pt idx="15">
                  <c:v>685</c:v>
                </c:pt>
                <c:pt idx="16">
                  <c:v>686</c:v>
                </c:pt>
                <c:pt idx="17">
                  <c:v>687</c:v>
                </c:pt>
                <c:pt idx="18">
                  <c:v>688</c:v>
                </c:pt>
                <c:pt idx="19">
                  <c:v>689</c:v>
                </c:pt>
                <c:pt idx="20">
                  <c:v>690</c:v>
                </c:pt>
                <c:pt idx="21">
                  <c:v>691</c:v>
                </c:pt>
                <c:pt idx="22">
                  <c:v>692</c:v>
                </c:pt>
                <c:pt idx="23">
                  <c:v>693</c:v>
                </c:pt>
                <c:pt idx="24">
                  <c:v>694</c:v>
                </c:pt>
                <c:pt idx="25">
                  <c:v>695</c:v>
                </c:pt>
                <c:pt idx="26">
                  <c:v>696</c:v>
                </c:pt>
                <c:pt idx="27">
                  <c:v>697</c:v>
                </c:pt>
                <c:pt idx="28">
                  <c:v>698</c:v>
                </c:pt>
                <c:pt idx="29">
                  <c:v>699</c:v>
                </c:pt>
                <c:pt idx="30">
                  <c:v>700</c:v>
                </c:pt>
                <c:pt idx="31">
                  <c:v>701</c:v>
                </c:pt>
                <c:pt idx="32">
                  <c:v>702</c:v>
                </c:pt>
                <c:pt idx="33">
                  <c:v>703</c:v>
                </c:pt>
                <c:pt idx="34">
                  <c:v>704</c:v>
                </c:pt>
                <c:pt idx="35">
                  <c:v>705</c:v>
                </c:pt>
                <c:pt idx="36">
                  <c:v>706</c:v>
                </c:pt>
                <c:pt idx="37">
                  <c:v>707</c:v>
                </c:pt>
                <c:pt idx="38">
                  <c:v>708</c:v>
                </c:pt>
                <c:pt idx="39">
                  <c:v>709</c:v>
                </c:pt>
                <c:pt idx="40">
                  <c:v>710</c:v>
                </c:pt>
                <c:pt idx="41">
                  <c:v>711</c:v>
                </c:pt>
                <c:pt idx="42">
                  <c:v>712</c:v>
                </c:pt>
                <c:pt idx="43">
                  <c:v>713</c:v>
                </c:pt>
                <c:pt idx="44">
                  <c:v>714</c:v>
                </c:pt>
                <c:pt idx="45">
                  <c:v>715</c:v>
                </c:pt>
                <c:pt idx="46">
                  <c:v>716</c:v>
                </c:pt>
                <c:pt idx="47">
                  <c:v>717</c:v>
                </c:pt>
                <c:pt idx="48">
                  <c:v>718</c:v>
                </c:pt>
                <c:pt idx="49">
                  <c:v>719</c:v>
                </c:pt>
                <c:pt idx="50">
                  <c:v>720</c:v>
                </c:pt>
                <c:pt idx="51">
                  <c:v>721</c:v>
                </c:pt>
                <c:pt idx="52">
                  <c:v>722</c:v>
                </c:pt>
                <c:pt idx="53">
                  <c:v>723</c:v>
                </c:pt>
                <c:pt idx="54">
                  <c:v>724</c:v>
                </c:pt>
                <c:pt idx="55">
                  <c:v>725</c:v>
                </c:pt>
                <c:pt idx="56">
                  <c:v>726</c:v>
                </c:pt>
                <c:pt idx="57">
                  <c:v>727</c:v>
                </c:pt>
                <c:pt idx="58">
                  <c:v>728</c:v>
                </c:pt>
                <c:pt idx="59">
                  <c:v>729</c:v>
                </c:pt>
                <c:pt idx="60">
                  <c:v>730</c:v>
                </c:pt>
                <c:pt idx="61">
                  <c:v>731</c:v>
                </c:pt>
                <c:pt idx="62">
                  <c:v>732</c:v>
                </c:pt>
                <c:pt idx="63">
                  <c:v>733</c:v>
                </c:pt>
                <c:pt idx="64">
                  <c:v>734</c:v>
                </c:pt>
                <c:pt idx="65">
                  <c:v>735</c:v>
                </c:pt>
                <c:pt idx="66">
                  <c:v>736</c:v>
                </c:pt>
                <c:pt idx="67">
                  <c:v>737</c:v>
                </c:pt>
                <c:pt idx="68">
                  <c:v>738</c:v>
                </c:pt>
                <c:pt idx="69">
                  <c:v>739</c:v>
                </c:pt>
                <c:pt idx="70">
                  <c:v>740</c:v>
                </c:pt>
                <c:pt idx="71">
                  <c:v>741</c:v>
                </c:pt>
                <c:pt idx="72">
                  <c:v>742</c:v>
                </c:pt>
                <c:pt idx="73">
                  <c:v>743</c:v>
                </c:pt>
                <c:pt idx="74">
                  <c:v>744</c:v>
                </c:pt>
                <c:pt idx="75">
                  <c:v>745</c:v>
                </c:pt>
                <c:pt idx="76">
                  <c:v>746</c:v>
                </c:pt>
                <c:pt idx="77">
                  <c:v>747</c:v>
                </c:pt>
                <c:pt idx="78">
                  <c:v>748</c:v>
                </c:pt>
                <c:pt idx="79">
                  <c:v>749</c:v>
                </c:pt>
                <c:pt idx="80">
                  <c:v>750</c:v>
                </c:pt>
                <c:pt idx="81">
                  <c:v>751</c:v>
                </c:pt>
                <c:pt idx="82">
                  <c:v>752</c:v>
                </c:pt>
                <c:pt idx="83">
                  <c:v>753</c:v>
                </c:pt>
                <c:pt idx="84">
                  <c:v>754</c:v>
                </c:pt>
                <c:pt idx="85">
                  <c:v>755</c:v>
                </c:pt>
                <c:pt idx="86">
                  <c:v>756</c:v>
                </c:pt>
                <c:pt idx="87">
                  <c:v>757</c:v>
                </c:pt>
                <c:pt idx="88">
                  <c:v>758</c:v>
                </c:pt>
                <c:pt idx="89">
                  <c:v>759</c:v>
                </c:pt>
                <c:pt idx="90">
                  <c:v>760</c:v>
                </c:pt>
                <c:pt idx="91">
                  <c:v>761</c:v>
                </c:pt>
                <c:pt idx="92">
                  <c:v>762</c:v>
                </c:pt>
                <c:pt idx="93">
                  <c:v>763</c:v>
                </c:pt>
                <c:pt idx="94">
                  <c:v>764</c:v>
                </c:pt>
                <c:pt idx="95">
                  <c:v>765</c:v>
                </c:pt>
                <c:pt idx="96">
                  <c:v>766</c:v>
                </c:pt>
                <c:pt idx="97">
                  <c:v>767</c:v>
                </c:pt>
                <c:pt idx="98">
                  <c:v>768</c:v>
                </c:pt>
                <c:pt idx="99">
                  <c:v>769</c:v>
                </c:pt>
                <c:pt idx="100">
                  <c:v>770</c:v>
                </c:pt>
                <c:pt idx="101">
                  <c:v>771</c:v>
                </c:pt>
                <c:pt idx="102">
                  <c:v>772</c:v>
                </c:pt>
                <c:pt idx="103">
                  <c:v>773</c:v>
                </c:pt>
                <c:pt idx="104">
                  <c:v>774</c:v>
                </c:pt>
                <c:pt idx="105">
                  <c:v>775</c:v>
                </c:pt>
                <c:pt idx="106">
                  <c:v>776</c:v>
                </c:pt>
                <c:pt idx="107">
                  <c:v>777</c:v>
                </c:pt>
                <c:pt idx="108">
                  <c:v>778</c:v>
                </c:pt>
                <c:pt idx="109">
                  <c:v>779</c:v>
                </c:pt>
                <c:pt idx="110">
                  <c:v>780</c:v>
                </c:pt>
                <c:pt idx="111">
                  <c:v>781</c:v>
                </c:pt>
                <c:pt idx="112">
                  <c:v>782</c:v>
                </c:pt>
                <c:pt idx="113">
                  <c:v>783</c:v>
                </c:pt>
                <c:pt idx="114">
                  <c:v>784</c:v>
                </c:pt>
                <c:pt idx="115">
                  <c:v>785</c:v>
                </c:pt>
                <c:pt idx="116">
                  <c:v>786</c:v>
                </c:pt>
                <c:pt idx="117">
                  <c:v>787</c:v>
                </c:pt>
                <c:pt idx="118">
                  <c:v>788</c:v>
                </c:pt>
                <c:pt idx="119">
                  <c:v>789</c:v>
                </c:pt>
                <c:pt idx="120">
                  <c:v>790</c:v>
                </c:pt>
                <c:pt idx="121">
                  <c:v>791</c:v>
                </c:pt>
                <c:pt idx="122">
                  <c:v>792</c:v>
                </c:pt>
                <c:pt idx="123">
                  <c:v>793</c:v>
                </c:pt>
                <c:pt idx="124">
                  <c:v>794</c:v>
                </c:pt>
                <c:pt idx="125">
                  <c:v>795</c:v>
                </c:pt>
                <c:pt idx="126">
                  <c:v>796</c:v>
                </c:pt>
                <c:pt idx="127">
                  <c:v>797</c:v>
                </c:pt>
                <c:pt idx="128">
                  <c:v>798</c:v>
                </c:pt>
                <c:pt idx="129">
                  <c:v>799</c:v>
                </c:pt>
                <c:pt idx="130">
                  <c:v>800</c:v>
                </c:pt>
                <c:pt idx="131">
                  <c:v>801</c:v>
                </c:pt>
                <c:pt idx="132">
                  <c:v>802</c:v>
                </c:pt>
                <c:pt idx="133">
                  <c:v>803</c:v>
                </c:pt>
                <c:pt idx="134">
                  <c:v>804</c:v>
                </c:pt>
                <c:pt idx="135">
                  <c:v>805</c:v>
                </c:pt>
                <c:pt idx="136">
                  <c:v>806</c:v>
                </c:pt>
                <c:pt idx="137">
                  <c:v>807</c:v>
                </c:pt>
                <c:pt idx="138">
                  <c:v>808</c:v>
                </c:pt>
                <c:pt idx="139">
                  <c:v>809</c:v>
                </c:pt>
                <c:pt idx="140">
                  <c:v>810</c:v>
                </c:pt>
                <c:pt idx="141">
                  <c:v>811</c:v>
                </c:pt>
                <c:pt idx="142">
                  <c:v>812</c:v>
                </c:pt>
                <c:pt idx="143">
                  <c:v>813</c:v>
                </c:pt>
                <c:pt idx="144">
                  <c:v>814</c:v>
                </c:pt>
                <c:pt idx="145">
                  <c:v>815</c:v>
                </c:pt>
                <c:pt idx="146">
                  <c:v>816</c:v>
                </c:pt>
              </c:numCache>
            </c:numRef>
          </c:xVal>
          <c:yVal>
            <c:numRef>
              <c:f>'Well_B-7'!$Z$25:$Z$171</c:f>
              <c:numCache>
                <c:formatCode>General</c:formatCode>
                <c:ptCount val="147"/>
                <c:pt idx="0">
                  <c:v>89.872582465427485</c:v>
                </c:pt>
                <c:pt idx="1">
                  <c:v>89.513810158542498</c:v>
                </c:pt>
                <c:pt idx="2">
                  <c:v>89.156470074529651</c:v>
                </c:pt>
                <c:pt idx="3">
                  <c:v>88.800556495940043</c:v>
                </c:pt>
                <c:pt idx="4">
                  <c:v>88.446063728148744</c:v>
                </c:pt>
                <c:pt idx="5">
                  <c:v>88.092986099263982</c:v>
                </c:pt>
                <c:pt idx="6">
                  <c:v>87.741317960036099</c:v>
                </c:pt>
                <c:pt idx="7">
                  <c:v>87.39105368376741</c:v>
                </c:pt>
                <c:pt idx="8">
                  <c:v>87.042187666221992</c:v>
                </c:pt>
                <c:pt idx="9">
                  <c:v>86.69471432553614</c:v>
                </c:pt>
                <c:pt idx="10">
                  <c:v>86.348628102128984</c:v>
                </c:pt>
                <c:pt idx="11">
                  <c:v>86.003923458613571</c:v>
                </c:pt>
                <c:pt idx="12">
                  <c:v>85.660594879708242</c:v>
                </c:pt>
                <c:pt idx="13">
                  <c:v>85.318636872148403</c:v>
                </c:pt>
                <c:pt idx="14">
                  <c:v>84.978043964598669</c:v>
                </c:pt>
                <c:pt idx="15">
                  <c:v>84.638810707565227</c:v>
                </c:pt>
                <c:pt idx="16">
                  <c:v>84.300931673308739</c:v>
                </c:pt>
                <c:pt idx="17">
                  <c:v>83.964401455757454</c:v>
                </c:pt>
                <c:pt idx="18">
                  <c:v>83.62921467042068</c:v>
                </c:pt>
                <c:pt idx="19">
                  <c:v>83.295365954302738</c:v>
                </c:pt>
                <c:pt idx="20">
                  <c:v>82.962849965817028</c:v>
                </c:pt>
                <c:pt idx="21">
                  <c:v>82.631661384700664</c:v>
                </c:pt>
                <c:pt idx="22">
                  <c:v>82.30179491192925</c:v>
                </c:pt>
                <c:pt idx="23">
                  <c:v>81.973245269632201</c:v>
                </c:pt>
                <c:pt idx="24">
                  <c:v>81.646007201008217</c:v>
                </c:pt>
                <c:pt idx="25">
                  <c:v>81.32007547024125</c:v>
                </c:pt>
                <c:pt idx="26">
                  <c:v>80.995444862416633</c:v>
                </c:pt>
                <c:pt idx="27">
                  <c:v>80.672110183437709</c:v>
                </c:pt>
                <c:pt idx="28">
                  <c:v>80.350066259942736</c:v>
                </c:pt>
                <c:pt idx="29">
                  <c:v>80.029307939222051</c:v>
                </c:pt>
                <c:pt idx="30">
                  <c:v>79.709830089135693</c:v>
                </c:pt>
                <c:pt idx="31">
                  <c:v>79.391627598031235</c:v>
                </c:pt>
                <c:pt idx="32">
                  <c:v>79.074695374662028</c:v>
                </c:pt>
                <c:pt idx="33">
                  <c:v>78.759028348105744</c:v>
                </c:pt>
                <c:pt idx="34">
                  <c:v>78.444621467683262</c:v>
                </c:pt>
                <c:pt idx="35">
                  <c:v>78.131469702877723</c:v>
                </c:pt>
                <c:pt idx="36">
                  <c:v>77.819568043254222</c:v>
                </c:pt>
                <c:pt idx="37">
                  <c:v>77.508911498379575</c:v>
                </c:pt>
                <c:pt idx="38">
                  <c:v>77.199495097742414</c:v>
                </c:pt>
                <c:pt idx="39">
                  <c:v>76.891313890673757</c:v>
                </c:pt>
                <c:pt idx="40">
                  <c:v>76.584362946267689</c:v>
                </c:pt>
                <c:pt idx="41">
                  <c:v>76.278637353302557</c:v>
                </c:pt>
                <c:pt idx="42">
                  <c:v>75.97413222016236</c:v>
                </c:pt>
                <c:pt idx="43">
                  <c:v>75.670842674758475</c:v>
                </c:pt>
                <c:pt idx="44">
                  <c:v>75.368763864451694</c:v>
                </c:pt>
                <c:pt idx="45">
                  <c:v>75.067890955974605</c:v>
                </c:pt>
                <c:pt idx="46">
                  <c:v>74.768219135354272</c:v>
                </c:pt>
                <c:pt idx="47">
                  <c:v>74.469743607835156</c:v>
                </c:pt>
                <c:pt idx="48">
                  <c:v>74.172459597802458</c:v>
                </c:pt>
                <c:pt idx="49">
                  <c:v>73.876362348705669</c:v>
                </c:pt>
                <c:pt idx="50">
                  <c:v>73.581447122982482</c:v>
                </c:pt>
                <c:pt idx="51">
                  <c:v>73.28770920198302</c:v>
                </c:pt>
                <c:pt idx="52">
                  <c:v>72.995143885894251</c:v>
                </c:pt>
                <c:pt idx="53">
                  <c:v>72.70374649366488</c:v>
                </c:pt>
                <c:pt idx="54">
                  <c:v>72.413512362930419</c:v>
                </c:pt>
                <c:pt idx="55">
                  <c:v>72.12443684993859</c:v>
                </c:pt>
                <c:pt idx="56">
                  <c:v>71.836515329475034</c:v>
                </c:pt>
                <c:pt idx="57">
                  <c:v>71.549743194789244</c:v>
                </c:pt>
                <c:pt idx="58">
                  <c:v>71.264115857520977</c:v>
                </c:pt>
                <c:pt idx="59">
                  <c:v>70.979628747626734</c:v>
                </c:pt>
                <c:pt idx="60">
                  <c:v>70.696277313306666</c:v>
                </c:pt>
                <c:pt idx="61">
                  <c:v>70.414057020931807</c:v>
                </c:pt>
                <c:pt idx="62">
                  <c:v>70.132963354971466</c:v>
                </c:pt>
                <c:pt idx="63">
                  <c:v>69.852991817920966</c:v>
                </c:pt>
                <c:pt idx="64">
                  <c:v>69.574137930229739</c:v>
                </c:pt>
                <c:pt idx="65">
                  <c:v>69.296397230229658</c:v>
                </c:pt>
                <c:pt idx="66">
                  <c:v>69.019765274063573</c:v>
                </c:pt>
                <c:pt idx="67">
                  <c:v>68.744237635614311</c:v>
                </c:pt>
                <c:pt idx="68">
                  <c:v>68.469809906433753</c:v>
                </c:pt>
                <c:pt idx="69">
                  <c:v>68.196477695672399</c:v>
                </c:pt>
                <c:pt idx="70">
                  <c:v>67.92423663000902</c:v>
                </c:pt>
                <c:pt idx="71">
                  <c:v>67.653082353580771</c:v>
                </c:pt>
                <c:pt idx="72">
                  <c:v>67.38301052791347</c:v>
                </c:pt>
                <c:pt idx="73">
                  <c:v>67.114016831852098</c:v>
                </c:pt>
                <c:pt idx="74">
                  <c:v>66.84609696149181</c:v>
                </c:pt>
                <c:pt idx="75">
                  <c:v>66.579246630108955</c:v>
                </c:pt>
                <c:pt idx="76">
                  <c:v>66.313461568092549</c:v>
                </c:pt>
                <c:pt idx="77">
                  <c:v>66.048737522875896</c:v>
                </c:pt>
                <c:pt idx="78">
                  <c:v>65.785070258868672</c:v>
                </c:pt>
                <c:pt idx="79">
                  <c:v>65.522455557388994</c:v>
                </c:pt>
                <c:pt idx="80">
                  <c:v>65.260889216596055</c:v>
                </c:pt>
                <c:pt idx="81">
                  <c:v>65.000367051422813</c:v>
                </c:pt>
                <c:pt idx="82">
                  <c:v>64.740884893509062</c:v>
                </c:pt>
                <c:pt idx="83">
                  <c:v>64.482438591134752</c:v>
                </c:pt>
                <c:pt idx="84">
                  <c:v>64.225024009153529</c:v>
                </c:pt>
                <c:pt idx="85">
                  <c:v>63.968637028926587</c:v>
                </c:pt>
                <c:pt idx="86">
                  <c:v>63.713273548256765</c:v>
                </c:pt>
                <c:pt idx="87">
                  <c:v>63.45892948132294</c:v>
                </c:pt>
                <c:pt idx="88">
                  <c:v>63.205600758614608</c:v>
                </c:pt>
                <c:pt idx="89">
                  <c:v>62.953283326866796</c:v>
                </c:pt>
                <c:pt idx="90">
                  <c:v>62.701973148995222</c:v>
                </c:pt>
                <c:pt idx="91">
                  <c:v>62.451666204031667</c:v>
                </c:pt>
                <c:pt idx="92">
                  <c:v>62.202358487059684</c:v>
                </c:pt>
                <c:pt idx="93">
                  <c:v>61.954046009150481</c:v>
                </c:pt>
                <c:pt idx="94">
                  <c:v>61.70672479729911</c:v>
                </c:pt>
                <c:pt idx="95">
                  <c:v>61.460390894360906</c:v>
                </c:pt>
                <c:pt idx="96">
                  <c:v>61.215040358988162</c:v>
                </c:pt>
                <c:pt idx="97">
                  <c:v>60.970669265567096</c:v>
                </c:pt>
                <c:pt idx="98">
                  <c:v>60.727273704154975</c:v>
                </c:pt>
                <c:pt idx="99">
                  <c:v>60.48484978041764</c:v>
                </c:pt>
                <c:pt idx="100">
                  <c:v>60.243393615567143</c:v>
                </c:pt>
                <c:pt idx="101">
                  <c:v>60.002901346299687</c:v>
                </c:pt>
                <c:pt idx="102">
                  <c:v>59.763369124733828</c:v>
                </c:pt>
                <c:pt idx="103">
                  <c:v>59.524793118348917</c:v>
                </c:pt>
                <c:pt idx="104">
                  <c:v>59.287169509923771</c:v>
                </c:pt>
                <c:pt idx="105">
                  <c:v>59.050494497475562</c:v>
                </c:pt>
                <c:pt idx="106">
                  <c:v>58.814764294199065</c:v>
                </c:pt>
                <c:pt idx="107">
                  <c:v>58.579975128405991</c:v>
                </c:pt>
                <c:pt idx="108">
                  <c:v>58.346123243464689</c:v>
                </c:pt>
                <c:pt idx="109">
                  <c:v>58.113204897739983</c:v>
                </c:pt>
                <c:pt idx="110">
                  <c:v>57.881216364533401</c:v>
                </c:pt>
                <c:pt idx="111">
                  <c:v>57.65015393202345</c:v>
                </c:pt>
                <c:pt idx="112">
                  <c:v>57.420013903206275</c:v>
                </c:pt>
                <c:pt idx="113">
                  <c:v>57.190792595836527</c:v>
                </c:pt>
                <c:pt idx="114">
                  <c:v>56.962486342368372</c:v>
                </c:pt>
                <c:pt idx="115">
                  <c:v>56.735091489896895</c:v>
                </c:pt>
                <c:pt idx="116">
                  <c:v>56.508604400099607</c:v>
                </c:pt>
                <c:pt idx="117">
                  <c:v>56.283021449178236</c:v>
                </c:pt>
                <c:pt idx="118">
                  <c:v>56.058339027800763</c:v>
                </c:pt>
                <c:pt idx="119">
                  <c:v>55.83455354104364</c:v>
                </c:pt>
                <c:pt idx="120">
                  <c:v>55.611661408334321</c:v>
                </c:pt>
                <c:pt idx="121">
                  <c:v>55.389659063393914</c:v>
                </c:pt>
                <c:pt idx="122">
                  <c:v>55.168542954180161</c:v>
                </c:pt>
                <c:pt idx="123">
                  <c:v>54.948309542830607</c:v>
                </c:pt>
                <c:pt idx="124">
                  <c:v>54.728955305605972</c:v>
                </c:pt>
                <c:pt idx="125">
                  <c:v>54.51047673283378</c:v>
                </c:pt>
                <c:pt idx="126">
                  <c:v>54.292870328852203</c:v>
                </c:pt>
                <c:pt idx="127">
                  <c:v>54.076132611954137</c:v>
                </c:pt>
                <c:pt idx="128">
                  <c:v>53.860260114331481</c:v>
                </c:pt>
                <c:pt idx="129">
                  <c:v>53.645249382019685</c:v>
                </c:pt>
                <c:pt idx="130">
                  <c:v>53.431096974842426</c:v>
                </c:pt>
                <c:pt idx="131">
                  <c:v>53.217799466356631</c:v>
                </c:pt>
                <c:pt idx="132">
                  <c:v>53.005353443797603</c:v>
                </c:pt>
                <c:pt idx="133">
                  <c:v>52.793755508024468</c:v>
                </c:pt>
                <c:pt idx="134">
                  <c:v>52.583002273465723</c:v>
                </c:pt>
                <c:pt idx="135">
                  <c:v>52.373090368065128</c:v>
                </c:pt>
                <c:pt idx="136">
                  <c:v>52.164016433227715</c:v>
                </c:pt>
                <c:pt idx="137">
                  <c:v>51.955777123766062</c:v>
                </c:pt>
                <c:pt idx="138">
                  <c:v>51.748369107846791</c:v>
                </c:pt>
                <c:pt idx="139">
                  <c:v>51.541789066937206</c:v>
                </c:pt>
                <c:pt idx="140">
                  <c:v>51.336033695752242</c:v>
                </c:pt>
                <c:pt idx="141">
                  <c:v>51.131099702201595</c:v>
                </c:pt>
                <c:pt idx="142">
                  <c:v>50.926983807336967</c:v>
                </c:pt>
                <c:pt idx="143">
                  <c:v>50.723682745299698</c:v>
                </c:pt>
                <c:pt idx="144">
                  <c:v>50.521193263268472</c:v>
                </c:pt>
                <c:pt idx="145">
                  <c:v>50.319512121407229</c:v>
                </c:pt>
                <c:pt idx="146">
                  <c:v>50.118636092813425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89D-49FA-88C8-F2C78BB69C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964879"/>
        <c:axId val="2086969679"/>
      </c:scatterChart>
      <c:valAx>
        <c:axId val="2086964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TIME(DAYS)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969679"/>
        <c:crosses val="autoZero"/>
        <c:crossBetween val="midCat"/>
      </c:valAx>
      <c:valAx>
        <c:axId val="2086969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FLOW</a:t>
                </a:r>
                <a:r>
                  <a:rPr lang="en-IN" baseline="0"/>
                  <a:t> RATE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9648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WOR &amp; WOR' V/S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'Well_B-8'!$R$1</c:f>
              <c:strCache>
                <c:ptCount val="1"/>
                <c:pt idx="0">
                  <c:v>WOR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'Well_B-8'!$Q$2:$Q$21</c:f>
              <c:numCache>
                <c:formatCode>General</c:formatCode>
                <c:ptCount val="20"/>
                <c:pt idx="0">
                  <c:v>0</c:v>
                </c:pt>
                <c:pt idx="1">
                  <c:v>31</c:v>
                </c:pt>
                <c:pt idx="2">
                  <c:v>61</c:v>
                </c:pt>
                <c:pt idx="3">
                  <c:v>92</c:v>
                </c:pt>
                <c:pt idx="4">
                  <c:v>122</c:v>
                </c:pt>
                <c:pt idx="5">
                  <c:v>153</c:v>
                </c:pt>
                <c:pt idx="6">
                  <c:v>184</c:v>
                </c:pt>
                <c:pt idx="7">
                  <c:v>214</c:v>
                </c:pt>
                <c:pt idx="8">
                  <c:v>245</c:v>
                </c:pt>
                <c:pt idx="9">
                  <c:v>275</c:v>
                </c:pt>
                <c:pt idx="10">
                  <c:v>306</c:v>
                </c:pt>
                <c:pt idx="11">
                  <c:v>337</c:v>
                </c:pt>
                <c:pt idx="12">
                  <c:v>365</c:v>
                </c:pt>
                <c:pt idx="13">
                  <c:v>396</c:v>
                </c:pt>
                <c:pt idx="14">
                  <c:v>426</c:v>
                </c:pt>
                <c:pt idx="15">
                  <c:v>457</c:v>
                </c:pt>
                <c:pt idx="16">
                  <c:v>487</c:v>
                </c:pt>
                <c:pt idx="17">
                  <c:v>518</c:v>
                </c:pt>
                <c:pt idx="18">
                  <c:v>549</c:v>
                </c:pt>
                <c:pt idx="19">
                  <c:v>579</c:v>
                </c:pt>
              </c:numCache>
            </c:numRef>
          </c:xVal>
          <c:yVal>
            <c:numRef>
              <c:f>'Well_B-8'!$R$2:$R$21</c:f>
              <c:numCache>
                <c:formatCode>General</c:formatCode>
                <c:ptCount val="20"/>
                <c:pt idx="0">
                  <c:v>1.3321698538802532E-4</c:v>
                </c:pt>
                <c:pt idx="1">
                  <c:v>0.97943868916240828</c:v>
                </c:pt>
                <c:pt idx="2">
                  <c:v>0.15248153514792134</c:v>
                </c:pt>
                <c:pt idx="3">
                  <c:v>8.2071498165574269E-2</c:v>
                </c:pt>
                <c:pt idx="4">
                  <c:v>0.18965579069202271</c:v>
                </c:pt>
                <c:pt idx="5">
                  <c:v>1.0267551226184017</c:v>
                </c:pt>
                <c:pt idx="6">
                  <c:v>0.21955056807736151</c:v>
                </c:pt>
                <c:pt idx="7">
                  <c:v>0.22723448430894291</c:v>
                </c:pt>
                <c:pt idx="8">
                  <c:v>0.23228988028307043</c:v>
                </c:pt>
                <c:pt idx="9">
                  <c:v>0.2346609061674815</c:v>
                </c:pt>
                <c:pt idx="10">
                  <c:v>0</c:v>
                </c:pt>
                <c:pt idx="11">
                  <c:v>0.49749727417928385</c:v>
                </c:pt>
                <c:pt idx="12">
                  <c:v>0.48887044171923971</c:v>
                </c:pt>
                <c:pt idx="13">
                  <c:v>0.49243427737139917</c:v>
                </c:pt>
                <c:pt idx="14">
                  <c:v>0.60960022991149987</c:v>
                </c:pt>
                <c:pt idx="15">
                  <c:v>0.82742620568823777</c:v>
                </c:pt>
                <c:pt idx="16">
                  <c:v>0.73950796009298592</c:v>
                </c:pt>
                <c:pt idx="17">
                  <c:v>1.3027363440996673</c:v>
                </c:pt>
                <c:pt idx="18">
                  <c:v>1.6698597637942021</c:v>
                </c:pt>
                <c:pt idx="19">
                  <c:v>1.3930198731475369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1AA-47E3-A4FF-E4B2697C91E2}"/>
            </c:ext>
          </c:extLst>
        </c:ser>
        <c:ser>
          <c:idx val="1"/>
          <c:order val="1"/>
          <c:tx>
            <c:strRef>
              <c:f>'Well_B-8'!$S$1</c:f>
              <c:strCache>
                <c:ptCount val="1"/>
                <c:pt idx="0">
                  <c:v>WOR'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'Well_B-8'!$Q$2:$Q$21</c:f>
              <c:numCache>
                <c:formatCode>General</c:formatCode>
                <c:ptCount val="20"/>
                <c:pt idx="0">
                  <c:v>0</c:v>
                </c:pt>
                <c:pt idx="1">
                  <c:v>31</c:v>
                </c:pt>
                <c:pt idx="2">
                  <c:v>61</c:v>
                </c:pt>
                <c:pt idx="3">
                  <c:v>92</c:v>
                </c:pt>
                <c:pt idx="4">
                  <c:v>122</c:v>
                </c:pt>
                <c:pt idx="5">
                  <c:v>153</c:v>
                </c:pt>
                <c:pt idx="6">
                  <c:v>184</c:v>
                </c:pt>
                <c:pt idx="7">
                  <c:v>214</c:v>
                </c:pt>
                <c:pt idx="8">
                  <c:v>245</c:v>
                </c:pt>
                <c:pt idx="9">
                  <c:v>275</c:v>
                </c:pt>
                <c:pt idx="10">
                  <c:v>306</c:v>
                </c:pt>
                <c:pt idx="11">
                  <c:v>337</c:v>
                </c:pt>
                <c:pt idx="12">
                  <c:v>365</c:v>
                </c:pt>
                <c:pt idx="13">
                  <c:v>396</c:v>
                </c:pt>
                <c:pt idx="14">
                  <c:v>426</c:v>
                </c:pt>
                <c:pt idx="15">
                  <c:v>457</c:v>
                </c:pt>
                <c:pt idx="16">
                  <c:v>487</c:v>
                </c:pt>
                <c:pt idx="17">
                  <c:v>518</c:v>
                </c:pt>
                <c:pt idx="18">
                  <c:v>549</c:v>
                </c:pt>
                <c:pt idx="19">
                  <c:v>579</c:v>
                </c:pt>
              </c:numCache>
            </c:numRef>
          </c:xVal>
          <c:yVal>
            <c:numRef>
              <c:f>'Well_B-8'!$S$2:$S$21</c:f>
              <c:numCache>
                <c:formatCode>General</c:formatCode>
                <c:ptCount val="20"/>
                <c:pt idx="1">
                  <c:v>2.4975134125005466E-3</c:v>
                </c:pt>
                <c:pt idx="2">
                  <c:v>-1.4710937557325148E-2</c:v>
                </c:pt>
                <c:pt idx="3">
                  <c:v>6.0941402531313707E-4</c:v>
                </c:pt>
                <c:pt idx="4">
                  <c:v>1.5486616794308648E-2</c:v>
                </c:pt>
                <c:pt idx="5">
                  <c:v>4.8217382879578712E-4</c:v>
                </c:pt>
                <c:pt idx="6">
                  <c:v>-1.3106895709991129E-2</c:v>
                </c:pt>
                <c:pt idx="7">
                  <c:v>2.088411837001463E-4</c:v>
                </c:pt>
                <c:pt idx="8">
                  <c:v>1.2174462063178016E-4</c:v>
                </c:pt>
                <c:pt idx="9">
                  <c:v>0</c:v>
                </c:pt>
                <c:pt idx="10">
                  <c:v>4.2392962582548759E-3</c:v>
                </c:pt>
                <c:pt idx="11">
                  <c:v>0</c:v>
                </c:pt>
                <c:pt idx="12">
                  <c:v>-8.581350521838457E-5</c:v>
                </c:pt>
                <c:pt idx="13">
                  <c:v>1.9791768556108222E-3</c:v>
                </c:pt>
                <c:pt idx="14">
                  <c:v>5.4916709560137479E-3</c:v>
                </c:pt>
                <c:pt idx="15">
                  <c:v>2.1296349210079678E-3</c:v>
                </c:pt>
                <c:pt idx="16">
                  <c:v>7.7919694821545829E-3</c:v>
                </c:pt>
                <c:pt idx="17">
                  <c:v>1.5005674253245423E-2</c:v>
                </c:pt>
                <c:pt idx="18">
                  <c:v>1.4800578532437644E-3</c:v>
                </c:pt>
                <c:pt idx="19">
                  <c:v>3.0416389140149398E-3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1AA-47E3-A4FF-E4B2697C91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973855"/>
        <c:axId val="74966655"/>
      </c:scatterChart>
      <c:valAx>
        <c:axId val="74973855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966655"/>
        <c:crosses val="autoZero"/>
        <c:crossBetween val="midCat"/>
      </c:valAx>
      <c:valAx>
        <c:axId val="7496665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WOR</a:t>
                </a:r>
                <a:r>
                  <a:rPr lang="en-IN" baseline="0"/>
                  <a:t> &amp; WOR'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9738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99</xdr:col>
      <xdr:colOff>543635</xdr:colOff>
      <xdr:row>0</xdr:row>
      <xdr:rowOff>601752</xdr:rowOff>
    </xdr:from>
    <xdr:to>
      <xdr:col>117</xdr:col>
      <xdr:colOff>550426</xdr:colOff>
      <xdr:row>24</xdr:row>
      <xdr:rowOff>51213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B34F10-74AA-9062-C78D-248A48583C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32</xdr:col>
      <xdr:colOff>42573</xdr:colOff>
      <xdr:row>76</xdr:row>
      <xdr:rowOff>21663</xdr:rowOff>
    </xdr:from>
    <xdr:to>
      <xdr:col>39</xdr:col>
      <xdr:colOff>1721084</xdr:colOff>
      <xdr:row>114</xdr:row>
      <xdr:rowOff>121189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8ABA5C6-D6B7-8E04-9C2D-A7313DE419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74</xdr:col>
      <xdr:colOff>45779</xdr:colOff>
      <xdr:row>47</xdr:row>
      <xdr:rowOff>16211</xdr:rowOff>
    </xdr:from>
    <xdr:to>
      <xdr:col>83</xdr:col>
      <xdr:colOff>138977</xdr:colOff>
      <xdr:row>67</xdr:row>
      <xdr:rowOff>134547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CED9050-FDA6-6BA9-2E0C-DF8424669D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50</xdr:col>
      <xdr:colOff>2032000</xdr:colOff>
      <xdr:row>28</xdr:row>
      <xdr:rowOff>138289</xdr:rowOff>
    </xdr:from>
    <xdr:to>
      <xdr:col>50</xdr:col>
      <xdr:colOff>7638815</xdr:colOff>
      <xdr:row>43</xdr:row>
      <xdr:rowOff>172156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4D2A9B8-CE1D-7BB4-A143-C417F2C534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54</xdr:col>
      <xdr:colOff>164980</xdr:colOff>
      <xdr:row>55</xdr:row>
      <xdr:rowOff>90281</xdr:rowOff>
    </xdr:from>
    <xdr:to>
      <xdr:col>57</xdr:col>
      <xdr:colOff>377903</xdr:colOff>
      <xdr:row>78</xdr:row>
      <xdr:rowOff>56635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89F4A0B-5D4B-2D1F-4B82-33C7086ABF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67</xdr:col>
      <xdr:colOff>371708</xdr:colOff>
      <xdr:row>5</xdr:row>
      <xdr:rowOff>148166</xdr:rowOff>
    </xdr:from>
    <xdr:to>
      <xdr:col>75</xdr:col>
      <xdr:colOff>567885</xdr:colOff>
      <xdr:row>28</xdr:row>
      <xdr:rowOff>167269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467FFEA-834B-3318-7BAC-3704794634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229325</xdr:colOff>
      <xdr:row>1</xdr:row>
      <xdr:rowOff>30842</xdr:rowOff>
    </xdr:from>
    <xdr:to>
      <xdr:col>50</xdr:col>
      <xdr:colOff>568227</xdr:colOff>
      <xdr:row>26</xdr:row>
      <xdr:rowOff>146905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141A5E-AF53-B31E-08D0-BFC706BDAA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447409</xdr:colOff>
      <xdr:row>2</xdr:row>
      <xdr:rowOff>137849</xdr:rowOff>
    </xdr:from>
    <xdr:to>
      <xdr:col>35</xdr:col>
      <xdr:colOff>182858</xdr:colOff>
      <xdr:row>17</xdr:row>
      <xdr:rowOff>99554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B6D4D2B-9BD2-DC89-3808-2747F39F7C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50993</xdr:colOff>
      <xdr:row>58</xdr:row>
      <xdr:rowOff>43644</xdr:rowOff>
    </xdr:from>
    <xdr:to>
      <xdr:col>24</xdr:col>
      <xdr:colOff>661573</xdr:colOff>
      <xdr:row>85</xdr:row>
      <xdr:rowOff>99669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64953B-8B9D-2B89-7E4E-0E430E32D8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550076</xdr:colOff>
      <xdr:row>6</xdr:row>
      <xdr:rowOff>69043</xdr:rowOff>
    </xdr:from>
    <xdr:to>
      <xdr:col>38</xdr:col>
      <xdr:colOff>251088</xdr:colOff>
      <xdr:row>21</xdr:row>
      <xdr:rowOff>37969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9C3D294-8F8B-59B7-DE9D-1A97B168B2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175474</xdr:colOff>
      <xdr:row>60</xdr:row>
      <xdr:rowOff>95146</xdr:rowOff>
    </xdr:from>
    <xdr:to>
      <xdr:col>18</xdr:col>
      <xdr:colOff>466268</xdr:colOff>
      <xdr:row>83</xdr:row>
      <xdr:rowOff>58192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8BB6C2-143D-7CEA-6A48-2864492579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265727</xdr:colOff>
      <xdr:row>0</xdr:row>
      <xdr:rowOff>627314</xdr:rowOff>
    </xdr:from>
    <xdr:to>
      <xdr:col>35</xdr:col>
      <xdr:colOff>571540</xdr:colOff>
      <xdr:row>15</xdr:row>
      <xdr:rowOff>150383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DDD8319-154F-F3C6-C6E1-E5D272FAA1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296032</xdr:colOff>
      <xdr:row>13</xdr:row>
      <xdr:rowOff>107254</xdr:rowOff>
    </xdr:from>
    <xdr:to>
      <xdr:col>50</xdr:col>
      <xdr:colOff>0</xdr:colOff>
      <xdr:row>28</xdr:row>
      <xdr:rowOff>99739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6FA4BC-D256-8529-C4E3-7473818FFD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887261</xdr:colOff>
      <xdr:row>5</xdr:row>
      <xdr:rowOff>162839</xdr:rowOff>
    </xdr:from>
    <xdr:to>
      <xdr:col>27</xdr:col>
      <xdr:colOff>699370</xdr:colOff>
      <xdr:row>20</xdr:row>
      <xdr:rowOff>87682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B4BEC39-CEC5-9419-C174-E2C79A0202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369711</xdr:colOff>
      <xdr:row>34</xdr:row>
      <xdr:rowOff>7619</xdr:rowOff>
    </xdr:from>
    <xdr:to>
      <xdr:col>42</xdr:col>
      <xdr:colOff>476391</xdr:colOff>
      <xdr:row>54</xdr:row>
      <xdr:rowOff>64769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EE48AA-3E91-CFCA-82BD-8CBD3E0823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84992</xdr:colOff>
      <xdr:row>4</xdr:row>
      <xdr:rowOff>98777</xdr:rowOff>
    </xdr:from>
    <xdr:to>
      <xdr:col>41</xdr:col>
      <xdr:colOff>155221</xdr:colOff>
      <xdr:row>26</xdr:row>
      <xdr:rowOff>155223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EDD1B33-C92F-9BB3-04EF-2B77F4EBFF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137160</xdr:colOff>
      <xdr:row>0</xdr:row>
      <xdr:rowOff>567690</xdr:rowOff>
    </xdr:from>
    <xdr:to>
      <xdr:col>27</xdr:col>
      <xdr:colOff>236220</xdr:colOff>
      <xdr:row>15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38F55A-D241-D612-F1A8-841C620DDA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663"/>
  <sheetViews>
    <sheetView tabSelected="1" topLeftCell="AC581" zoomScale="206" zoomScaleNormal="101" workbookViewId="0">
      <selection activeCell="AD61" sqref="AD61:AD592"/>
    </sheetView>
  </sheetViews>
  <sheetFormatPr defaultRowHeight="14.4" x14ac:dyDescent="0.3"/>
  <cols>
    <col min="5" max="6" width="9" bestFit="1" customWidth="1"/>
    <col min="7" max="7" width="11.33203125" bestFit="1" customWidth="1"/>
    <col min="8" max="14" width="9" bestFit="1" customWidth="1"/>
    <col min="15" max="15" width="9.5546875" bestFit="1" customWidth="1"/>
    <col min="16" max="16" width="10.5546875" customWidth="1"/>
    <col min="17" max="18" width="9" bestFit="1" customWidth="1"/>
    <col min="20" max="21" width="9" bestFit="1" customWidth="1"/>
    <col min="22" max="22" width="12.77734375" bestFit="1" customWidth="1"/>
    <col min="24" max="24" width="19.33203125" customWidth="1"/>
    <col min="25" max="25" width="20.6640625" customWidth="1"/>
    <col min="26" max="26" width="16.109375" customWidth="1"/>
    <col min="27" max="27" width="2.6640625" customWidth="1"/>
    <col min="28" max="28" width="16.44140625" customWidth="1"/>
    <col min="29" max="29" width="47.5546875" customWidth="1"/>
    <col min="30" max="30" width="22.44140625" customWidth="1"/>
    <col min="31" max="31" width="24.109375" customWidth="1"/>
    <col min="32" max="32" width="14.5546875" customWidth="1"/>
    <col min="33" max="39" width="24.109375" customWidth="1"/>
    <col min="40" max="40" width="28.109375" customWidth="1"/>
    <col min="41" max="41" width="38.6640625" customWidth="1"/>
    <col min="42" max="42" width="64.44140625" customWidth="1"/>
    <col min="43" max="43" width="32.33203125" customWidth="1"/>
    <col min="44" max="44" width="24.109375" customWidth="1"/>
    <col min="45" max="45" width="38.88671875" customWidth="1"/>
    <col min="46" max="46" width="32.109375" customWidth="1"/>
    <col min="47" max="47" width="65.44140625" customWidth="1"/>
    <col min="48" max="48" width="138.88671875" customWidth="1"/>
    <col min="49" max="49" width="23.77734375" customWidth="1"/>
    <col min="50" max="50" width="26.33203125" customWidth="1"/>
    <col min="51" max="51" width="137.33203125" customWidth="1"/>
    <col min="52" max="52" width="14.33203125" customWidth="1"/>
    <col min="53" max="53" width="24.109375" customWidth="1"/>
    <col min="54" max="54" width="40.109375" customWidth="1"/>
    <col min="55" max="55" width="60.77734375" customWidth="1"/>
    <col min="56" max="56" width="32.21875" customWidth="1"/>
    <col min="57" max="57" width="38.77734375" customWidth="1"/>
    <col min="58" max="61" width="24.109375" customWidth="1"/>
    <col min="62" max="62" width="9.77734375" customWidth="1"/>
    <col min="63" max="64" width="24.109375" customWidth="1"/>
    <col min="65" max="65" width="46.21875" customWidth="1"/>
    <col min="66" max="66" width="24.109375" customWidth="1"/>
    <col min="67" max="67" width="107.109375" customWidth="1"/>
    <col min="68" max="70" width="24.109375" customWidth="1"/>
    <col min="72" max="72" width="11.44140625" customWidth="1"/>
    <col min="73" max="73" width="14.77734375" customWidth="1"/>
    <col min="74" max="74" width="14.6640625" customWidth="1"/>
    <col min="75" max="75" width="17.44140625" customWidth="1"/>
    <col min="76" max="76" width="13.44140625" customWidth="1"/>
    <col min="77" max="77" width="18" customWidth="1"/>
    <col min="78" max="78" width="12.109375" customWidth="1"/>
  </cols>
  <sheetData>
    <row r="1" spans="1:78" ht="54" customHeight="1" x14ac:dyDescent="0.3">
      <c r="A1" s="10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16</v>
      </c>
      <c r="Q1" s="5" t="s">
        <v>17</v>
      </c>
      <c r="R1" s="5" t="s">
        <v>18</v>
      </c>
      <c r="S1" s="63" t="s">
        <v>19</v>
      </c>
      <c r="T1" s="18" t="s">
        <v>20</v>
      </c>
      <c r="U1" s="18" t="s">
        <v>21</v>
      </c>
      <c r="V1" s="18" t="s">
        <v>22</v>
      </c>
      <c r="W1" s="64" t="s">
        <v>23</v>
      </c>
      <c r="X1" s="66" t="s">
        <v>27</v>
      </c>
      <c r="Y1" s="66"/>
      <c r="Z1" s="66"/>
      <c r="AB1" s="65" t="s">
        <v>29</v>
      </c>
      <c r="AC1" s="65"/>
      <c r="AD1" s="65"/>
      <c r="AE1" s="65"/>
      <c r="AF1" s="61" t="s">
        <v>74</v>
      </c>
      <c r="AG1" s="22"/>
      <c r="AH1" s="57" t="s">
        <v>88</v>
      </c>
      <c r="AI1" s="57" t="s">
        <v>91</v>
      </c>
      <c r="AJ1" s="57" t="s">
        <v>92</v>
      </c>
      <c r="AK1" s="57" t="s">
        <v>89</v>
      </c>
      <c r="AL1" s="57" t="s">
        <v>114</v>
      </c>
      <c r="AM1" s="22"/>
      <c r="AN1" s="22" t="s">
        <v>72</v>
      </c>
      <c r="AO1" s="57" t="s">
        <v>81</v>
      </c>
      <c r="AP1" s="57" t="s">
        <v>85</v>
      </c>
      <c r="AQ1" s="57" t="s">
        <v>86</v>
      </c>
      <c r="AR1" s="57" t="s">
        <v>87</v>
      </c>
      <c r="AS1" s="57" t="s">
        <v>98</v>
      </c>
      <c r="AT1" s="57" t="s">
        <v>97</v>
      </c>
      <c r="AU1" s="57" t="s">
        <v>102</v>
      </c>
      <c r="AV1" s="57" t="s">
        <v>95</v>
      </c>
      <c r="AW1" s="57" t="s">
        <v>101</v>
      </c>
      <c r="AX1" s="57" t="s">
        <v>100</v>
      </c>
      <c r="AY1" s="57" t="s">
        <v>99</v>
      </c>
      <c r="AZ1" s="58" t="s">
        <v>103</v>
      </c>
      <c r="BA1" s="22"/>
      <c r="BB1" s="57" t="s">
        <v>106</v>
      </c>
      <c r="BC1" s="57" t="s">
        <v>107</v>
      </c>
      <c r="BD1" s="57" t="s">
        <v>104</v>
      </c>
      <c r="BE1" s="57" t="s">
        <v>105</v>
      </c>
      <c r="BF1" s="57" t="s">
        <v>108</v>
      </c>
      <c r="BG1" s="57" t="s">
        <v>109</v>
      </c>
      <c r="BH1" s="57" t="s">
        <v>110</v>
      </c>
      <c r="BI1" s="57" t="s">
        <v>111</v>
      </c>
      <c r="BJ1" s="56" t="s">
        <v>113</v>
      </c>
      <c r="BK1" s="57" t="s">
        <v>105</v>
      </c>
      <c r="BL1" s="57" t="s">
        <v>115</v>
      </c>
      <c r="BM1" s="57" t="s">
        <v>96</v>
      </c>
      <c r="BN1" s="57" t="s">
        <v>117</v>
      </c>
      <c r="BO1" s="57" t="s">
        <v>116</v>
      </c>
      <c r="BP1" s="22"/>
      <c r="BQ1" s="22"/>
      <c r="BR1" s="22"/>
      <c r="BS1" s="22"/>
    </row>
    <row r="2" spans="1:78" x14ac:dyDescent="0.3">
      <c r="A2" s="6">
        <v>44197</v>
      </c>
      <c r="B2" s="2">
        <v>546.46843364516121</v>
      </c>
      <c r="C2" s="2">
        <v>546.38970967741932</v>
      </c>
      <c r="D2" s="2">
        <v>7.8723967741935491E-2</v>
      </c>
      <c r="E2" s="2">
        <v>4454.1612903225805</v>
      </c>
      <c r="F2" s="2">
        <v>16938.080999999998</v>
      </c>
      <c r="G2" s="3">
        <v>2.2673935259999996E-3</v>
      </c>
      <c r="H2" s="2">
        <v>138079</v>
      </c>
      <c r="I2" s="2">
        <v>2.4404430000000001</v>
      </c>
      <c r="J2" s="2"/>
      <c r="K2" s="4">
        <v>1</v>
      </c>
      <c r="L2" s="2">
        <v>0</v>
      </c>
      <c r="M2" s="4">
        <v>1</v>
      </c>
      <c r="N2" s="7">
        <v>2.2673935259999996E-3</v>
      </c>
      <c r="O2" s="8">
        <v>0.13807900000000001</v>
      </c>
      <c r="P2" s="9">
        <v>0</v>
      </c>
      <c r="Q2" s="2">
        <v>1.440594971182789E-2</v>
      </c>
      <c r="R2" s="2">
        <v>51.274361847720535</v>
      </c>
      <c r="S2" s="63"/>
      <c r="T2">
        <f>A2-$A$2</f>
        <v>0</v>
      </c>
      <c r="U2" s="20">
        <f>D2/C2</f>
        <v>1.4408025324710635E-4</v>
      </c>
      <c r="W2" s="64"/>
      <c r="X2" s="22" t="s">
        <v>24</v>
      </c>
      <c r="Y2" s="23" t="s">
        <v>28</v>
      </c>
      <c r="Z2" s="22" t="s">
        <v>26</v>
      </c>
      <c r="AB2" s="22" t="s">
        <v>24</v>
      </c>
      <c r="AC2" s="22" t="s">
        <v>119</v>
      </c>
      <c r="AD2" s="23" t="s">
        <v>28</v>
      </c>
      <c r="AE2" s="22" t="s">
        <v>26</v>
      </c>
      <c r="AF2" s="61"/>
      <c r="AG2" s="22"/>
      <c r="AH2" s="57"/>
      <c r="AI2" s="57"/>
      <c r="AJ2" s="57"/>
      <c r="AK2" s="57"/>
      <c r="AL2" s="57"/>
      <c r="AM2" s="22" t="s">
        <v>42</v>
      </c>
      <c r="AN2" s="22" t="s">
        <v>80</v>
      </c>
      <c r="AO2" s="57"/>
      <c r="AP2" s="57"/>
      <c r="AQ2" s="57"/>
      <c r="AR2" s="57"/>
      <c r="AS2" s="57"/>
      <c r="AT2" s="57"/>
      <c r="AU2" s="57"/>
      <c r="AV2" s="57"/>
      <c r="AW2" s="57"/>
      <c r="AX2" s="57"/>
      <c r="AY2" s="57"/>
      <c r="AZ2" s="58"/>
      <c r="BA2" s="22"/>
      <c r="BB2" s="57"/>
      <c r="BC2" s="57"/>
      <c r="BD2" s="57"/>
      <c r="BE2" s="57"/>
      <c r="BF2" s="57"/>
      <c r="BG2" s="57"/>
      <c r="BH2" s="57"/>
      <c r="BI2" s="57"/>
      <c r="BJ2" s="56"/>
      <c r="BK2" s="57"/>
      <c r="BL2" s="57"/>
      <c r="BM2" s="57"/>
      <c r="BN2" s="57"/>
      <c r="BO2" s="57"/>
      <c r="BP2" s="22"/>
      <c r="BQ2" s="22"/>
      <c r="BR2" s="22"/>
      <c r="BS2" s="22"/>
      <c r="BV2" s="27"/>
      <c r="BW2" s="27" t="s">
        <v>30</v>
      </c>
      <c r="BX2" s="27" t="s">
        <v>34</v>
      </c>
      <c r="BY2" s="27">
        <f>12*0.02787</f>
        <v>0.33443999999999996</v>
      </c>
      <c r="BZ2" s="27" t="s">
        <v>31</v>
      </c>
    </row>
    <row r="3" spans="1:78" x14ac:dyDescent="0.3">
      <c r="A3" s="52">
        <v>44228</v>
      </c>
      <c r="B3" s="2">
        <v>819.89391214285718</v>
      </c>
      <c r="C3" s="2">
        <v>819.83303571428576</v>
      </c>
      <c r="D3" s="2">
        <v>6.0876428571428574E-2</v>
      </c>
      <c r="E3" s="2">
        <v>7876.2857142857147</v>
      </c>
      <c r="F3" s="2">
        <v>22955.325000000001</v>
      </c>
      <c r="G3" s="3">
        <v>3.0728838309999999E-3</v>
      </c>
      <c r="H3" s="2">
        <v>220536</v>
      </c>
      <c r="I3" s="2">
        <v>1.7045400000000002</v>
      </c>
      <c r="J3" s="2"/>
      <c r="K3" s="4">
        <v>2</v>
      </c>
      <c r="L3" s="2">
        <v>0</v>
      </c>
      <c r="M3" s="4">
        <v>2</v>
      </c>
      <c r="N3" s="7">
        <v>5.3402773569999999E-3</v>
      </c>
      <c r="O3" s="8">
        <v>0.35861500000000002</v>
      </c>
      <c r="P3" s="9">
        <v>0</v>
      </c>
      <c r="Q3" s="2">
        <v>7.424915305484248E-3</v>
      </c>
      <c r="R3" s="2">
        <v>60.427257414129393</v>
      </c>
      <c r="S3" s="63"/>
      <c r="T3">
        <f t="shared" ref="T3:T59" si="0">A3-$A$2</f>
        <v>31</v>
      </c>
      <c r="U3" s="20">
        <f t="shared" ref="U3:U59" si="1">D3/C3</f>
        <v>7.4254666400933118E-5</v>
      </c>
      <c r="V3">
        <f>(U4-U2)/(T4-T2)</f>
        <v>-1.904039614163992E-6</v>
      </c>
      <c r="W3" s="64"/>
      <c r="X3">
        <f>A2-$A$2</f>
        <v>0</v>
      </c>
      <c r="Y3" s="21">
        <f>F2</f>
        <v>16938.080999999998</v>
      </c>
      <c r="Z3">
        <f>(Y3*100)/$BV$33</f>
        <v>5.1350859481582536E-2</v>
      </c>
      <c r="AB3">
        <f t="shared" ref="AB3:AB34" si="2">A2-$A$2</f>
        <v>0</v>
      </c>
      <c r="AC3">
        <f xml:space="preserve"> 1742.18324*EXP(-0.0004*AB3)</f>
        <v>1742.1832400000001</v>
      </c>
      <c r="AF3" s="61"/>
      <c r="AH3" s="21">
        <f>F3</f>
        <v>22955.325000000001</v>
      </c>
      <c r="AI3" s="21">
        <f>H3</f>
        <v>220536</v>
      </c>
      <c r="AJ3" s="21">
        <f>AI3*35.3147</f>
        <v>7788162.6792000001</v>
      </c>
      <c r="AK3" s="21">
        <f>I3</f>
        <v>1.7045400000000002</v>
      </c>
      <c r="AL3" s="21">
        <f>J2</f>
        <v>0</v>
      </c>
      <c r="AM3">
        <f t="shared" ref="AM3:AM34" si="3">A3-$A$3</f>
        <v>0</v>
      </c>
      <c r="AN3">
        <f xml:space="preserve"> (-0.1692*AM3) + 2236.2</f>
        <v>2236.1999999999998</v>
      </c>
      <c r="AO3">
        <f>$BU$38*((((AN3/18.2) + 1.4)*10^$BW$45)^1.2048)</f>
        <v>554.62376033175167</v>
      </c>
      <c r="AP3">
        <f>0.9759 + (0.00012*(($BV$36*($BU$38/$BU$37)^0.5) + (1.25*($BV$40-460)))^1.2)</f>
        <v>1.2553690959938046</v>
      </c>
      <c r="AQ3">
        <f t="shared" ref="AQ3:AQ34" si="4">(0.02827*$BU$43*$BV$40) / AN3</f>
        <v>7.8160823182184067E-3</v>
      </c>
      <c r="AR3" s="22">
        <f>AJ3/AH3</f>
        <v>339.27477302978718</v>
      </c>
      <c r="AS3" s="22">
        <f>AH3*(AP3 + (AR3-70)*AQ3) + AK3*1</f>
        <v>77132.581052895621</v>
      </c>
      <c r="AT3">
        <f>$BV$33*((AP3 - $BU$46) + (70 - 70)*AQ3)</f>
        <v>-3415331.7308692303</v>
      </c>
      <c r="AU3">
        <f>$BV$33*($BU$46*($BV$34 - AN3)*((($BU$44*$BU$42+$BU$41) / (1-$BU$44))))</f>
        <v>39163.615821891362</v>
      </c>
      <c r="AV3">
        <f>AS3 - AT3 - AU3</f>
        <v>3453300.6961002345</v>
      </c>
      <c r="AW3">
        <f>AH3*(AP3 + (AR3-70)*AQ3)</f>
        <v>77130.876512895615</v>
      </c>
      <c r="AX3">
        <f>AV3 - AK3*1</f>
        <v>3453298.9915602347</v>
      </c>
      <c r="AY3">
        <f>(AW3 - AX3) / ((AT3/$BV$33)+(AU3/$BV$33))</f>
        <v>32985000.000000004</v>
      </c>
      <c r="AZ3" s="58"/>
      <c r="BB3">
        <f>AT3*1</f>
        <v>-3415331.7308692303</v>
      </c>
      <c r="BC3">
        <f>AU3*1</f>
        <v>39163.615821891362</v>
      </c>
      <c r="BD3">
        <f>AX3*1</f>
        <v>3453298.9915602347</v>
      </c>
      <c r="BE3">
        <f>AH3*(AP3 +((AR3 - 70)*AQ3))</f>
        <v>77130.876512895615</v>
      </c>
      <c r="BF3">
        <f>BB3/BE3</f>
        <v>-44.279695567808261</v>
      </c>
      <c r="BG3">
        <f>BC3/BE3</f>
        <v>0.50775535806783612</v>
      </c>
      <c r="BH3">
        <f>BD3/BE3</f>
        <v>44.771940209740428</v>
      </c>
      <c r="BI3">
        <f>BF3 + BG3 + BH3</f>
        <v>1</v>
      </c>
      <c r="BJ3" s="56"/>
      <c r="BK3">
        <f>AH3*(AP3 + (AR3 - AO3)*AQ3)</f>
        <v>-9820.6625718633823</v>
      </c>
      <c r="BL3">
        <f>AL3*1*6.28</f>
        <v>0</v>
      </c>
      <c r="BM3">
        <f>($BU$46*($BV$34 - AN3)*((($BU$44*$BU$42+$BU$41) / (1-$BU$44))))</f>
        <v>1.1873159260843221E-3</v>
      </c>
      <c r="BN3">
        <f>((AP3 - $BU$46) + ($BU$47 - AO3 )*AQ3)</f>
        <v>0.18629994109431863</v>
      </c>
      <c r="BO3">
        <f>(BK3 + AK3 - BL3) / (BN3 + BM3)</f>
        <v>-52371.335459853959</v>
      </c>
      <c r="BW3" s="28" t="s">
        <v>35</v>
      </c>
      <c r="BX3" s="28" t="s">
        <v>118</v>
      </c>
    </row>
    <row r="4" spans="1:78" x14ac:dyDescent="0.3">
      <c r="A4" s="6">
        <v>44256</v>
      </c>
      <c r="B4" s="2">
        <v>1195.3557481290322</v>
      </c>
      <c r="C4" s="2">
        <v>1195.3178064516128</v>
      </c>
      <c r="D4" s="2">
        <v>3.7941677419354836E-2</v>
      </c>
      <c r="E4" s="2">
        <v>7137.7741935483873</v>
      </c>
      <c r="F4" s="2">
        <v>37054.851999999999</v>
      </c>
      <c r="G4" s="3">
        <v>4.9602981290000001E-3</v>
      </c>
      <c r="H4" s="2">
        <v>221271</v>
      </c>
      <c r="I4" s="2">
        <v>1.1761920000000001</v>
      </c>
      <c r="J4" s="2"/>
      <c r="K4" s="4">
        <v>4</v>
      </c>
      <c r="L4" s="2">
        <v>0</v>
      </c>
      <c r="M4" s="4">
        <v>4</v>
      </c>
      <c r="N4" s="7">
        <v>1.0300575486E-2</v>
      </c>
      <c r="O4" s="8">
        <v>0.57988600000000001</v>
      </c>
      <c r="P4" s="9">
        <v>0</v>
      </c>
      <c r="Q4" s="2">
        <v>3.1740908494179293E-3</v>
      </c>
      <c r="R4" s="2">
        <v>37.559192944556898</v>
      </c>
      <c r="S4" s="63"/>
      <c r="T4">
        <f t="shared" si="0"/>
        <v>59</v>
      </c>
      <c r="U4" s="20">
        <f t="shared" si="1"/>
        <v>3.1741916011430837E-5</v>
      </c>
      <c r="V4">
        <f t="shared" ref="V4:V59" si="5">(U5-U3)/(T5-T3)</f>
        <v>1.8217944276380241E-4</v>
      </c>
      <c r="W4" s="64"/>
      <c r="X4">
        <f>A3-$A$2</f>
        <v>31</v>
      </c>
      <c r="Y4" s="21">
        <f t="shared" ref="Y4:Y35" si="6">Y3+F3</f>
        <v>39893.406000000003</v>
      </c>
      <c r="Z4">
        <f t="shared" ref="Z4:Z60" si="7">(Y4*100)/$BV$33</f>
        <v>0.12094408367439746</v>
      </c>
      <c r="AB4">
        <f t="shared" si="2"/>
        <v>31</v>
      </c>
      <c r="AC4">
        <f t="shared" ref="AC4:AC67" si="8" xml:space="preserve"> 1742.18324*EXP(-0.0004*AB4)</f>
        <v>1720.7135549687198</v>
      </c>
      <c r="AF4" s="61"/>
      <c r="AH4" s="21">
        <f>AH3+F4</f>
        <v>60010.176999999996</v>
      </c>
      <c r="AI4" s="21">
        <f>AI3+H4</f>
        <v>441807</v>
      </c>
      <c r="AJ4" s="21">
        <f t="shared" ref="AJ4:AJ53" si="9">AI4*35.3147</f>
        <v>15602281.662900001</v>
      </c>
      <c r="AK4" s="21">
        <f>AK3+I4</f>
        <v>2.8807320000000001</v>
      </c>
      <c r="AL4" s="21">
        <f>AL3+J3</f>
        <v>0</v>
      </c>
      <c r="AM4">
        <f t="shared" si="3"/>
        <v>28</v>
      </c>
      <c r="AN4">
        <f t="shared" ref="AN4:AN53" si="10" xml:space="preserve"> (-0.1692*AM4) + 2236.2</f>
        <v>2231.4623999999999</v>
      </c>
      <c r="AO4">
        <f t="shared" ref="AO4:AO53" si="11">$BU$38*((((AN4/18.2) + 1.4)*10^$BW$45)^1.2048)</f>
        <v>553.22434236821664</v>
      </c>
      <c r="AP4">
        <f t="shared" ref="AP4:AP53" si="12">0.9759 + (0.00012*(($BV$36*($BU$38/$BU$37)^0.5) + (1.25*($BV$40-460)))^1.2)</f>
        <v>1.2553690959938046</v>
      </c>
      <c r="AQ4">
        <f t="shared" si="4"/>
        <v>7.8326765801655443E-3</v>
      </c>
      <c r="AR4" s="22">
        <f t="shared" ref="AR4:AR53" si="13">AJ4/AH4</f>
        <v>259.99392841150927</v>
      </c>
      <c r="AS4" s="22">
        <f t="shared" ref="AS4:AS53" si="14">AH4*(AP4 + (AR4-70)*AQ4) + AK4*1</f>
        <v>164642.60700389711</v>
      </c>
      <c r="AT4">
        <f t="shared" ref="AT4:AT53" si="15">$BV$33*((AP4 - $BU$46) + (70 - 70)*AQ4)</f>
        <v>-3415331.7308692303</v>
      </c>
      <c r="AU4">
        <f t="shared" ref="AU4:AU53" si="16">$BV$33*($BU$46*($BV$34 - AN4)*((($BU$44*$BU$42+$BU$41) / (1-$BU$44))))</f>
        <v>40650.112531643077</v>
      </c>
      <c r="AV4">
        <f t="shared" ref="AV4:AV53" si="17">AS4 - AT4 - AU4</f>
        <v>3539324.2253414844</v>
      </c>
      <c r="AW4">
        <f t="shared" ref="AW4:AW53" si="18">AH4*(AP4 + (AR4-70)*AQ4)</f>
        <v>164639.72627189712</v>
      </c>
      <c r="AX4">
        <f t="shared" ref="AX4:AX53" si="19">AV4 - AK4*1</f>
        <v>3539321.3446094845</v>
      </c>
      <c r="AY4">
        <f t="shared" ref="AY4:AY53" si="20">(AW4 - AX4) / ((AT4/$BV$33)+(AU4/$BV$33))</f>
        <v>32985000</v>
      </c>
      <c r="AZ4" s="58"/>
      <c r="BB4">
        <f t="shared" ref="BB4:BB53" si="21">AT4*1</f>
        <v>-3415331.7308692303</v>
      </c>
      <c r="BC4">
        <f t="shared" ref="BC4:BC53" si="22">AU4*1</f>
        <v>40650.112531643077</v>
      </c>
      <c r="BD4">
        <f t="shared" ref="BD4:BD53" si="23">AX4*1</f>
        <v>3539321.3446094845</v>
      </c>
      <c r="BE4">
        <f t="shared" ref="BE4:BE53" si="24">AH4*(AP4 +((AR4 - 70)*AQ4))</f>
        <v>164639.72627189712</v>
      </c>
      <c r="BF4">
        <f t="shared" ref="BF4:BF53" si="25">BB4/BE4</f>
        <v>-20.744274836979027</v>
      </c>
      <c r="BG4">
        <f t="shared" ref="BG4:BG53" si="26">BC4/BE4</f>
        <v>0.24690342636084531</v>
      </c>
      <c r="BH4">
        <f t="shared" ref="BH4:BH53" si="27">BD4/BE4</f>
        <v>21.497371410618182</v>
      </c>
      <c r="BI4">
        <f t="shared" ref="BI4:BI53" si="28">BF4 + BG4 + BH4</f>
        <v>1</v>
      </c>
      <c r="BJ4" s="56"/>
      <c r="BK4">
        <f t="shared" ref="BK4:BK53" si="29">AH4*(AP4 + (AR4 - AO4)*AQ4)</f>
        <v>-62495.192428380957</v>
      </c>
      <c r="BL4">
        <f t="shared" ref="BL4:BL53" si="30">AL4*1*6.28</f>
        <v>0</v>
      </c>
      <c r="BM4">
        <f t="shared" ref="BM4:BM53" si="31">($BU$46*($BV$34 - AN4)*((($BU$44*$BU$42+$BU$41) / (1-$BU$44))))</f>
        <v>1.2323817653976982E-3</v>
      </c>
      <c r="BN4">
        <f t="shared" ref="BN4:BN53" si="32">((AP4 - $BU$46) + ($BU$47 - AO4 )*AQ4)</f>
        <v>0.19787649044017391</v>
      </c>
      <c r="BO4">
        <f t="shared" ref="BO4:BO53" si="33">(BK4 + AK4 - BL4) / (BN4 + BM4)</f>
        <v>-313860.00535355479</v>
      </c>
    </row>
    <row r="5" spans="1:78" x14ac:dyDescent="0.3">
      <c r="A5" s="6">
        <v>44287</v>
      </c>
      <c r="B5" s="2">
        <v>1754.9663581666669</v>
      </c>
      <c r="C5" s="2">
        <v>1736.1759999999999</v>
      </c>
      <c r="D5" s="2">
        <v>18.790358166666664</v>
      </c>
      <c r="E5" s="2">
        <v>8714.9</v>
      </c>
      <c r="F5" s="2">
        <v>52085.279999999999</v>
      </c>
      <c r="G5" s="3">
        <v>6.9714043369999996E-3</v>
      </c>
      <c r="H5" s="2">
        <v>261447</v>
      </c>
      <c r="I5" s="2">
        <v>563.71074499999997</v>
      </c>
      <c r="J5" s="2"/>
      <c r="K5" s="4">
        <v>4</v>
      </c>
      <c r="L5" s="2">
        <v>0</v>
      </c>
      <c r="M5" s="4">
        <v>4</v>
      </c>
      <c r="N5" s="7">
        <v>1.7271979823000001E-2</v>
      </c>
      <c r="O5" s="8">
        <v>0.841333</v>
      </c>
      <c r="P5" s="9">
        <v>0</v>
      </c>
      <c r="Q5" s="2">
        <v>1.0706962033332708</v>
      </c>
      <c r="R5" s="2">
        <v>31.572247295205091</v>
      </c>
      <c r="S5" s="63"/>
      <c r="T5">
        <f t="shared" si="0"/>
        <v>90</v>
      </c>
      <c r="U5" s="20">
        <f t="shared" si="1"/>
        <v>1.0822841789465276E-2</v>
      </c>
      <c r="V5">
        <f t="shared" si="5"/>
        <v>3.9875932749412898E-5</v>
      </c>
      <c r="W5" s="64"/>
      <c r="X5">
        <f t="shared" ref="X5:X59" si="34">A4-$A$2</f>
        <v>59</v>
      </c>
      <c r="Y5" s="21">
        <f t="shared" si="6"/>
        <v>76948.258000000002</v>
      </c>
      <c r="Z5">
        <f t="shared" si="7"/>
        <v>0.23328257692890708</v>
      </c>
      <c r="AB5">
        <f t="shared" si="2"/>
        <v>59</v>
      </c>
      <c r="AC5">
        <f t="shared" si="8"/>
        <v>1701.5490845197635</v>
      </c>
      <c r="AF5" s="61"/>
      <c r="AH5" s="21">
        <f t="shared" ref="AH5:AH53" si="35">AH4+F5</f>
        <v>112095.45699999999</v>
      </c>
      <c r="AI5" s="21">
        <f t="shared" ref="AI5:AI53" si="36">AI4+H5</f>
        <v>703254</v>
      </c>
      <c r="AJ5" s="21">
        <f t="shared" si="9"/>
        <v>24835204.033800002</v>
      </c>
      <c r="AK5" s="21">
        <f>AK4+H4</f>
        <v>221273.88073199999</v>
      </c>
      <c r="AL5" s="21">
        <f t="shared" ref="AL5:AL53" si="37">AL4+J4</f>
        <v>0</v>
      </c>
      <c r="AM5">
        <f t="shared" si="3"/>
        <v>59</v>
      </c>
      <c r="AN5">
        <f t="shared" si="10"/>
        <v>2226.2171999999996</v>
      </c>
      <c r="AO5">
        <f t="shared" si="11"/>
        <v>551.67568840811134</v>
      </c>
      <c r="AP5">
        <f t="shared" si="12"/>
        <v>1.2553690959938046</v>
      </c>
      <c r="AQ5">
        <f t="shared" si="4"/>
        <v>7.8511311834263079E-3</v>
      </c>
      <c r="AR5" s="22">
        <f t="shared" si="13"/>
        <v>221.55406381723395</v>
      </c>
      <c r="AS5" s="22">
        <f t="shared" si="14"/>
        <v>495374.16842950584</v>
      </c>
      <c r="AT5">
        <f t="shared" si="15"/>
        <v>-3415331.7308692303</v>
      </c>
      <c r="AU5">
        <f t="shared" si="16"/>
        <v>42295.876746011163</v>
      </c>
      <c r="AV5">
        <f t="shared" si="17"/>
        <v>3868410.0225527254</v>
      </c>
      <c r="AW5">
        <f t="shared" si="18"/>
        <v>274100.28769750585</v>
      </c>
      <c r="AX5">
        <f t="shared" si="19"/>
        <v>3647136.1418207255</v>
      </c>
      <c r="AY5">
        <f t="shared" si="20"/>
        <v>32985000.000000007</v>
      </c>
      <c r="AZ5" s="58"/>
      <c r="BB5">
        <f t="shared" si="21"/>
        <v>-3415331.7308692303</v>
      </c>
      <c r="BC5">
        <f t="shared" si="22"/>
        <v>42295.876746011163</v>
      </c>
      <c r="BD5">
        <f t="shared" si="23"/>
        <v>3647136.1418207255</v>
      </c>
      <c r="BE5">
        <f t="shared" si="24"/>
        <v>274100.28769750585</v>
      </c>
      <c r="BF5">
        <f t="shared" si="25"/>
        <v>-12.460153761817113</v>
      </c>
      <c r="BG5">
        <f t="shared" si="26"/>
        <v>0.15430803484850203</v>
      </c>
      <c r="BH5">
        <f t="shared" si="27"/>
        <v>13.305845726968613</v>
      </c>
      <c r="BI5">
        <f t="shared" si="28"/>
        <v>1.0000000000000018</v>
      </c>
      <c r="BJ5" s="56"/>
      <c r="BK5">
        <f t="shared" si="29"/>
        <v>-149810.99191225006</v>
      </c>
      <c r="BL5">
        <f t="shared" si="30"/>
        <v>0</v>
      </c>
      <c r="BM5">
        <f t="shared" si="31"/>
        <v>1.282276087494654E-3</v>
      </c>
      <c r="BN5">
        <f t="shared" si="32"/>
        <v>0.21074534916990056</v>
      </c>
      <c r="BO5">
        <f t="shared" si="33"/>
        <v>337045.17858461186</v>
      </c>
      <c r="BW5" s="59" t="s">
        <v>64</v>
      </c>
      <c r="BX5" s="59"/>
      <c r="BY5" s="41">
        <f>AD378+Y60</f>
        <v>2021849.3897922076</v>
      </c>
    </row>
    <row r="6" spans="1:78" x14ac:dyDescent="0.3">
      <c r="A6" s="6">
        <v>44317</v>
      </c>
      <c r="B6" s="2">
        <v>935.11332725806449</v>
      </c>
      <c r="C6" s="2">
        <v>932.81470967741939</v>
      </c>
      <c r="D6" s="2">
        <v>2.2986175806451614</v>
      </c>
      <c r="E6" s="2">
        <v>5676.1290322580644</v>
      </c>
      <c r="F6" s="2">
        <v>28917.256000000001</v>
      </c>
      <c r="G6" s="3">
        <v>3.869131674E-3</v>
      </c>
      <c r="H6" s="2">
        <v>175960</v>
      </c>
      <c r="I6" s="2">
        <v>71.257145000000008</v>
      </c>
      <c r="J6" s="2"/>
      <c r="K6" s="4">
        <v>4</v>
      </c>
      <c r="L6" s="2">
        <v>0</v>
      </c>
      <c r="M6" s="4">
        <v>4</v>
      </c>
      <c r="N6" s="7">
        <v>2.1141111497000001E-2</v>
      </c>
      <c r="O6" s="8">
        <v>1.017293</v>
      </c>
      <c r="P6" s="9">
        <v>0</v>
      </c>
      <c r="Q6" s="2">
        <v>0.24581165872003541</v>
      </c>
      <c r="R6" s="2">
        <v>38.273106134274975</v>
      </c>
      <c r="S6" s="63"/>
      <c r="T6">
        <f t="shared" si="0"/>
        <v>120</v>
      </c>
      <c r="U6" s="20">
        <f t="shared" si="1"/>
        <v>2.4641738137256178E-3</v>
      </c>
      <c r="V6">
        <f t="shared" si="5"/>
        <v>-1.346647748078669E-4</v>
      </c>
      <c r="W6" s="64"/>
      <c r="X6">
        <f t="shared" si="34"/>
        <v>90</v>
      </c>
      <c r="Y6" s="21">
        <f t="shared" si="6"/>
        <v>129033.538</v>
      </c>
      <c r="Z6">
        <f t="shared" si="7"/>
        <v>0.39118853418220406</v>
      </c>
      <c r="AB6">
        <f t="shared" si="2"/>
        <v>90</v>
      </c>
      <c r="AC6">
        <f t="shared" si="8"/>
        <v>1680.5801519349784</v>
      </c>
      <c r="AF6" s="61"/>
      <c r="AH6" s="21">
        <f t="shared" si="35"/>
        <v>141012.71299999999</v>
      </c>
      <c r="AI6" s="21">
        <f t="shared" si="36"/>
        <v>879214</v>
      </c>
      <c r="AJ6" s="21">
        <f t="shared" si="9"/>
        <v>31049178.645800002</v>
      </c>
      <c r="AK6" s="21">
        <f t="shared" ref="AK6:AK53" si="38">AK5+H5</f>
        <v>482720.88073199999</v>
      </c>
      <c r="AL6" s="21">
        <f t="shared" si="37"/>
        <v>0</v>
      </c>
      <c r="AM6">
        <f t="shared" si="3"/>
        <v>89</v>
      </c>
      <c r="AN6">
        <f t="shared" si="10"/>
        <v>2221.1412</v>
      </c>
      <c r="AO6">
        <f t="shared" si="11"/>
        <v>550.1776942975622</v>
      </c>
      <c r="AP6">
        <f t="shared" si="12"/>
        <v>1.2553690959938046</v>
      </c>
      <c r="AQ6">
        <f t="shared" si="4"/>
        <v>7.8690734654780162E-3</v>
      </c>
      <c r="AR6" s="22">
        <f t="shared" si="13"/>
        <v>220.18708799539235</v>
      </c>
      <c r="AS6" s="22">
        <f t="shared" si="14"/>
        <v>826397.39270955953</v>
      </c>
      <c r="AT6">
        <f t="shared" si="15"/>
        <v>-3415331.7308692303</v>
      </c>
      <c r="AU6">
        <f t="shared" si="16"/>
        <v>43888.55179217361</v>
      </c>
      <c r="AV6">
        <f t="shared" si="17"/>
        <v>4197840.571786616</v>
      </c>
      <c r="AW6">
        <f t="shared" si="18"/>
        <v>343676.5119775596</v>
      </c>
      <c r="AX6">
        <f t="shared" si="19"/>
        <v>3715119.6910546161</v>
      </c>
      <c r="AY6">
        <f t="shared" si="20"/>
        <v>32985000.000000004</v>
      </c>
      <c r="AZ6" s="58"/>
      <c r="BB6">
        <f t="shared" si="21"/>
        <v>-3415331.7308692303</v>
      </c>
      <c r="BC6">
        <f t="shared" si="22"/>
        <v>43888.55179217361</v>
      </c>
      <c r="BD6">
        <f t="shared" si="23"/>
        <v>3715119.6910546161</v>
      </c>
      <c r="BE6">
        <f t="shared" si="24"/>
        <v>343676.5119775596</v>
      </c>
      <c r="BF6">
        <f t="shared" si="25"/>
        <v>-9.9376349905815928</v>
      </c>
      <c r="BG6">
        <f t="shared" si="26"/>
        <v>0.12770308782416681</v>
      </c>
      <c r="BH6">
        <f t="shared" si="27"/>
        <v>10.809931902757427</v>
      </c>
      <c r="BI6">
        <f t="shared" si="28"/>
        <v>1</v>
      </c>
      <c r="BJ6" s="56"/>
      <c r="BK6">
        <f t="shared" si="29"/>
        <v>-189147.57573426043</v>
      </c>
      <c r="BL6">
        <f t="shared" si="30"/>
        <v>0</v>
      </c>
      <c r="BM6">
        <f t="shared" si="31"/>
        <v>1.330560915330411E-3</v>
      </c>
      <c r="BN6">
        <f t="shared" si="32"/>
        <v>0.22325141935796494</v>
      </c>
      <c r="BO6">
        <f t="shared" si="33"/>
        <v>1307198.8440055975</v>
      </c>
    </row>
    <row r="7" spans="1:78" x14ac:dyDescent="0.3">
      <c r="A7" s="6">
        <v>44348</v>
      </c>
      <c r="B7" s="2">
        <v>832.02982980000002</v>
      </c>
      <c r="C7" s="2">
        <v>829.86529999999993</v>
      </c>
      <c r="D7" s="2">
        <v>2.1645297999999999</v>
      </c>
      <c r="E7" s="2">
        <v>5787.4</v>
      </c>
      <c r="F7" s="2">
        <v>24895.959000000003</v>
      </c>
      <c r="G7" s="3">
        <v>3.3310817360000002E-3</v>
      </c>
      <c r="H7" s="2">
        <v>173622</v>
      </c>
      <c r="I7" s="2">
        <v>64.935894000000005</v>
      </c>
      <c r="J7" s="2"/>
      <c r="K7" s="4">
        <v>4</v>
      </c>
      <c r="L7" s="2">
        <v>0</v>
      </c>
      <c r="M7" s="4">
        <v>4</v>
      </c>
      <c r="N7" s="7">
        <v>2.4472193233000001E-2</v>
      </c>
      <c r="O7" s="8">
        <v>1.1909149999999999</v>
      </c>
      <c r="P7" s="9">
        <v>0</v>
      </c>
      <c r="Q7" s="2">
        <v>0.26015050452221178</v>
      </c>
      <c r="R7" s="2">
        <v>43.864454291557912</v>
      </c>
      <c r="S7" s="63"/>
      <c r="T7">
        <f t="shared" si="0"/>
        <v>151</v>
      </c>
      <c r="U7" s="20">
        <f t="shared" si="1"/>
        <v>2.6082905261853944E-3</v>
      </c>
      <c r="V7">
        <f t="shared" si="5"/>
        <v>4.2673369738449542E-4</v>
      </c>
      <c r="W7" s="64"/>
      <c r="X7">
        <f t="shared" si="34"/>
        <v>120</v>
      </c>
      <c r="Y7" s="21">
        <f t="shared" si="6"/>
        <v>157950.79399999999</v>
      </c>
      <c r="Z7">
        <f t="shared" si="7"/>
        <v>0.47885643171138392</v>
      </c>
      <c r="AB7">
        <f t="shared" si="2"/>
        <v>120</v>
      </c>
      <c r="AC7">
        <f t="shared" si="8"/>
        <v>1660.5337093241574</v>
      </c>
      <c r="AF7" s="61"/>
      <c r="AH7" s="21">
        <f t="shared" si="35"/>
        <v>165908.67199999999</v>
      </c>
      <c r="AI7" s="21">
        <f t="shared" si="36"/>
        <v>1052836</v>
      </c>
      <c r="AJ7" s="21">
        <f t="shared" si="9"/>
        <v>37180587.489200003</v>
      </c>
      <c r="AK7" s="21">
        <f t="shared" si="38"/>
        <v>658680.88073199999</v>
      </c>
      <c r="AL7" s="21">
        <f t="shared" si="37"/>
        <v>0</v>
      </c>
      <c r="AM7">
        <f t="shared" si="3"/>
        <v>120</v>
      </c>
      <c r="AN7">
        <f t="shared" si="10"/>
        <v>2215.8959999999997</v>
      </c>
      <c r="AO7">
        <f t="shared" si="11"/>
        <v>548.63049509692951</v>
      </c>
      <c r="AP7">
        <f t="shared" si="12"/>
        <v>1.2553690959938046</v>
      </c>
      <c r="AQ7">
        <f t="shared" si="4"/>
        <v>7.887700180874915E-3</v>
      </c>
      <c r="AR7" s="22">
        <f t="shared" si="13"/>
        <v>224.10273701184229</v>
      </c>
      <c r="AS7" s="22">
        <f t="shared" si="14"/>
        <v>1068622.1766317529</v>
      </c>
      <c r="AT7">
        <f t="shared" si="15"/>
        <v>-3415331.7308692303</v>
      </c>
      <c r="AU7">
        <f t="shared" si="16"/>
        <v>45534.316006541689</v>
      </c>
      <c r="AV7">
        <f t="shared" si="17"/>
        <v>4438419.591494442</v>
      </c>
      <c r="AW7">
        <f t="shared" si="18"/>
        <v>409941.29589975288</v>
      </c>
      <c r="AX7">
        <f t="shared" si="19"/>
        <v>3779738.7107624421</v>
      </c>
      <c r="AY7">
        <f t="shared" si="20"/>
        <v>32985000.000000007</v>
      </c>
      <c r="AZ7" s="58"/>
      <c r="BB7">
        <f t="shared" si="21"/>
        <v>-3415331.7308692303</v>
      </c>
      <c r="BC7">
        <f t="shared" si="22"/>
        <v>45534.316006541689</v>
      </c>
      <c r="BD7">
        <f t="shared" si="23"/>
        <v>3779738.7107624421</v>
      </c>
      <c r="BE7">
        <f t="shared" si="24"/>
        <v>409941.29589975288</v>
      </c>
      <c r="BF7">
        <f t="shared" si="25"/>
        <v>-8.3312702697422711</v>
      </c>
      <c r="BG7">
        <f t="shared" si="26"/>
        <v>0.11107521116310434</v>
      </c>
      <c r="BH7">
        <f t="shared" si="27"/>
        <v>9.2201950585791685</v>
      </c>
      <c r="BI7">
        <f t="shared" si="28"/>
        <v>1.0000000000000018</v>
      </c>
      <c r="BJ7" s="56"/>
      <c r="BK7">
        <f t="shared" si="29"/>
        <v>-216412.6919603945</v>
      </c>
      <c r="BL7">
        <f t="shared" si="30"/>
        <v>0</v>
      </c>
      <c r="BM7">
        <f t="shared" si="31"/>
        <v>1.3804552374273667E-3</v>
      </c>
      <c r="BN7">
        <f t="shared" si="32"/>
        <v>0.23622880840027116</v>
      </c>
      <c r="BO7">
        <f t="shared" si="33"/>
        <v>1861325.5308343805</v>
      </c>
    </row>
    <row r="8" spans="1:78" x14ac:dyDescent="0.3">
      <c r="A8" s="6">
        <v>44378</v>
      </c>
      <c r="B8" s="2">
        <v>1166.931673935484</v>
      </c>
      <c r="C8" s="2">
        <v>1134.6012903225808</v>
      </c>
      <c r="D8" s="2">
        <v>32.330383612903226</v>
      </c>
      <c r="E8" s="2">
        <v>6716.4516129032254</v>
      </c>
      <c r="F8" s="2">
        <v>35172.639999999999</v>
      </c>
      <c r="G8" s="3">
        <v>4.7061026649999997E-3</v>
      </c>
      <c r="H8" s="2">
        <v>208210</v>
      </c>
      <c r="I8" s="2">
        <v>1002.241892</v>
      </c>
      <c r="J8" s="2"/>
      <c r="K8" s="4">
        <v>4</v>
      </c>
      <c r="L8" s="2">
        <v>0</v>
      </c>
      <c r="M8" s="4">
        <v>4</v>
      </c>
      <c r="N8" s="7">
        <v>2.9178295898000001E-2</v>
      </c>
      <c r="O8" s="8">
        <v>1.399125</v>
      </c>
      <c r="P8" s="9">
        <v>0</v>
      </c>
      <c r="Q8" s="2">
        <v>2.7705464111595175</v>
      </c>
      <c r="R8" s="2">
        <v>37.233464931833382</v>
      </c>
      <c r="S8" s="63"/>
      <c r="T8">
        <f t="shared" si="0"/>
        <v>181</v>
      </c>
      <c r="U8" s="20">
        <f t="shared" si="1"/>
        <v>2.8494929354179837E-2</v>
      </c>
      <c r="V8">
        <f t="shared" si="5"/>
        <v>2.2168559843980615E-4</v>
      </c>
      <c r="W8" s="64"/>
      <c r="X8">
        <f t="shared" si="34"/>
        <v>151</v>
      </c>
      <c r="Y8" s="21">
        <f t="shared" si="6"/>
        <v>182846.753</v>
      </c>
      <c r="Z8">
        <f t="shared" si="7"/>
        <v>0.55433303926026989</v>
      </c>
      <c r="AB8">
        <f t="shared" si="2"/>
        <v>151</v>
      </c>
      <c r="AC8">
        <f t="shared" si="8"/>
        <v>1640.070227122932</v>
      </c>
      <c r="AF8" s="61"/>
      <c r="AH8" s="21">
        <f t="shared" si="35"/>
        <v>201081.31199999998</v>
      </c>
      <c r="AI8" s="21">
        <f t="shared" si="36"/>
        <v>1261046</v>
      </c>
      <c r="AJ8" s="21">
        <f t="shared" si="9"/>
        <v>44533461.176200002</v>
      </c>
      <c r="AK8" s="21">
        <f t="shared" si="38"/>
        <v>832302.88073199999</v>
      </c>
      <c r="AL8" s="21">
        <f t="shared" si="37"/>
        <v>0</v>
      </c>
      <c r="AM8">
        <f t="shared" si="3"/>
        <v>150</v>
      </c>
      <c r="AN8">
        <f t="shared" si="10"/>
        <v>2210.8199999999997</v>
      </c>
      <c r="AO8">
        <f t="shared" si="11"/>
        <v>547.1339113920734</v>
      </c>
      <c r="AP8">
        <f t="shared" si="12"/>
        <v>1.2553690959938046</v>
      </c>
      <c r="AQ8">
        <f t="shared" si="4"/>
        <v>7.9058101880750131E-3</v>
      </c>
      <c r="AR8" s="22">
        <f t="shared" si="13"/>
        <v>221.46991549468311</v>
      </c>
      <c r="AS8" s="22">
        <f t="shared" si="14"/>
        <v>1325527.4887228569</v>
      </c>
      <c r="AT8">
        <f t="shared" si="15"/>
        <v>-3415331.7308692303</v>
      </c>
      <c r="AU8">
        <f t="shared" si="16"/>
        <v>47126.991052704267</v>
      </c>
      <c r="AV8">
        <f t="shared" si="17"/>
        <v>4693732.228539383</v>
      </c>
      <c r="AW8">
        <f t="shared" si="18"/>
        <v>493224.60799085686</v>
      </c>
      <c r="AX8">
        <f t="shared" si="19"/>
        <v>3861429.3478073832</v>
      </c>
      <c r="AY8">
        <f t="shared" si="20"/>
        <v>32985000.000000004</v>
      </c>
      <c r="AZ8" s="58"/>
      <c r="BB8">
        <f t="shared" si="21"/>
        <v>-3415331.7308692303</v>
      </c>
      <c r="BC8">
        <f t="shared" si="22"/>
        <v>47126.991052704267</v>
      </c>
      <c r="BD8">
        <f t="shared" si="23"/>
        <v>3861429.3478073832</v>
      </c>
      <c r="BE8">
        <f t="shared" si="24"/>
        <v>493224.60799085686</v>
      </c>
      <c r="BF8">
        <f t="shared" si="25"/>
        <v>-6.9244958088801241</v>
      </c>
      <c r="BG8">
        <f t="shared" si="26"/>
        <v>9.5548742477946036E-2</v>
      </c>
      <c r="BH8">
        <f t="shared" si="27"/>
        <v>7.8289470664021783</v>
      </c>
      <c r="BI8">
        <f t="shared" si="28"/>
        <v>1</v>
      </c>
      <c r="BJ8" s="56"/>
      <c r="BK8">
        <f t="shared" si="29"/>
        <v>-265280.26914457098</v>
      </c>
      <c r="BL8">
        <f t="shared" si="30"/>
        <v>0</v>
      </c>
      <c r="BM8">
        <f t="shared" si="31"/>
        <v>1.4287400652631278E-3</v>
      </c>
      <c r="BN8">
        <f t="shared" si="32"/>
        <v>0.24884062223278408</v>
      </c>
      <c r="BO8">
        <f t="shared" si="33"/>
        <v>2265649.3243154492</v>
      </c>
    </row>
    <row r="9" spans="1:78" x14ac:dyDescent="0.3">
      <c r="A9" s="6">
        <v>44409</v>
      </c>
      <c r="B9" s="2">
        <v>1167.1622848387096</v>
      </c>
      <c r="C9" s="2">
        <v>1148.6335483870967</v>
      </c>
      <c r="D9" s="2">
        <v>18.528736451612904</v>
      </c>
      <c r="E9" s="2">
        <v>7574.6129032258068</v>
      </c>
      <c r="F9" s="2">
        <v>35607.64</v>
      </c>
      <c r="G9" s="3">
        <v>4.7643057059999997E-3</v>
      </c>
      <c r="H9" s="2">
        <v>234813</v>
      </c>
      <c r="I9" s="2">
        <v>574.39082999999994</v>
      </c>
      <c r="J9" s="2"/>
      <c r="K9" s="4">
        <v>4</v>
      </c>
      <c r="L9" s="2">
        <v>0</v>
      </c>
      <c r="M9" s="4">
        <v>4</v>
      </c>
      <c r="N9" s="7">
        <v>3.3942601603999999E-2</v>
      </c>
      <c r="O9" s="8">
        <v>1.6339379999999999</v>
      </c>
      <c r="P9" s="9">
        <v>0</v>
      </c>
      <c r="Q9" s="2">
        <v>1.5875030141308404</v>
      </c>
      <c r="R9" s="2">
        <v>41.477806656099638</v>
      </c>
      <c r="S9" s="63"/>
      <c r="T9">
        <f t="shared" si="0"/>
        <v>212</v>
      </c>
      <c r="U9" s="20">
        <f t="shared" si="1"/>
        <v>1.613111203101357E-2</v>
      </c>
      <c r="V9">
        <f t="shared" si="5"/>
        <v>-1.348992486857531E-4</v>
      </c>
      <c r="W9" s="64"/>
      <c r="X9">
        <f t="shared" si="34"/>
        <v>181</v>
      </c>
      <c r="Y9" s="21">
        <f t="shared" si="6"/>
        <v>218019.39299999998</v>
      </c>
      <c r="Z9">
        <f t="shared" si="7"/>
        <v>0.6609652660300136</v>
      </c>
      <c r="AB9">
        <f t="shared" si="2"/>
        <v>181</v>
      </c>
      <c r="AC9">
        <f t="shared" si="8"/>
        <v>1620.506998527211</v>
      </c>
      <c r="AF9" s="61"/>
      <c r="AH9" s="21">
        <f t="shared" si="35"/>
        <v>236688.95199999999</v>
      </c>
      <c r="AI9" s="21">
        <f t="shared" si="36"/>
        <v>1495859</v>
      </c>
      <c r="AJ9" s="21">
        <f t="shared" si="9"/>
        <v>52825811.827300005</v>
      </c>
      <c r="AK9" s="21">
        <f t="shared" si="38"/>
        <v>1040512.880732</v>
      </c>
      <c r="AL9" s="21">
        <f t="shared" si="37"/>
        <v>0</v>
      </c>
      <c r="AM9">
        <f t="shared" si="3"/>
        <v>181</v>
      </c>
      <c r="AN9">
        <f t="shared" si="10"/>
        <v>2205.5747999999999</v>
      </c>
      <c r="AO9">
        <f t="shared" si="11"/>
        <v>545.58817228146415</v>
      </c>
      <c r="AP9">
        <f t="shared" si="12"/>
        <v>1.2553690959938046</v>
      </c>
      <c r="AQ9">
        <f t="shared" si="4"/>
        <v>7.9246114346246607E-3</v>
      </c>
      <c r="AR9" s="22">
        <f t="shared" si="13"/>
        <v>223.18663959989146</v>
      </c>
      <c r="AS9" s="22">
        <f t="shared" si="14"/>
        <v>1624972.1506031165</v>
      </c>
      <c r="AT9">
        <f t="shared" si="15"/>
        <v>-3415331.7308692303</v>
      </c>
      <c r="AU9">
        <f t="shared" si="16"/>
        <v>48772.755267072207</v>
      </c>
      <c r="AV9">
        <f t="shared" si="17"/>
        <v>4991531.1262052748</v>
      </c>
      <c r="AW9">
        <f t="shared" si="18"/>
        <v>584459.26987111638</v>
      </c>
      <c r="AX9">
        <f t="shared" si="19"/>
        <v>3951018.245473275</v>
      </c>
      <c r="AY9">
        <f t="shared" si="20"/>
        <v>32985000.000000004</v>
      </c>
      <c r="AZ9" s="58"/>
      <c r="BB9">
        <f t="shared" si="21"/>
        <v>-3415331.7308692303</v>
      </c>
      <c r="BC9">
        <f t="shared" si="22"/>
        <v>48772.755267072207</v>
      </c>
      <c r="BD9">
        <f t="shared" si="23"/>
        <v>3951018.245473275</v>
      </c>
      <c r="BE9">
        <f t="shared" si="24"/>
        <v>584459.26987111638</v>
      </c>
      <c r="BF9">
        <f t="shared" si="25"/>
        <v>-5.8435752616642924</v>
      </c>
      <c r="BG9">
        <f t="shared" si="26"/>
        <v>8.3449365561140756E-2</v>
      </c>
      <c r="BH9">
        <f t="shared" si="27"/>
        <v>6.760125896103153</v>
      </c>
      <c r="BI9">
        <f t="shared" si="28"/>
        <v>1.0000000000000009</v>
      </c>
      <c r="BJ9" s="56"/>
      <c r="BK9">
        <f t="shared" si="29"/>
        <v>-307586.23438883474</v>
      </c>
      <c r="BL9">
        <f t="shared" si="30"/>
        <v>0</v>
      </c>
      <c r="BM9">
        <f t="shared" si="31"/>
        <v>1.4786343873600791E-3</v>
      </c>
      <c r="BN9">
        <f t="shared" si="32"/>
        <v>0.26192802467806114</v>
      </c>
      <c r="BO9">
        <f t="shared" si="33"/>
        <v>2782490.955026051</v>
      </c>
    </row>
    <row r="10" spans="1:78" x14ac:dyDescent="0.3">
      <c r="A10" s="6">
        <v>44440</v>
      </c>
      <c r="B10" s="2">
        <v>1183.3084684666665</v>
      </c>
      <c r="C10" s="2">
        <v>1159.9571666666666</v>
      </c>
      <c r="D10" s="2">
        <v>23.351301800000002</v>
      </c>
      <c r="E10" s="2">
        <v>7861.6666666666661</v>
      </c>
      <c r="F10" s="2">
        <v>34798.714999999997</v>
      </c>
      <c r="G10" s="3">
        <v>4.6560714599999994E-3</v>
      </c>
      <c r="H10" s="2">
        <v>235850</v>
      </c>
      <c r="I10" s="2">
        <v>700.53905400000008</v>
      </c>
      <c r="J10" s="2"/>
      <c r="K10" s="4">
        <v>4</v>
      </c>
      <c r="L10" s="2">
        <v>0</v>
      </c>
      <c r="M10" s="4">
        <v>4</v>
      </c>
      <c r="N10" s="7">
        <v>3.8598673064E-2</v>
      </c>
      <c r="O10" s="8">
        <v>1.8697879999999998</v>
      </c>
      <c r="P10" s="9">
        <v>0</v>
      </c>
      <c r="Q10" s="2">
        <v>1.9733909138889765</v>
      </c>
      <c r="R10" s="2">
        <v>42.629428414238859</v>
      </c>
      <c r="S10" s="63"/>
      <c r="T10">
        <f t="shared" si="0"/>
        <v>243</v>
      </c>
      <c r="U10" s="20">
        <f t="shared" si="1"/>
        <v>2.0131175935663145E-2</v>
      </c>
      <c r="V10">
        <f t="shared" si="5"/>
        <v>9.6102739848705137E-5</v>
      </c>
      <c r="W10" s="64"/>
      <c r="X10">
        <f t="shared" si="34"/>
        <v>212</v>
      </c>
      <c r="Y10" s="21">
        <f t="shared" si="6"/>
        <v>253627.033</v>
      </c>
      <c r="Z10">
        <f t="shared" si="7"/>
        <v>0.76891627406396845</v>
      </c>
      <c r="AB10">
        <f t="shared" si="2"/>
        <v>212</v>
      </c>
      <c r="AC10">
        <f t="shared" si="8"/>
        <v>1600.5367829663242</v>
      </c>
      <c r="AF10" s="61"/>
      <c r="AH10" s="21">
        <f t="shared" si="35"/>
        <v>271487.66700000002</v>
      </c>
      <c r="AI10" s="21">
        <f t="shared" si="36"/>
        <v>1731709</v>
      </c>
      <c r="AJ10" s="21">
        <f t="shared" si="9"/>
        <v>61154783.822300002</v>
      </c>
      <c r="AK10" s="21">
        <f t="shared" si="38"/>
        <v>1275325.8807319999</v>
      </c>
      <c r="AL10" s="21">
        <f t="shared" si="37"/>
        <v>0</v>
      </c>
      <c r="AM10">
        <f t="shared" si="3"/>
        <v>212</v>
      </c>
      <c r="AN10">
        <f t="shared" si="10"/>
        <v>2200.3296</v>
      </c>
      <c r="AO10">
        <f t="shared" si="11"/>
        <v>544.04317724081898</v>
      </c>
      <c r="AP10">
        <f t="shared" si="12"/>
        <v>1.2553690959938046</v>
      </c>
      <c r="AQ10">
        <f t="shared" si="4"/>
        <v>7.9435023189253096E-3</v>
      </c>
      <c r="AR10" s="22">
        <f t="shared" si="13"/>
        <v>225.25805499039481</v>
      </c>
      <c r="AS10" s="22">
        <f t="shared" si="14"/>
        <v>1950966.8710668844</v>
      </c>
      <c r="AT10">
        <f t="shared" si="15"/>
        <v>-3415331.7308692303</v>
      </c>
      <c r="AU10">
        <f t="shared" si="16"/>
        <v>50418.519481440155</v>
      </c>
      <c r="AV10">
        <f t="shared" si="17"/>
        <v>5315880.0824546749</v>
      </c>
      <c r="AW10">
        <f t="shared" si="18"/>
        <v>675640.9903348845</v>
      </c>
      <c r="AX10">
        <f t="shared" si="19"/>
        <v>4040554.201722675</v>
      </c>
      <c r="AY10">
        <f t="shared" si="20"/>
        <v>32985000.000000007</v>
      </c>
      <c r="AZ10" s="58"/>
      <c r="BB10">
        <f t="shared" si="21"/>
        <v>-3415331.7308692303</v>
      </c>
      <c r="BC10">
        <f t="shared" si="22"/>
        <v>50418.519481440155</v>
      </c>
      <c r="BD10">
        <f t="shared" si="23"/>
        <v>4040554.201722675</v>
      </c>
      <c r="BE10">
        <f t="shared" si="24"/>
        <v>675640.9903348845</v>
      </c>
      <c r="BF10">
        <f t="shared" si="25"/>
        <v>-5.0549504540516494</v>
      </c>
      <c r="BG10">
        <f t="shared" si="26"/>
        <v>7.4623239564624383E-2</v>
      </c>
      <c r="BH10">
        <f t="shared" si="27"/>
        <v>5.9803272144870254</v>
      </c>
      <c r="BI10">
        <f t="shared" si="28"/>
        <v>1</v>
      </c>
      <c r="BJ10" s="56"/>
      <c r="BK10">
        <f t="shared" si="29"/>
        <v>-346662.94456665829</v>
      </c>
      <c r="BL10">
        <f t="shared" si="30"/>
        <v>0</v>
      </c>
      <c r="BM10">
        <f t="shared" si="31"/>
        <v>1.5285287094570306E-3</v>
      </c>
      <c r="BN10">
        <f t="shared" si="32"/>
        <v>0.27507191274769061</v>
      </c>
      <c r="BO10">
        <f t="shared" si="33"/>
        <v>3357416.6811632328</v>
      </c>
    </row>
    <row r="11" spans="1:78" x14ac:dyDescent="0.3">
      <c r="A11" s="6">
        <v>44470</v>
      </c>
      <c r="B11" s="2">
        <v>1222.0242530967739</v>
      </c>
      <c r="C11" s="2">
        <v>1195.7261935483871</v>
      </c>
      <c r="D11" s="2">
        <v>26.298059548387094</v>
      </c>
      <c r="E11" s="2">
        <v>7260.5483870967737</v>
      </c>
      <c r="F11" s="2">
        <v>37067.512000000002</v>
      </c>
      <c r="G11" s="3">
        <v>4.959636727E-3</v>
      </c>
      <c r="H11" s="2">
        <v>225077</v>
      </c>
      <c r="I11" s="2">
        <v>815.23984599999994</v>
      </c>
      <c r="J11" s="2"/>
      <c r="K11" s="4">
        <v>4</v>
      </c>
      <c r="L11" s="2">
        <v>0</v>
      </c>
      <c r="M11" s="4">
        <v>4</v>
      </c>
      <c r="N11" s="7">
        <v>4.3558309790999998E-2</v>
      </c>
      <c r="O11" s="8">
        <v>2.094865</v>
      </c>
      <c r="P11" s="9">
        <v>0</v>
      </c>
      <c r="Q11" s="2">
        <v>2.1520079885275818</v>
      </c>
      <c r="R11" s="2">
        <v>38.192186046908134</v>
      </c>
      <c r="S11" s="63"/>
      <c r="T11">
        <f t="shared" si="0"/>
        <v>273</v>
      </c>
      <c r="U11" s="20">
        <f t="shared" si="1"/>
        <v>2.1993379161784583E-2</v>
      </c>
      <c r="V11">
        <f t="shared" si="5"/>
        <v>-3.6315592111037163E-5</v>
      </c>
      <c r="W11" s="64"/>
      <c r="X11">
        <f t="shared" si="34"/>
        <v>243</v>
      </c>
      <c r="Y11" s="21">
        <f t="shared" si="6"/>
        <v>288425.74800000002</v>
      </c>
      <c r="Z11">
        <f t="shared" si="7"/>
        <v>0.87441487949067764</v>
      </c>
      <c r="AB11">
        <f t="shared" si="2"/>
        <v>243</v>
      </c>
      <c r="AC11">
        <f t="shared" si="8"/>
        <v>1580.8126690945446</v>
      </c>
      <c r="AF11" s="61"/>
      <c r="AH11" s="21">
        <f t="shared" si="35"/>
        <v>308555.179</v>
      </c>
      <c r="AI11" s="21">
        <f t="shared" si="36"/>
        <v>1956786</v>
      </c>
      <c r="AJ11" s="21">
        <f t="shared" si="9"/>
        <v>69103310.554200009</v>
      </c>
      <c r="AK11" s="21">
        <f t="shared" si="38"/>
        <v>1511175.8807319999</v>
      </c>
      <c r="AL11" s="21">
        <f t="shared" si="37"/>
        <v>0</v>
      </c>
      <c r="AM11">
        <f t="shared" si="3"/>
        <v>242</v>
      </c>
      <c r="AN11">
        <f t="shared" si="10"/>
        <v>2195.2536</v>
      </c>
      <c r="AO11">
        <f t="shared" si="11"/>
        <v>542.5487305165318</v>
      </c>
      <c r="AP11">
        <f t="shared" si="12"/>
        <v>1.2553690959938046</v>
      </c>
      <c r="AQ11">
        <f t="shared" si="4"/>
        <v>7.9618697721301982E-3</v>
      </c>
      <c r="AR11" s="22">
        <f t="shared" si="13"/>
        <v>223.9577075910951</v>
      </c>
      <c r="AS11" s="22">
        <f t="shared" si="14"/>
        <v>2276750.7456230447</v>
      </c>
      <c r="AT11">
        <f t="shared" si="15"/>
        <v>-3415331.7308692303</v>
      </c>
      <c r="AU11">
        <f t="shared" si="16"/>
        <v>52011.19452760274</v>
      </c>
      <c r="AV11">
        <f t="shared" si="17"/>
        <v>5640071.2819646718</v>
      </c>
      <c r="AW11">
        <f t="shared" si="18"/>
        <v>765574.8648910448</v>
      </c>
      <c r="AX11">
        <f t="shared" si="19"/>
        <v>4128895.4012326719</v>
      </c>
      <c r="AY11">
        <f t="shared" si="20"/>
        <v>32984999.999999996</v>
      </c>
      <c r="AZ11" s="58"/>
      <c r="BB11">
        <f t="shared" si="21"/>
        <v>-3415331.7308692303</v>
      </c>
      <c r="BC11">
        <f t="shared" si="22"/>
        <v>52011.19452760274</v>
      </c>
      <c r="BD11">
        <f t="shared" si="23"/>
        <v>4128895.4012326719</v>
      </c>
      <c r="BE11">
        <f t="shared" si="24"/>
        <v>765574.8648910448</v>
      </c>
      <c r="BF11">
        <f t="shared" si="25"/>
        <v>-4.4611335709869397</v>
      </c>
      <c r="BG11">
        <f t="shared" si="26"/>
        <v>6.7937437490198788E-2</v>
      </c>
      <c r="BH11">
        <f t="shared" si="27"/>
        <v>5.3931961334967404</v>
      </c>
      <c r="BI11">
        <f t="shared" si="28"/>
        <v>0.99999999999999911</v>
      </c>
      <c r="BJ11" s="56"/>
      <c r="BK11">
        <f t="shared" si="29"/>
        <v>-395324.33236434584</v>
      </c>
      <c r="BL11">
        <f t="shared" si="30"/>
        <v>0</v>
      </c>
      <c r="BM11">
        <f t="shared" si="31"/>
        <v>1.5768135372927919E-3</v>
      </c>
      <c r="BN11">
        <f t="shared" si="32"/>
        <v>0.28784595717592282</v>
      </c>
      <c r="BO11">
        <f t="shared" si="33"/>
        <v>3855438.0003269799</v>
      </c>
    </row>
    <row r="12" spans="1:78" x14ac:dyDescent="0.3">
      <c r="A12" s="6">
        <v>44501</v>
      </c>
      <c r="B12" s="2">
        <v>1270.1751028333333</v>
      </c>
      <c r="C12" s="2">
        <v>1247.8192666666669</v>
      </c>
      <c r="D12" s="2">
        <v>22.355836166666666</v>
      </c>
      <c r="E12" s="2">
        <v>7946.5</v>
      </c>
      <c r="F12" s="2">
        <v>37434.578000000001</v>
      </c>
      <c r="G12" s="3">
        <v>5.008750188999999E-3</v>
      </c>
      <c r="H12" s="2">
        <v>238395</v>
      </c>
      <c r="I12" s="2">
        <v>670.67508500000008</v>
      </c>
      <c r="J12" s="2"/>
      <c r="K12" s="4">
        <v>4</v>
      </c>
      <c r="L12" s="2">
        <v>0</v>
      </c>
      <c r="M12" s="4">
        <v>4</v>
      </c>
      <c r="N12" s="7">
        <v>4.8567059979999994E-2</v>
      </c>
      <c r="O12" s="8">
        <v>2.3332600000000001</v>
      </c>
      <c r="P12" s="9">
        <v>0</v>
      </c>
      <c r="Q12" s="2">
        <v>1.7600593899847601</v>
      </c>
      <c r="R12" s="2">
        <v>40.055396670960199</v>
      </c>
      <c r="S12" s="63"/>
      <c r="T12">
        <f t="shared" si="0"/>
        <v>304</v>
      </c>
      <c r="U12" s="20">
        <f t="shared" si="1"/>
        <v>1.7915924816889878E-2</v>
      </c>
      <c r="V12">
        <f t="shared" si="5"/>
        <v>-2.4906093874307604E-5</v>
      </c>
      <c r="W12" s="64"/>
      <c r="X12">
        <f t="shared" si="34"/>
        <v>273</v>
      </c>
      <c r="Y12" s="21">
        <f t="shared" si="6"/>
        <v>325493.26</v>
      </c>
      <c r="Z12">
        <f t="shared" si="7"/>
        <v>0.9867917538274974</v>
      </c>
      <c r="AB12">
        <f t="shared" si="2"/>
        <v>273</v>
      </c>
      <c r="AC12">
        <f t="shared" si="8"/>
        <v>1561.9562816660869</v>
      </c>
      <c r="AF12" s="61"/>
      <c r="AH12" s="21">
        <f t="shared" si="35"/>
        <v>345989.75699999998</v>
      </c>
      <c r="AI12" s="21">
        <f t="shared" si="36"/>
        <v>2195181</v>
      </c>
      <c r="AJ12" s="21">
        <f t="shared" si="9"/>
        <v>77522158.460700005</v>
      </c>
      <c r="AK12" s="21">
        <f t="shared" si="38"/>
        <v>1736252.8807319999</v>
      </c>
      <c r="AL12" s="21">
        <f t="shared" si="37"/>
        <v>0</v>
      </c>
      <c r="AM12">
        <f t="shared" si="3"/>
        <v>273</v>
      </c>
      <c r="AN12">
        <f t="shared" si="10"/>
        <v>2190.0083999999997</v>
      </c>
      <c r="AO12">
        <f t="shared" si="11"/>
        <v>541.00520368940283</v>
      </c>
      <c r="AP12">
        <f t="shared" si="12"/>
        <v>1.2553690959938046</v>
      </c>
      <c r="AQ12">
        <f t="shared" si="4"/>
        <v>7.9809389224260504E-3</v>
      </c>
      <c r="AR12" s="22">
        <f t="shared" si="13"/>
        <v>224.05911415666566</v>
      </c>
      <c r="AS12" s="22">
        <f t="shared" si="14"/>
        <v>2596004.7227215446</v>
      </c>
      <c r="AT12">
        <f t="shared" si="15"/>
        <v>-3415331.7308692303</v>
      </c>
      <c r="AU12">
        <f t="shared" si="16"/>
        <v>53656.958741970826</v>
      </c>
      <c r="AV12">
        <f>AS12 - AT12 - AU12</f>
        <v>5957679.4948488045</v>
      </c>
      <c r="AW12">
        <f t="shared" si="18"/>
        <v>859751.84198954457</v>
      </c>
      <c r="AX12">
        <f t="shared" si="19"/>
        <v>4221426.6141168047</v>
      </c>
      <c r="AY12">
        <f t="shared" si="20"/>
        <v>32985000.000000004</v>
      </c>
      <c r="AZ12" s="58"/>
      <c r="BB12">
        <f t="shared" si="21"/>
        <v>-3415331.7308692303</v>
      </c>
      <c r="BC12">
        <f t="shared" si="22"/>
        <v>53656.958741970826</v>
      </c>
      <c r="BD12">
        <f t="shared" si="23"/>
        <v>4221426.6141168047</v>
      </c>
      <c r="BE12">
        <f t="shared" si="24"/>
        <v>859751.84198954457</v>
      </c>
      <c r="BF12">
        <f t="shared" si="25"/>
        <v>-3.9724622432513081</v>
      </c>
      <c r="BG12">
        <f t="shared" si="26"/>
        <v>6.2409821208179915E-2</v>
      </c>
      <c r="BH12">
        <f t="shared" si="27"/>
        <v>4.9100524220431288</v>
      </c>
      <c r="BI12">
        <f t="shared" si="28"/>
        <v>1.0000000000000004</v>
      </c>
      <c r="BJ12" s="56"/>
      <c r="BK12">
        <f t="shared" si="29"/>
        <v>-440845.71584566101</v>
      </c>
      <c r="BL12">
        <f t="shared" si="30"/>
        <v>0</v>
      </c>
      <c r="BM12">
        <f t="shared" si="31"/>
        <v>1.6267078593897475E-3</v>
      </c>
      <c r="BN12">
        <f t="shared" si="32"/>
        <v>0.30110214779498623</v>
      </c>
      <c r="BO12">
        <f t="shared" si="33"/>
        <v>4279100.3919537123</v>
      </c>
    </row>
    <row r="13" spans="1:78" x14ac:dyDescent="0.3">
      <c r="A13" s="6">
        <v>44531</v>
      </c>
      <c r="B13" s="2">
        <v>1242.7843259032256</v>
      </c>
      <c r="C13" s="2">
        <v>1217.8499354838709</v>
      </c>
      <c r="D13" s="2">
        <v>24.934390419354841</v>
      </c>
      <c r="E13" s="2">
        <v>8703.7741935483864</v>
      </c>
      <c r="F13" s="2">
        <v>37753.347999999998</v>
      </c>
      <c r="G13" s="3">
        <v>5.0514016439999997E-3</v>
      </c>
      <c r="H13" s="2">
        <v>269817</v>
      </c>
      <c r="I13" s="2">
        <v>772.96610299999998</v>
      </c>
      <c r="J13" s="2"/>
      <c r="K13" s="4">
        <v>4</v>
      </c>
      <c r="L13" s="2">
        <v>0</v>
      </c>
      <c r="M13" s="4">
        <v>4</v>
      </c>
      <c r="N13" s="7">
        <v>5.3618461623999997E-2</v>
      </c>
      <c r="O13" s="8">
        <v>2.6030769999999999</v>
      </c>
      <c r="P13" s="9">
        <v>0</v>
      </c>
      <c r="Q13" s="2">
        <v>2.0063328688373279</v>
      </c>
      <c r="R13" s="2">
        <v>44.952171304118515</v>
      </c>
      <c r="S13" s="63"/>
      <c r="T13">
        <f t="shared" si="0"/>
        <v>334</v>
      </c>
      <c r="U13" s="20">
        <f t="shared" si="1"/>
        <v>2.0474107435451819E-2</v>
      </c>
      <c r="V13">
        <f t="shared" si="5"/>
        <v>7.890121285466402E-4</v>
      </c>
      <c r="W13" s="64"/>
      <c r="X13">
        <f t="shared" si="34"/>
        <v>304</v>
      </c>
      <c r="Y13" s="21">
        <f t="shared" si="6"/>
        <v>362927.83799999999</v>
      </c>
      <c r="Z13">
        <f t="shared" si="7"/>
        <v>1.1002814552069122</v>
      </c>
      <c r="AB13">
        <f t="shared" si="2"/>
        <v>304</v>
      </c>
      <c r="AC13">
        <f t="shared" si="8"/>
        <v>1542.7076121633311</v>
      </c>
      <c r="AF13" s="61"/>
      <c r="AH13" s="21">
        <f t="shared" si="35"/>
        <v>383743.10499999998</v>
      </c>
      <c r="AI13" s="21">
        <f t="shared" si="36"/>
        <v>2464998</v>
      </c>
      <c r="AJ13" s="21">
        <f t="shared" si="9"/>
        <v>87050664.8706</v>
      </c>
      <c r="AK13" s="21">
        <f t="shared" si="38"/>
        <v>1974647.8807319999</v>
      </c>
      <c r="AL13" s="21">
        <f t="shared" si="37"/>
        <v>0</v>
      </c>
      <c r="AM13">
        <f t="shared" si="3"/>
        <v>303</v>
      </c>
      <c r="AN13">
        <f t="shared" si="10"/>
        <v>2184.9323999999997</v>
      </c>
      <c r="AO13">
        <f t="shared" si="11"/>
        <v>539.5121804449675</v>
      </c>
      <c r="AP13">
        <f t="shared" si="12"/>
        <v>1.2553690959938046</v>
      </c>
      <c r="AQ13">
        <f t="shared" si="4"/>
        <v>7.9994801120620487E-3</v>
      </c>
      <c r="AR13" s="22">
        <f t="shared" si="13"/>
        <v>226.84619928376304</v>
      </c>
      <c r="AS13" s="22">
        <f t="shared" si="14"/>
        <v>2937865.0043626581</v>
      </c>
      <c r="AT13">
        <f t="shared" si="15"/>
        <v>-3415331.7308692303</v>
      </c>
      <c r="AU13">
        <f t="shared" si="16"/>
        <v>55249.633788133411</v>
      </c>
      <c r="AV13">
        <f t="shared" si="17"/>
        <v>6297947.1014437554</v>
      </c>
      <c r="AW13">
        <f t="shared" si="18"/>
        <v>963217.12363065814</v>
      </c>
      <c r="AX13">
        <f t="shared" si="19"/>
        <v>4323299.2207117556</v>
      </c>
      <c r="AY13">
        <f t="shared" si="20"/>
        <v>32985000.000000007</v>
      </c>
      <c r="AZ13" s="58"/>
      <c r="BB13">
        <f t="shared" si="21"/>
        <v>-3415331.7308692303</v>
      </c>
      <c r="BC13">
        <f t="shared" si="22"/>
        <v>55249.633788133411</v>
      </c>
      <c r="BD13">
        <f t="shared" si="23"/>
        <v>4323299.2207117556</v>
      </c>
      <c r="BE13">
        <f t="shared" si="24"/>
        <v>963217.12363065814</v>
      </c>
      <c r="BF13">
        <f t="shared" si="25"/>
        <v>-3.54575479098192</v>
      </c>
      <c r="BG13">
        <f t="shared" si="26"/>
        <v>5.7359480466751614E-2</v>
      </c>
      <c r="BH13">
        <f t="shared" si="27"/>
        <v>4.4883953105151688</v>
      </c>
      <c r="BI13">
        <f t="shared" si="28"/>
        <v>1.0000000000000004</v>
      </c>
      <c r="BJ13" s="56"/>
      <c r="BK13">
        <f t="shared" si="29"/>
        <v>-478065.70276175026</v>
      </c>
      <c r="BL13">
        <f t="shared" si="30"/>
        <v>0</v>
      </c>
      <c r="BM13">
        <f t="shared" si="31"/>
        <v>1.6749926872255089E-3</v>
      </c>
      <c r="BN13">
        <f t="shared" si="32"/>
        <v>0.31398562027665383</v>
      </c>
      <c r="BO13">
        <f t="shared" si="33"/>
        <v>4741111.5498958426</v>
      </c>
    </row>
    <row r="14" spans="1:78" x14ac:dyDescent="0.3">
      <c r="A14" s="6">
        <v>44562</v>
      </c>
      <c r="B14" s="2">
        <v>1181.4762982903226</v>
      </c>
      <c r="C14" s="2">
        <v>1108.2792580645162</v>
      </c>
      <c r="D14" s="2">
        <v>73.197040225806447</v>
      </c>
      <c r="E14" s="2">
        <v>9021.0967741935492</v>
      </c>
      <c r="F14" s="2">
        <v>34356.656999999999</v>
      </c>
      <c r="G14" s="3">
        <v>4.5969240570000007E-3</v>
      </c>
      <c r="H14" s="2">
        <v>279654</v>
      </c>
      <c r="I14" s="2">
        <v>2269.1082470000001</v>
      </c>
      <c r="J14" s="2"/>
      <c r="K14" s="4">
        <v>4</v>
      </c>
      <c r="L14" s="2">
        <v>0</v>
      </c>
      <c r="M14" s="4">
        <v>4</v>
      </c>
      <c r="N14" s="3">
        <v>5.8215385681000001E-2</v>
      </c>
      <c r="O14" s="3">
        <v>2.8827309999999997</v>
      </c>
      <c r="P14" s="9">
        <v>0</v>
      </c>
      <c r="Q14" s="2">
        <v>6.1953879507974552</v>
      </c>
      <c r="R14" s="2">
        <v>51.197289922590542</v>
      </c>
      <c r="S14" s="63"/>
      <c r="T14">
        <f t="shared" si="0"/>
        <v>365</v>
      </c>
      <c r="U14" s="20">
        <f t="shared" si="1"/>
        <v>6.6045664658234929E-2</v>
      </c>
      <c r="V14">
        <f t="shared" si="5"/>
        <v>8.0862414242129782E-4</v>
      </c>
      <c r="W14" s="64"/>
      <c r="X14">
        <f t="shared" si="34"/>
        <v>334</v>
      </c>
      <c r="Y14" s="21">
        <f t="shared" si="6"/>
        <v>400681.18599999999</v>
      </c>
      <c r="Z14">
        <f t="shared" si="7"/>
        <v>1.2147375655601031</v>
      </c>
      <c r="AB14">
        <f t="shared" si="2"/>
        <v>334</v>
      </c>
      <c r="AC14">
        <f t="shared" si="8"/>
        <v>1524.3057527953615</v>
      </c>
      <c r="AF14" s="61"/>
      <c r="AH14" s="21">
        <f t="shared" si="35"/>
        <v>418099.76199999999</v>
      </c>
      <c r="AI14" s="21">
        <f t="shared" si="36"/>
        <v>2744652</v>
      </c>
      <c r="AJ14" s="21">
        <f t="shared" si="9"/>
        <v>96926561.984400004</v>
      </c>
      <c r="AK14" s="21">
        <f t="shared" si="38"/>
        <v>2244464.8807319999</v>
      </c>
      <c r="AL14" s="21">
        <f t="shared" si="37"/>
        <v>0</v>
      </c>
      <c r="AM14">
        <f t="shared" si="3"/>
        <v>334</v>
      </c>
      <c r="AN14">
        <f t="shared" si="10"/>
        <v>2179.6871999999998</v>
      </c>
      <c r="AO14">
        <f t="shared" si="11"/>
        <v>537.97012727411186</v>
      </c>
      <c r="AP14">
        <f t="shared" si="12"/>
        <v>1.2553690959938046</v>
      </c>
      <c r="AQ14">
        <f t="shared" si="4"/>
        <v>8.0187300636531695E-3</v>
      </c>
      <c r="AR14" s="22">
        <f t="shared" si="13"/>
        <v>231.82639837140115</v>
      </c>
      <c r="AS14" s="22">
        <f t="shared" si="14"/>
        <v>3311878.2983591212</v>
      </c>
      <c r="AT14">
        <f t="shared" si="15"/>
        <v>-3415331.7308692303</v>
      </c>
      <c r="AU14">
        <f t="shared" si="16"/>
        <v>56895.398002501352</v>
      </c>
      <c r="AV14">
        <f t="shared" si="17"/>
        <v>6670314.6312258504</v>
      </c>
      <c r="AW14">
        <f t="shared" si="18"/>
        <v>1067413.4176271211</v>
      </c>
      <c r="AX14">
        <f t="shared" si="19"/>
        <v>4425849.7504938506</v>
      </c>
      <c r="AY14">
        <f t="shared" si="20"/>
        <v>32985000</v>
      </c>
      <c r="AZ14" s="58"/>
      <c r="BB14">
        <f t="shared" si="21"/>
        <v>-3415331.7308692303</v>
      </c>
      <c r="BC14">
        <f t="shared" si="22"/>
        <v>56895.398002501352</v>
      </c>
      <c r="BD14">
        <f t="shared" si="23"/>
        <v>4425849.7504938506</v>
      </c>
      <c r="BE14">
        <f t="shared" si="24"/>
        <v>1067413.4176271211</v>
      </c>
      <c r="BF14">
        <f t="shared" si="25"/>
        <v>-3.1996335013865322</v>
      </c>
      <c r="BG14">
        <f t="shared" si="26"/>
        <v>5.3302119931170462E-2</v>
      </c>
      <c r="BH14">
        <f t="shared" si="27"/>
        <v>4.1463313814553624</v>
      </c>
      <c r="BI14">
        <f t="shared" si="28"/>
        <v>1.0000000000000004</v>
      </c>
      <c r="BJ14" s="56"/>
      <c r="BK14">
        <f t="shared" si="29"/>
        <v>-501516.86358267622</v>
      </c>
      <c r="BL14">
        <f t="shared" si="30"/>
        <v>0</v>
      </c>
      <c r="BM14">
        <f t="shared" si="31"/>
        <v>1.7248870093224602E-3</v>
      </c>
      <c r="BN14">
        <f t="shared" si="32"/>
        <v>0.32735566691816137</v>
      </c>
      <c r="BO14">
        <f t="shared" si="33"/>
        <v>5296417.5377357593</v>
      </c>
    </row>
    <row r="15" spans="1:78" x14ac:dyDescent="0.3">
      <c r="A15" s="6">
        <v>44593</v>
      </c>
      <c r="B15" s="2">
        <v>1243.0303904285715</v>
      </c>
      <c r="C15" s="2">
        <v>1161.0500357142857</v>
      </c>
      <c r="D15" s="2">
        <v>81.98035471428571</v>
      </c>
      <c r="E15" s="2">
        <v>9494</v>
      </c>
      <c r="F15" s="2">
        <v>32509.401000000002</v>
      </c>
      <c r="G15" s="3">
        <v>4.3497610210000001E-3</v>
      </c>
      <c r="H15" s="2">
        <v>265832</v>
      </c>
      <c r="I15" s="2">
        <v>2295.449932</v>
      </c>
      <c r="J15" s="2"/>
      <c r="K15" s="4">
        <v>4</v>
      </c>
      <c r="L15" s="2">
        <v>0</v>
      </c>
      <c r="M15" s="4">
        <v>4</v>
      </c>
      <c r="N15" s="3">
        <v>6.2565146702000002E-2</v>
      </c>
      <c r="O15" s="3">
        <v>3.1485629999999998</v>
      </c>
      <c r="P15" s="9">
        <v>0</v>
      </c>
      <c r="Q15" s="2">
        <v>6.5952011588405783</v>
      </c>
      <c r="R15" s="2">
        <v>51.43220306027785</v>
      </c>
      <c r="S15" s="63"/>
      <c r="T15">
        <f t="shared" si="0"/>
        <v>396</v>
      </c>
      <c r="U15" s="20">
        <f t="shared" si="1"/>
        <v>7.0608804265572284E-2</v>
      </c>
      <c r="V15">
        <f t="shared" si="5"/>
        <v>7.6907431273882379E-4</v>
      </c>
      <c r="W15" s="64"/>
      <c r="X15">
        <f t="shared" si="34"/>
        <v>365</v>
      </c>
      <c r="Y15" s="21">
        <f t="shared" si="6"/>
        <v>435037.84299999999</v>
      </c>
      <c r="Z15">
        <f t="shared" si="7"/>
        <v>1.3188959921176291</v>
      </c>
      <c r="AB15">
        <f t="shared" si="2"/>
        <v>365</v>
      </c>
      <c r="AC15">
        <f t="shared" si="8"/>
        <v>1505.5210672051792</v>
      </c>
      <c r="AF15" s="61"/>
      <c r="AH15" s="21">
        <f t="shared" si="35"/>
        <v>450609.163</v>
      </c>
      <c r="AI15" s="21">
        <f t="shared" si="36"/>
        <v>3010484</v>
      </c>
      <c r="AJ15" s="21">
        <f t="shared" si="9"/>
        <v>106314339.31480001</v>
      </c>
      <c r="AK15" s="21">
        <f t="shared" si="38"/>
        <v>2524118.8807319999</v>
      </c>
      <c r="AL15" s="21">
        <f t="shared" si="37"/>
        <v>0</v>
      </c>
      <c r="AM15">
        <f t="shared" si="3"/>
        <v>365</v>
      </c>
      <c r="AN15">
        <f t="shared" si="10"/>
        <v>2174.442</v>
      </c>
      <c r="AO15">
        <f t="shared" si="11"/>
        <v>536.42882511100879</v>
      </c>
      <c r="AP15">
        <f t="shared" si="12"/>
        <v>1.2553690959938046</v>
      </c>
      <c r="AQ15">
        <f t="shared" si="4"/>
        <v>8.0380728849056438E-3</v>
      </c>
      <c r="AR15" s="22">
        <f t="shared" si="13"/>
        <v>235.93470360654874</v>
      </c>
      <c r="AS15" s="22">
        <f t="shared" si="14"/>
        <v>3690820.055820764</v>
      </c>
      <c r="AT15">
        <f t="shared" si="15"/>
        <v>-3415331.7308692303</v>
      </c>
      <c r="AU15">
        <f t="shared" si="16"/>
        <v>58541.162216869292</v>
      </c>
      <c r="AV15">
        <f t="shared" si="17"/>
        <v>7047610.6244731257</v>
      </c>
      <c r="AW15">
        <f t="shared" si="18"/>
        <v>1166701.1750887639</v>
      </c>
      <c r="AX15">
        <f t="shared" si="19"/>
        <v>4523491.7437411258</v>
      </c>
      <c r="AY15">
        <f t="shared" si="20"/>
        <v>32985000.000000004</v>
      </c>
      <c r="AZ15" s="58"/>
      <c r="BB15">
        <f t="shared" si="21"/>
        <v>-3415331.7308692303</v>
      </c>
      <c r="BC15">
        <f t="shared" si="22"/>
        <v>58541.162216869292</v>
      </c>
      <c r="BD15">
        <f t="shared" si="23"/>
        <v>4523491.7437411258</v>
      </c>
      <c r="BE15">
        <f t="shared" si="24"/>
        <v>1166701.1750887639</v>
      </c>
      <c r="BF15">
        <f t="shared" si="25"/>
        <v>-2.9273406111118283</v>
      </c>
      <c r="BG15">
        <f t="shared" si="26"/>
        <v>5.0176654885442637E-2</v>
      </c>
      <c r="BH15">
        <f t="shared" si="27"/>
        <v>3.8771639562263864</v>
      </c>
      <c r="BI15">
        <f t="shared" si="28"/>
        <v>1.0000000000000009</v>
      </c>
      <c r="BJ15" s="56"/>
      <c r="BK15">
        <f t="shared" si="29"/>
        <v>-522717.69340260851</v>
      </c>
      <c r="BL15">
        <f t="shared" si="30"/>
        <v>0</v>
      </c>
      <c r="BM15">
        <f t="shared" si="31"/>
        <v>1.7747813314194117E-3</v>
      </c>
      <c r="BN15">
        <f t="shared" si="32"/>
        <v>0.34078417949299933</v>
      </c>
      <c r="BO15">
        <f t="shared" si="33"/>
        <v>5842501.3390767062</v>
      </c>
    </row>
    <row r="16" spans="1:78" x14ac:dyDescent="0.3">
      <c r="A16" s="6">
        <v>44621</v>
      </c>
      <c r="B16" s="2">
        <v>1237.7027522903227</v>
      </c>
      <c r="C16" s="2">
        <v>1113.6218387096774</v>
      </c>
      <c r="D16" s="2">
        <v>124.08091358064517</v>
      </c>
      <c r="E16" s="2">
        <v>10042.225806451614</v>
      </c>
      <c r="F16" s="2">
        <v>34522.277000000002</v>
      </c>
      <c r="G16" s="3">
        <v>4.6190840319999997E-3</v>
      </c>
      <c r="H16" s="2">
        <v>311309</v>
      </c>
      <c r="I16" s="2">
        <v>3846.5083209999998</v>
      </c>
      <c r="J16" s="2"/>
      <c r="K16" s="4">
        <v>4</v>
      </c>
      <c r="L16" s="2">
        <v>0</v>
      </c>
      <c r="M16" s="4">
        <v>4</v>
      </c>
      <c r="N16" s="3">
        <v>6.7184230733999997E-2</v>
      </c>
      <c r="O16" s="3">
        <v>3.4598719999999998</v>
      </c>
      <c r="P16" s="9">
        <v>0</v>
      </c>
      <c r="Q16" s="2">
        <v>10.02509797696079</v>
      </c>
      <c r="R16" s="2">
        <v>56.719067175088128</v>
      </c>
      <c r="S16" s="63"/>
      <c r="T16">
        <f t="shared" si="0"/>
        <v>424</v>
      </c>
      <c r="U16" s="20">
        <f t="shared" si="1"/>
        <v>0.11142104910982553</v>
      </c>
      <c r="V16">
        <f t="shared" si="5"/>
        <v>3.0892409326455306E-4</v>
      </c>
      <c r="W16" s="64"/>
      <c r="X16">
        <f t="shared" si="34"/>
        <v>396</v>
      </c>
      <c r="Y16" s="21">
        <f t="shared" si="6"/>
        <v>467547.24400000001</v>
      </c>
      <c r="Z16">
        <f t="shared" si="7"/>
        <v>1.4174541276337729</v>
      </c>
      <c r="AB16">
        <f t="shared" si="2"/>
        <v>396</v>
      </c>
      <c r="AC16">
        <f t="shared" si="8"/>
        <v>1486.9678735004504</v>
      </c>
      <c r="AF16" s="61"/>
      <c r="AH16" s="21">
        <f t="shared" si="35"/>
        <v>485131.44</v>
      </c>
      <c r="AI16" s="21">
        <f t="shared" si="36"/>
        <v>3321793</v>
      </c>
      <c r="AJ16" s="21">
        <f t="shared" si="9"/>
        <v>117308123.2571</v>
      </c>
      <c r="AK16" s="21">
        <f t="shared" si="38"/>
        <v>2789950.8807319999</v>
      </c>
      <c r="AL16" s="21">
        <f t="shared" si="37"/>
        <v>0</v>
      </c>
      <c r="AM16">
        <f t="shared" si="3"/>
        <v>393</v>
      </c>
      <c r="AN16">
        <f t="shared" si="10"/>
        <v>2169.7043999999996</v>
      </c>
      <c r="AO16">
        <f t="shared" si="11"/>
        <v>535.03732791291202</v>
      </c>
      <c r="AP16">
        <f t="shared" si="12"/>
        <v>1.2553690959938046</v>
      </c>
      <c r="AQ16">
        <f t="shared" si="4"/>
        <v>8.0556242039238161E-3</v>
      </c>
      <c r="AR16" s="22">
        <f t="shared" si="13"/>
        <v>241.80688692759225</v>
      </c>
      <c r="AS16" s="22">
        <f t="shared" si="14"/>
        <v>4070397.4951193566</v>
      </c>
      <c r="AT16">
        <f t="shared" si="15"/>
        <v>-3415331.7308692303</v>
      </c>
      <c r="AU16">
        <f t="shared" si="16"/>
        <v>60027.658926621152</v>
      </c>
      <c r="AV16">
        <f t="shared" si="17"/>
        <v>7425701.5670619663</v>
      </c>
      <c r="AW16">
        <f t="shared" si="18"/>
        <v>1280446.6143873569</v>
      </c>
      <c r="AX16">
        <f t="shared" si="19"/>
        <v>4635750.6863299664</v>
      </c>
      <c r="AY16">
        <f t="shared" si="20"/>
        <v>32985000.000000004</v>
      </c>
      <c r="AZ16" s="58"/>
      <c r="BB16">
        <f t="shared" si="21"/>
        <v>-3415331.7308692303</v>
      </c>
      <c r="BC16">
        <f t="shared" si="22"/>
        <v>60027.658926621152</v>
      </c>
      <c r="BD16">
        <f t="shared" si="23"/>
        <v>4635750.6863299664</v>
      </c>
      <c r="BE16">
        <f t="shared" si="24"/>
        <v>1280446.6143873569</v>
      </c>
      <c r="BF16">
        <f t="shared" si="25"/>
        <v>-2.6672972480803749</v>
      </c>
      <c r="BG16">
        <f t="shared" si="26"/>
        <v>4.6880251196838855E-2</v>
      </c>
      <c r="BH16">
        <f t="shared" si="27"/>
        <v>3.6204169968835367</v>
      </c>
      <c r="BI16">
        <f t="shared" si="28"/>
        <v>1.0000000000000004</v>
      </c>
      <c r="BJ16" s="56"/>
      <c r="BK16">
        <f t="shared" si="29"/>
        <v>-536936.26958040358</v>
      </c>
      <c r="BL16">
        <f t="shared" si="30"/>
        <v>0</v>
      </c>
      <c r="BM16">
        <f t="shared" si="31"/>
        <v>1.8198471707327921E-3</v>
      </c>
      <c r="BN16">
        <f t="shared" si="32"/>
        <v>0.35296375446915906</v>
      </c>
      <c r="BO16">
        <f t="shared" si="33"/>
        <v>6350391.0573590267</v>
      </c>
    </row>
    <row r="17" spans="1:76" x14ac:dyDescent="0.3">
      <c r="A17" s="6">
        <v>44652</v>
      </c>
      <c r="B17" s="2">
        <v>1233.4191917666667</v>
      </c>
      <c r="C17" s="2">
        <v>1132.7876333333334</v>
      </c>
      <c r="D17" s="2">
        <v>100.63155843333334</v>
      </c>
      <c r="E17" s="2">
        <v>9849.2333333333336</v>
      </c>
      <c r="F17" s="2">
        <v>33983.629000000001</v>
      </c>
      <c r="G17" s="3">
        <v>4.547012881E-3</v>
      </c>
      <c r="H17" s="2">
        <v>295477</v>
      </c>
      <c r="I17" s="2">
        <v>3018.9467530000002</v>
      </c>
      <c r="J17" s="2"/>
      <c r="K17" s="4">
        <v>4</v>
      </c>
      <c r="L17" s="2">
        <v>0</v>
      </c>
      <c r="M17" s="4">
        <v>4</v>
      </c>
      <c r="N17" s="3">
        <v>7.1731243614999995E-2</v>
      </c>
      <c r="O17" s="3">
        <v>3.7553489999999998</v>
      </c>
      <c r="P17" s="9">
        <v>0</v>
      </c>
      <c r="Q17" s="2">
        <v>8.1587475778770298</v>
      </c>
      <c r="R17" s="2">
        <v>54.687839094524001</v>
      </c>
      <c r="S17" s="63"/>
      <c r="T17">
        <f t="shared" si="0"/>
        <v>455</v>
      </c>
      <c r="U17" s="20">
        <f t="shared" si="1"/>
        <v>8.8835325768180914E-2</v>
      </c>
      <c r="V17">
        <f t="shared" si="5"/>
        <v>1.070907255549909E-5</v>
      </c>
      <c r="W17" s="64"/>
      <c r="X17">
        <f t="shared" si="34"/>
        <v>424</v>
      </c>
      <c r="Y17" s="21">
        <f t="shared" si="6"/>
        <v>502069.52100000001</v>
      </c>
      <c r="Z17">
        <f t="shared" si="7"/>
        <v>1.5221146612096408</v>
      </c>
      <c r="AB17">
        <f t="shared" si="2"/>
        <v>424</v>
      </c>
      <c r="AC17">
        <f t="shared" si="8"/>
        <v>1470.4067487345301</v>
      </c>
      <c r="AF17" s="61"/>
      <c r="AH17" s="21">
        <f t="shared" si="35"/>
        <v>519115.06900000002</v>
      </c>
      <c r="AI17" s="21">
        <f t="shared" si="36"/>
        <v>3617270</v>
      </c>
      <c r="AJ17" s="21">
        <f t="shared" si="9"/>
        <v>127742804.869</v>
      </c>
      <c r="AK17" s="21">
        <f t="shared" si="38"/>
        <v>3101259.8807319999</v>
      </c>
      <c r="AL17" s="21">
        <f t="shared" si="37"/>
        <v>0</v>
      </c>
      <c r="AM17">
        <f t="shared" si="3"/>
        <v>424</v>
      </c>
      <c r="AN17">
        <f t="shared" si="10"/>
        <v>2164.4591999999998</v>
      </c>
      <c r="AO17">
        <f t="shared" si="11"/>
        <v>533.49745902511336</v>
      </c>
      <c r="AP17">
        <f t="shared" si="12"/>
        <v>1.2553690959938046</v>
      </c>
      <c r="AQ17">
        <f t="shared" si="4"/>
        <v>8.0751456437709711E-3</v>
      </c>
      <c r="AR17" s="22">
        <f t="shared" si="13"/>
        <v>246.07801332964195</v>
      </c>
      <c r="AS17" s="22">
        <f t="shared" si="14"/>
        <v>4491047.5647166967</v>
      </c>
      <c r="AT17">
        <f t="shared" si="15"/>
        <v>-3415331.7308692303</v>
      </c>
      <c r="AU17">
        <f t="shared" si="16"/>
        <v>61673.423140989093</v>
      </c>
      <c r="AV17">
        <f t="shared" si="17"/>
        <v>7844705.8724449379</v>
      </c>
      <c r="AW17">
        <f t="shared" si="18"/>
        <v>1389787.6839846969</v>
      </c>
      <c r="AX17">
        <f t="shared" si="19"/>
        <v>4743445.9917129381</v>
      </c>
      <c r="AY17">
        <f t="shared" si="20"/>
        <v>32985000</v>
      </c>
      <c r="AZ17" s="58"/>
      <c r="BB17">
        <f t="shared" si="21"/>
        <v>-3415331.7308692303</v>
      </c>
      <c r="BC17">
        <f t="shared" si="22"/>
        <v>61673.423140989093</v>
      </c>
      <c r="BD17">
        <f t="shared" si="23"/>
        <v>4743445.9917129381</v>
      </c>
      <c r="BE17">
        <f t="shared" si="24"/>
        <v>1389787.6839846969</v>
      </c>
      <c r="BF17">
        <f t="shared" si="25"/>
        <v>-2.4574485514773325</v>
      </c>
      <c r="BG17">
        <f t="shared" si="26"/>
        <v>4.4376147415671148E-2</v>
      </c>
      <c r="BH17">
        <f t="shared" si="27"/>
        <v>3.4130724040616616</v>
      </c>
      <c r="BI17">
        <f t="shared" si="28"/>
        <v>1</v>
      </c>
      <c r="BJ17" s="56"/>
      <c r="BK17">
        <f t="shared" si="29"/>
        <v>-553161.12118872418</v>
      </c>
      <c r="BL17">
        <f t="shared" si="30"/>
        <v>0</v>
      </c>
      <c r="BM17">
        <f t="shared" si="31"/>
        <v>1.8697414928297437E-3</v>
      </c>
      <c r="BN17">
        <f t="shared" si="32"/>
        <v>0.36650468424596366</v>
      </c>
      <c r="BO17">
        <f t="shared" si="33"/>
        <v>6917143.48636699</v>
      </c>
    </row>
    <row r="18" spans="1:76" x14ac:dyDescent="0.3">
      <c r="A18" s="6">
        <v>44682</v>
      </c>
      <c r="B18" s="2">
        <v>1331.1808496129033</v>
      </c>
      <c r="C18" s="2">
        <v>1197.0250967741936</v>
      </c>
      <c r="D18" s="2">
        <v>134.15575283870967</v>
      </c>
      <c r="E18" s="2">
        <v>10408.258064516129</v>
      </c>
      <c r="F18" s="2">
        <v>37107.777999999998</v>
      </c>
      <c r="G18" s="3">
        <v>4.9650243129999994E-3</v>
      </c>
      <c r="H18" s="2">
        <v>322656</v>
      </c>
      <c r="I18" s="2">
        <v>4158.8283380000003</v>
      </c>
      <c r="J18" s="2"/>
      <c r="K18" s="4">
        <v>4</v>
      </c>
      <c r="L18" s="2">
        <v>0</v>
      </c>
      <c r="M18" s="4">
        <v>4</v>
      </c>
      <c r="N18" s="3">
        <v>7.6696267927999995E-2</v>
      </c>
      <c r="O18" s="3">
        <v>4.0780050000000001</v>
      </c>
      <c r="P18" s="9">
        <v>0</v>
      </c>
      <c r="Q18" s="2">
        <v>10.077950931890367</v>
      </c>
      <c r="R18" s="2">
        <v>54.690467017453862</v>
      </c>
      <c r="S18" s="63"/>
      <c r="T18">
        <f t="shared" si="0"/>
        <v>485</v>
      </c>
      <c r="U18" s="20">
        <f t="shared" si="1"/>
        <v>0.11207430253571098</v>
      </c>
      <c r="V18">
        <f t="shared" si="5"/>
        <v>8.6291496260866362E-5</v>
      </c>
      <c r="W18" s="64"/>
      <c r="X18">
        <f t="shared" si="34"/>
        <v>455</v>
      </c>
      <c r="Y18" s="21">
        <f t="shared" si="6"/>
        <v>536053.15</v>
      </c>
      <c r="Z18">
        <f t="shared" si="7"/>
        <v>1.6251421858420494</v>
      </c>
      <c r="AB18">
        <f t="shared" si="2"/>
        <v>455</v>
      </c>
      <c r="AC18">
        <f t="shared" si="8"/>
        <v>1452.2862841138287</v>
      </c>
      <c r="AF18" s="61"/>
      <c r="AH18" s="21">
        <f t="shared" si="35"/>
        <v>556222.84700000007</v>
      </c>
      <c r="AI18" s="21">
        <f t="shared" si="36"/>
        <v>3939926</v>
      </c>
      <c r="AJ18" s="21">
        <f t="shared" si="9"/>
        <v>139137304.71220002</v>
      </c>
      <c r="AK18" s="21">
        <f t="shared" si="38"/>
        <v>3396736.8807319999</v>
      </c>
      <c r="AL18" s="21">
        <f t="shared" si="37"/>
        <v>0</v>
      </c>
      <c r="AM18">
        <f t="shared" si="3"/>
        <v>454</v>
      </c>
      <c r="AN18">
        <f t="shared" si="10"/>
        <v>2159.3831999999998</v>
      </c>
      <c r="AO18">
        <f t="shared" si="11"/>
        <v>532.00798232304692</v>
      </c>
      <c r="AP18">
        <f t="shared" si="12"/>
        <v>1.2553690959938046</v>
      </c>
      <c r="AQ18">
        <f t="shared" si="4"/>
        <v>8.0941276564530096E-3</v>
      </c>
      <c r="AR18" s="22">
        <f t="shared" si="13"/>
        <v>250.14669113762599</v>
      </c>
      <c r="AS18" s="22">
        <f t="shared" si="14"/>
        <v>4906047.2484230772</v>
      </c>
      <c r="AT18">
        <f t="shared" si="15"/>
        <v>-3415331.7308692303</v>
      </c>
      <c r="AU18">
        <f t="shared" si="16"/>
        <v>63266.098187151685</v>
      </c>
      <c r="AV18">
        <f t="shared" si="17"/>
        <v>8258112.8811051557</v>
      </c>
      <c r="AW18">
        <f t="shared" si="18"/>
        <v>1509310.3676910768</v>
      </c>
      <c r="AX18">
        <f t="shared" si="19"/>
        <v>4861376.0003731558</v>
      </c>
      <c r="AY18">
        <f t="shared" si="20"/>
        <v>32985000.000000007</v>
      </c>
      <c r="AZ18" s="58"/>
      <c r="BB18">
        <f t="shared" si="21"/>
        <v>-3415331.7308692303</v>
      </c>
      <c r="BC18">
        <f t="shared" si="22"/>
        <v>63266.098187151685</v>
      </c>
      <c r="BD18">
        <f t="shared" si="23"/>
        <v>4861376.0003731558</v>
      </c>
      <c r="BE18">
        <f t="shared" si="24"/>
        <v>1509310.3676910768</v>
      </c>
      <c r="BF18">
        <f t="shared" si="25"/>
        <v>-2.2628425564279135</v>
      </c>
      <c r="BG18">
        <f t="shared" si="26"/>
        <v>4.1917222290028609E-2</v>
      </c>
      <c r="BH18">
        <f t="shared" si="27"/>
        <v>3.2209253341378852</v>
      </c>
      <c r="BI18">
        <f t="shared" si="28"/>
        <v>1.0000000000000004</v>
      </c>
      <c r="BJ18" s="56"/>
      <c r="BK18">
        <f t="shared" si="29"/>
        <v>-570713.66265748418</v>
      </c>
      <c r="BL18">
        <f t="shared" si="30"/>
        <v>0</v>
      </c>
      <c r="BM18">
        <f t="shared" si="31"/>
        <v>1.918026320665505E-3</v>
      </c>
      <c r="BN18">
        <f t="shared" si="32"/>
        <v>0.37966562395813669</v>
      </c>
      <c r="BO18">
        <f t="shared" si="33"/>
        <v>7406038.5344332643</v>
      </c>
    </row>
    <row r="19" spans="1:76" x14ac:dyDescent="0.3">
      <c r="A19" s="6">
        <v>44713</v>
      </c>
      <c r="B19" s="2">
        <v>1222.7953956333333</v>
      </c>
      <c r="C19" s="2">
        <v>1117.6276333333333</v>
      </c>
      <c r="D19" s="2">
        <v>105.16776229999999</v>
      </c>
      <c r="E19" s="2">
        <v>9847.9</v>
      </c>
      <c r="F19" s="2">
        <v>33528.828999999998</v>
      </c>
      <c r="G19" s="3">
        <v>4.486160593000001E-3</v>
      </c>
      <c r="H19" s="2">
        <v>295437</v>
      </c>
      <c r="I19" s="2">
        <v>3155.0328689999997</v>
      </c>
      <c r="J19" s="2"/>
      <c r="K19" s="4">
        <v>4</v>
      </c>
      <c r="L19" s="2">
        <v>0</v>
      </c>
      <c r="M19" s="4">
        <v>4</v>
      </c>
      <c r="N19" s="3">
        <v>8.1182428520999994E-2</v>
      </c>
      <c r="O19" s="3">
        <v>4.3734419999999998</v>
      </c>
      <c r="P19" s="9">
        <v>0</v>
      </c>
      <c r="Q19" s="2">
        <v>8.6006017585247374</v>
      </c>
      <c r="R19" s="2">
        <v>55.422145598941142</v>
      </c>
      <c r="S19" s="63"/>
      <c r="T19">
        <f t="shared" si="0"/>
        <v>516</v>
      </c>
      <c r="U19" s="20">
        <f t="shared" si="1"/>
        <v>9.4099107040093763E-2</v>
      </c>
      <c r="V19">
        <f t="shared" si="5"/>
        <v>-1.2210740285103576E-3</v>
      </c>
      <c r="W19" s="64"/>
      <c r="X19">
        <f t="shared" si="34"/>
        <v>485</v>
      </c>
      <c r="Y19" s="21">
        <f t="shared" si="6"/>
        <v>573160.92800000007</v>
      </c>
      <c r="Z19">
        <f t="shared" si="7"/>
        <v>1.7376411338487192</v>
      </c>
      <c r="AB19">
        <f t="shared" si="2"/>
        <v>485</v>
      </c>
      <c r="AC19">
        <f t="shared" si="8"/>
        <v>1434.9629963102391</v>
      </c>
      <c r="AF19" s="61"/>
      <c r="AH19" s="21">
        <f t="shared" si="35"/>
        <v>589751.67600000009</v>
      </c>
      <c r="AI19" s="21">
        <f t="shared" si="36"/>
        <v>4235363</v>
      </c>
      <c r="AJ19" s="21">
        <f t="shared" si="9"/>
        <v>149570573.73610002</v>
      </c>
      <c r="AK19" s="21">
        <f t="shared" si="38"/>
        <v>3719392.8807319999</v>
      </c>
      <c r="AL19" s="21">
        <f t="shared" si="37"/>
        <v>0</v>
      </c>
      <c r="AM19">
        <f t="shared" si="3"/>
        <v>485</v>
      </c>
      <c r="AN19">
        <f t="shared" si="10"/>
        <v>2154.1379999999999</v>
      </c>
      <c r="AO19">
        <f t="shared" si="11"/>
        <v>530.46960076269727</v>
      </c>
      <c r="AP19">
        <f t="shared" si="12"/>
        <v>1.2553690959938046</v>
      </c>
      <c r="AQ19">
        <f t="shared" si="4"/>
        <v>8.1138363837414303E-3</v>
      </c>
      <c r="AR19" s="22">
        <f t="shared" si="13"/>
        <v>253.61619105614884</v>
      </c>
      <c r="AS19" s="22">
        <f t="shared" si="14"/>
        <v>5338379.6697829096</v>
      </c>
      <c r="AT19">
        <f t="shared" si="15"/>
        <v>-3415331.7308692303</v>
      </c>
      <c r="AU19">
        <f t="shared" si="16"/>
        <v>64911.862401519618</v>
      </c>
      <c r="AV19">
        <f t="shared" si="17"/>
        <v>8688799.5382506214</v>
      </c>
      <c r="AW19">
        <f t="shared" si="18"/>
        <v>1618986.7890509099</v>
      </c>
      <c r="AX19">
        <f t="shared" si="19"/>
        <v>4969406.6575186215</v>
      </c>
      <c r="AY19">
        <f t="shared" si="20"/>
        <v>32985000.000000011</v>
      </c>
      <c r="AZ19" s="58"/>
      <c r="BB19">
        <f t="shared" si="21"/>
        <v>-3415331.7308692303</v>
      </c>
      <c r="BC19">
        <f t="shared" si="22"/>
        <v>64911.862401519618</v>
      </c>
      <c r="BD19">
        <f t="shared" si="23"/>
        <v>4969406.6575186215</v>
      </c>
      <c r="BE19">
        <f t="shared" si="24"/>
        <v>1618986.7890509099</v>
      </c>
      <c r="BF19">
        <f t="shared" si="25"/>
        <v>-2.1095488573266135</v>
      </c>
      <c r="BG19">
        <f t="shared" si="26"/>
        <v>4.0094127290298986E-2</v>
      </c>
      <c r="BH19">
        <f t="shared" si="27"/>
        <v>3.0694547300363153</v>
      </c>
      <c r="BI19">
        <f t="shared" si="28"/>
        <v>1.0000000000000009</v>
      </c>
      <c r="BJ19" s="56"/>
      <c r="BK19">
        <f t="shared" si="29"/>
        <v>-584428.67919072777</v>
      </c>
      <c r="BL19">
        <f t="shared" si="30"/>
        <v>0</v>
      </c>
      <c r="BM19">
        <f t="shared" si="31"/>
        <v>1.9679206427624563E-3</v>
      </c>
      <c r="BN19">
        <f t="shared" si="32"/>
        <v>0.39332438244428058</v>
      </c>
      <c r="BO19">
        <f t="shared" si="33"/>
        <v>7930749.4152016295</v>
      </c>
    </row>
    <row r="20" spans="1:76" x14ac:dyDescent="0.3">
      <c r="A20" s="6">
        <v>44743</v>
      </c>
      <c r="B20" s="2">
        <v>1008.2263294838712</v>
      </c>
      <c r="C20" s="2">
        <v>971.70125806451608</v>
      </c>
      <c r="D20" s="2">
        <v>36.525071419354838</v>
      </c>
      <c r="E20" s="2">
        <v>8381.354838709678</v>
      </c>
      <c r="F20" s="2">
        <v>30122.739000000001</v>
      </c>
      <c r="G20" s="3">
        <v>4.0304254210000003E-3</v>
      </c>
      <c r="H20" s="2">
        <v>259822</v>
      </c>
      <c r="I20" s="2">
        <v>1132.277214</v>
      </c>
      <c r="J20" s="2"/>
      <c r="K20" s="4">
        <v>4</v>
      </c>
      <c r="L20" s="2">
        <v>0</v>
      </c>
      <c r="M20" s="4">
        <v>4</v>
      </c>
      <c r="N20" s="3">
        <v>8.5212853941999997E-2</v>
      </c>
      <c r="O20" s="3">
        <v>4.6332639999999996</v>
      </c>
      <c r="P20" s="9">
        <v>0</v>
      </c>
      <c r="Q20" s="2">
        <v>3.6227055722748944</v>
      </c>
      <c r="R20" s="2">
        <v>54.252318011320277</v>
      </c>
      <c r="S20" s="63"/>
      <c r="T20">
        <f t="shared" si="0"/>
        <v>546</v>
      </c>
      <c r="U20" s="20">
        <f t="shared" si="1"/>
        <v>3.7588786796579156E-2</v>
      </c>
      <c r="V20">
        <f t="shared" si="5"/>
        <v>-8.3056323885704263E-4</v>
      </c>
      <c r="W20" s="64"/>
      <c r="X20">
        <f t="shared" si="34"/>
        <v>516</v>
      </c>
      <c r="Y20" s="21">
        <f t="shared" si="6"/>
        <v>606689.7570000001</v>
      </c>
      <c r="Z20">
        <f t="shared" si="7"/>
        <v>1.8392898499317876</v>
      </c>
      <c r="AB20">
        <f t="shared" si="2"/>
        <v>516</v>
      </c>
      <c r="AC20">
        <f t="shared" si="8"/>
        <v>1417.2793205320684</v>
      </c>
      <c r="AF20" s="61"/>
      <c r="AH20" s="21">
        <f t="shared" si="35"/>
        <v>619874.41500000004</v>
      </c>
      <c r="AI20" s="21">
        <f t="shared" si="36"/>
        <v>4495185</v>
      </c>
      <c r="AJ20" s="21">
        <f t="shared" si="9"/>
        <v>158746109.71950001</v>
      </c>
      <c r="AK20" s="21">
        <f t="shared" si="38"/>
        <v>4014829.8807319999</v>
      </c>
      <c r="AL20" s="21">
        <f t="shared" si="37"/>
        <v>0</v>
      </c>
      <c r="AM20">
        <f t="shared" si="3"/>
        <v>515</v>
      </c>
      <c r="AN20">
        <f t="shared" si="10"/>
        <v>2149.0619999999999</v>
      </c>
      <c r="AO20">
        <f t="shared" si="11"/>
        <v>528.98156611580055</v>
      </c>
      <c r="AP20">
        <f t="shared" si="12"/>
        <v>1.2553690959938046</v>
      </c>
      <c r="AQ20">
        <f t="shared" si="4"/>
        <v>8.1330009464594313E-3</v>
      </c>
      <c r="AR20" s="22">
        <f t="shared" si="13"/>
        <v>256.09398593987783</v>
      </c>
      <c r="AS20" s="22">
        <f t="shared" si="14"/>
        <v>5731182.5810440155</v>
      </c>
      <c r="AT20">
        <f t="shared" si="15"/>
        <v>-3415331.7308692303</v>
      </c>
      <c r="AU20">
        <f t="shared" si="16"/>
        <v>66504.537447682189</v>
      </c>
      <c r="AV20">
        <f t="shared" si="17"/>
        <v>9080009.7744655646</v>
      </c>
      <c r="AW20">
        <f t="shared" si="18"/>
        <v>1716352.7003120156</v>
      </c>
      <c r="AX20">
        <f t="shared" si="19"/>
        <v>5065179.8937335648</v>
      </c>
      <c r="AY20">
        <f t="shared" si="20"/>
        <v>32985000.000000011</v>
      </c>
      <c r="AZ20" s="58"/>
      <c r="BB20">
        <f t="shared" si="21"/>
        <v>-3415331.7308692303</v>
      </c>
      <c r="BC20">
        <f t="shared" si="22"/>
        <v>66504.537447682189</v>
      </c>
      <c r="BD20">
        <f t="shared" si="23"/>
        <v>5065179.8937335648</v>
      </c>
      <c r="BE20">
        <f t="shared" si="24"/>
        <v>1716352.7003120156</v>
      </c>
      <c r="BF20">
        <f t="shared" si="25"/>
        <v>-1.9898775643539683</v>
      </c>
      <c r="BG20">
        <f t="shared" si="26"/>
        <v>3.8747593915628376E-2</v>
      </c>
      <c r="BH20">
        <f t="shared" si="27"/>
        <v>2.9511299704383407</v>
      </c>
      <c r="BI20">
        <f t="shared" si="28"/>
        <v>1.0000000000000007</v>
      </c>
      <c r="BJ20" s="56"/>
      <c r="BK20">
        <f t="shared" si="29"/>
        <v>-597574.96096287412</v>
      </c>
      <c r="BL20">
        <f t="shared" si="30"/>
        <v>0</v>
      </c>
      <c r="BM20">
        <f t="shared" si="31"/>
        <v>2.0162054705982172E-3</v>
      </c>
      <c r="BN20">
        <f t="shared" si="32"/>
        <v>0.4066001484260392</v>
      </c>
      <c r="BO20">
        <f t="shared" si="33"/>
        <v>8362991.0726322671</v>
      </c>
    </row>
    <row r="21" spans="1:76" x14ac:dyDescent="0.3">
      <c r="A21" s="6">
        <v>44774</v>
      </c>
      <c r="B21" s="2">
        <v>1057.4327632258053</v>
      </c>
      <c r="C21" s="2">
        <v>1013.4153225806447</v>
      </c>
      <c r="D21" s="2">
        <v>44.017440645161201</v>
      </c>
      <c r="E21" s="2">
        <v>8631.7741935483773</v>
      </c>
      <c r="F21" s="2">
        <v>31415.875000000004</v>
      </c>
      <c r="G21" s="3">
        <v>4.2034471349999885E-3</v>
      </c>
      <c r="H21" s="2">
        <v>267585</v>
      </c>
      <c r="I21" s="2">
        <v>1364.5406599999999</v>
      </c>
      <c r="J21" s="2"/>
      <c r="K21" s="4">
        <v>4</v>
      </c>
      <c r="L21" s="2">
        <v>0</v>
      </c>
      <c r="M21" s="4">
        <v>4</v>
      </c>
      <c r="N21" s="3">
        <v>8.9416301076999979E-2</v>
      </c>
      <c r="O21" s="3">
        <v>4.900849</v>
      </c>
      <c r="P21" s="9">
        <v>0</v>
      </c>
      <c r="Q21" s="2">
        <v>4.1626704009890512</v>
      </c>
      <c r="R21" s="2">
        <v>53.573428497535069</v>
      </c>
      <c r="S21" s="63"/>
      <c r="T21">
        <f t="shared" si="0"/>
        <v>577</v>
      </c>
      <c r="U21" s="20">
        <f t="shared" si="1"/>
        <v>4.3434749469814161E-2</v>
      </c>
      <c r="V21">
        <f t="shared" si="5"/>
        <v>2.7207489939209246E-3</v>
      </c>
      <c r="W21" s="64"/>
      <c r="X21">
        <f t="shared" si="34"/>
        <v>546</v>
      </c>
      <c r="Y21" s="21">
        <f t="shared" si="6"/>
        <v>636812.49600000004</v>
      </c>
      <c r="Z21">
        <f t="shared" si="7"/>
        <v>1.9306123874488403</v>
      </c>
      <c r="AB21">
        <f t="shared" si="2"/>
        <v>546</v>
      </c>
      <c r="AC21">
        <f t="shared" si="8"/>
        <v>1400.3736058419138</v>
      </c>
      <c r="AF21" s="61"/>
      <c r="AH21" s="21">
        <f t="shared" si="35"/>
        <v>651290.29</v>
      </c>
      <c r="AI21" s="21">
        <f t="shared" si="36"/>
        <v>4762770</v>
      </c>
      <c r="AJ21" s="21">
        <f t="shared" si="9"/>
        <v>168195793.71900001</v>
      </c>
      <c r="AK21" s="21">
        <f t="shared" si="38"/>
        <v>4274651.8807319999</v>
      </c>
      <c r="AL21" s="21">
        <f t="shared" si="37"/>
        <v>0</v>
      </c>
      <c r="AM21">
        <f t="shared" si="3"/>
        <v>546</v>
      </c>
      <c r="AN21">
        <f t="shared" si="10"/>
        <v>2143.8167999999996</v>
      </c>
      <c r="AO21">
        <f t="shared" si="11"/>
        <v>527.44467748731245</v>
      </c>
      <c r="AP21">
        <f t="shared" si="12"/>
        <v>1.2553690959938046</v>
      </c>
      <c r="AQ21">
        <f t="shared" si="4"/>
        <v>8.1528996694120517E-3</v>
      </c>
      <c r="AR21" s="22">
        <f t="shared" si="13"/>
        <v>258.25011719274983</v>
      </c>
      <c r="AS21" s="22">
        <f t="shared" si="14"/>
        <v>6091851.7070247158</v>
      </c>
      <c r="AT21">
        <f t="shared" si="15"/>
        <v>-3415331.7308692303</v>
      </c>
      <c r="AU21">
        <f t="shared" si="16"/>
        <v>68150.301662050275</v>
      </c>
      <c r="AV21">
        <f t="shared" si="17"/>
        <v>9439033.1362318955</v>
      </c>
      <c r="AW21">
        <f t="shared" si="18"/>
        <v>1817199.8262927162</v>
      </c>
      <c r="AX21">
        <f t="shared" si="19"/>
        <v>5164381.2554998957</v>
      </c>
      <c r="AY21">
        <f t="shared" si="20"/>
        <v>32984999.999999996</v>
      </c>
      <c r="AZ21" s="58"/>
      <c r="BB21">
        <f t="shared" si="21"/>
        <v>-3415331.7308692303</v>
      </c>
      <c r="BC21">
        <f t="shared" si="22"/>
        <v>68150.301662050275</v>
      </c>
      <c r="BD21">
        <f t="shared" si="23"/>
        <v>5164381.2554998957</v>
      </c>
      <c r="BE21">
        <f t="shared" si="24"/>
        <v>1817199.8262927162</v>
      </c>
      <c r="BF21">
        <f t="shared" si="25"/>
        <v>-1.8794475332065577</v>
      </c>
      <c r="BG21">
        <f t="shared" si="26"/>
        <v>3.7502921074499686E-2</v>
      </c>
      <c r="BH21">
        <f t="shared" si="27"/>
        <v>2.8419446121320577</v>
      </c>
      <c r="BI21">
        <f t="shared" si="28"/>
        <v>0.99999999999999978</v>
      </c>
      <c r="BJ21" s="56"/>
      <c r="BK21">
        <f t="shared" si="29"/>
        <v>-611787.67489406432</v>
      </c>
      <c r="BL21">
        <f t="shared" si="30"/>
        <v>0</v>
      </c>
      <c r="BM21">
        <f t="shared" si="31"/>
        <v>2.066099792695173E-3</v>
      </c>
      <c r="BN21">
        <f t="shared" si="32"/>
        <v>0.42037839370793706</v>
      </c>
      <c r="BO21">
        <f t="shared" si="33"/>
        <v>8670640.1957928557</v>
      </c>
    </row>
    <row r="22" spans="1:76" x14ac:dyDescent="0.3">
      <c r="A22" s="6">
        <v>44805</v>
      </c>
      <c r="B22" s="2">
        <v>1555.9845848999989</v>
      </c>
      <c r="C22" s="2">
        <v>1289.9084333333317</v>
      </c>
      <c r="D22" s="2">
        <v>266.07615156666628</v>
      </c>
      <c r="E22" s="2">
        <v>9214.2666666666628</v>
      </c>
      <c r="F22" s="2">
        <v>38697.252999999997</v>
      </c>
      <c r="G22" s="3">
        <v>5.1776962239999998E-3</v>
      </c>
      <c r="H22" s="2">
        <v>276428</v>
      </c>
      <c r="I22" s="2">
        <v>7982.2845470000002</v>
      </c>
      <c r="J22" s="2"/>
      <c r="K22" s="4">
        <v>4</v>
      </c>
      <c r="L22" s="2">
        <v>0</v>
      </c>
      <c r="M22" s="4">
        <v>4</v>
      </c>
      <c r="N22" s="3">
        <v>9.4593997300999974E-2</v>
      </c>
      <c r="O22" s="3">
        <v>5.1772770000000001</v>
      </c>
      <c r="P22" s="9">
        <v>0</v>
      </c>
      <c r="Q22" s="2">
        <v>17.100179150153139</v>
      </c>
      <c r="R22" s="2">
        <v>44.930239218788998</v>
      </c>
      <c r="S22" s="63"/>
      <c r="T22">
        <f t="shared" si="0"/>
        <v>608</v>
      </c>
      <c r="U22" s="20">
        <f t="shared" si="1"/>
        <v>0.20627522441967647</v>
      </c>
      <c r="V22">
        <f t="shared" si="5"/>
        <v>3.2782755899076208E-3</v>
      </c>
      <c r="W22" s="64"/>
      <c r="X22">
        <f t="shared" si="34"/>
        <v>577</v>
      </c>
      <c r="Y22" s="21">
        <f t="shared" si="6"/>
        <v>668228.37100000004</v>
      </c>
      <c r="Z22">
        <f t="shared" si="7"/>
        <v>2.0258553008943458</v>
      </c>
      <c r="AB22">
        <f t="shared" si="2"/>
        <v>577</v>
      </c>
      <c r="AC22">
        <f t="shared" si="8"/>
        <v>1383.1161902307156</v>
      </c>
      <c r="AF22" s="61"/>
      <c r="AH22" s="21">
        <f t="shared" si="35"/>
        <v>689987.54300000006</v>
      </c>
      <c r="AI22" s="21">
        <f t="shared" si="36"/>
        <v>5039198</v>
      </c>
      <c r="AJ22" s="21">
        <f t="shared" si="9"/>
        <v>177957765.61060002</v>
      </c>
      <c r="AK22" s="21">
        <f t="shared" si="38"/>
        <v>4542236.8807319999</v>
      </c>
      <c r="AL22" s="21">
        <f t="shared" si="37"/>
        <v>0</v>
      </c>
      <c r="AM22">
        <f t="shared" si="3"/>
        <v>577</v>
      </c>
      <c r="AN22">
        <f t="shared" si="10"/>
        <v>2138.5715999999998</v>
      </c>
      <c r="AO22">
        <f t="shared" si="11"/>
        <v>525.90854972500699</v>
      </c>
      <c r="AP22">
        <f t="shared" si="12"/>
        <v>1.2553690959938046</v>
      </c>
      <c r="AQ22">
        <f t="shared" si="4"/>
        <v>8.1728960021726655E-3</v>
      </c>
      <c r="AR22" s="22">
        <f t="shared" si="13"/>
        <v>257.91446152325682</v>
      </c>
      <c r="AS22" s="22">
        <f t="shared" si="14"/>
        <v>6468112.4797279947</v>
      </c>
      <c r="AT22">
        <f t="shared" si="15"/>
        <v>-3415331.7308692303</v>
      </c>
      <c r="AU22">
        <f t="shared" si="16"/>
        <v>69796.06587641823</v>
      </c>
      <c r="AV22">
        <f t="shared" si="17"/>
        <v>9813648.1447208058</v>
      </c>
      <c r="AW22">
        <f t="shared" si="18"/>
        <v>1925875.5989959945</v>
      </c>
      <c r="AX22">
        <f t="shared" si="19"/>
        <v>5271411.2639888059</v>
      </c>
      <c r="AY22">
        <f t="shared" si="20"/>
        <v>32984999.999999993</v>
      </c>
      <c r="AZ22" s="58"/>
      <c r="BB22">
        <f t="shared" si="21"/>
        <v>-3415331.7308692303</v>
      </c>
      <c r="BC22">
        <f t="shared" si="22"/>
        <v>69796.06587641823</v>
      </c>
      <c r="BD22">
        <f t="shared" si="23"/>
        <v>5271411.2639888059</v>
      </c>
      <c r="BE22">
        <f t="shared" si="24"/>
        <v>1925875.5989959945</v>
      </c>
      <c r="BF22">
        <f t="shared" si="25"/>
        <v>-1.7733916628102695</v>
      </c>
      <c r="BG22">
        <f t="shared" si="26"/>
        <v>3.6241212003934521E-2</v>
      </c>
      <c r="BH22">
        <f t="shared" si="27"/>
        <v>2.7371504508063347</v>
      </c>
      <c r="BI22">
        <f t="shared" si="28"/>
        <v>0.99999999999999978</v>
      </c>
      <c r="BJ22" s="56"/>
      <c r="BK22">
        <f t="shared" si="29"/>
        <v>-645082.26781012362</v>
      </c>
      <c r="BL22">
        <f t="shared" si="30"/>
        <v>0</v>
      </c>
      <c r="BM22">
        <f t="shared" si="31"/>
        <v>2.1159941147921245E-3</v>
      </c>
      <c r="BN22">
        <f t="shared" si="32"/>
        <v>0.43421800735327509</v>
      </c>
      <c r="BO22">
        <f t="shared" si="33"/>
        <v>8931585.8947726004</v>
      </c>
    </row>
    <row r="23" spans="1:76" x14ac:dyDescent="0.3">
      <c r="A23" s="6">
        <v>44835</v>
      </c>
      <c r="B23" s="2">
        <v>1716.4563447419341</v>
      </c>
      <c r="C23" s="2">
        <v>1380.4432580645155</v>
      </c>
      <c r="D23" s="2">
        <v>336.01308667741853</v>
      </c>
      <c r="E23" s="2">
        <v>9535.9999999999836</v>
      </c>
      <c r="F23" s="2">
        <v>42793.740999999995</v>
      </c>
      <c r="G23" s="3">
        <v>5.7258067229999906E-3</v>
      </c>
      <c r="H23" s="2">
        <v>295616</v>
      </c>
      <c r="I23" s="2">
        <v>10416.405687</v>
      </c>
      <c r="J23" s="2"/>
      <c r="K23" s="4">
        <v>4</v>
      </c>
      <c r="L23" s="2">
        <v>0</v>
      </c>
      <c r="M23" s="4">
        <v>4</v>
      </c>
      <c r="N23" s="8">
        <v>0.10031980402399997</v>
      </c>
      <c r="O23" s="3">
        <v>5.472893</v>
      </c>
      <c r="P23" s="9">
        <v>0</v>
      </c>
      <c r="Q23" s="2">
        <v>19.575976266844005</v>
      </c>
      <c r="R23" s="2">
        <v>43.449473529318226</v>
      </c>
      <c r="S23" s="63"/>
      <c r="T23">
        <f t="shared" si="0"/>
        <v>638</v>
      </c>
      <c r="U23" s="20">
        <f t="shared" si="1"/>
        <v>0.24340956045417902</v>
      </c>
      <c r="V23">
        <f t="shared" si="5"/>
        <v>-1.021690905022774E-3</v>
      </c>
      <c r="W23" s="64"/>
      <c r="X23">
        <f t="shared" si="34"/>
        <v>608</v>
      </c>
      <c r="Y23" s="21">
        <f t="shared" si="6"/>
        <v>706925.62400000007</v>
      </c>
      <c r="Z23">
        <f t="shared" si="7"/>
        <v>2.1431730301652268</v>
      </c>
      <c r="AB23">
        <f t="shared" si="2"/>
        <v>608</v>
      </c>
      <c r="AC23">
        <f t="shared" si="8"/>
        <v>1366.0714452899265</v>
      </c>
      <c r="AF23" s="61"/>
      <c r="AH23" s="21">
        <f t="shared" si="35"/>
        <v>732781.2840000001</v>
      </c>
      <c r="AI23" s="21">
        <f t="shared" si="36"/>
        <v>5334814</v>
      </c>
      <c r="AJ23" s="21">
        <f t="shared" si="9"/>
        <v>188397355.96580002</v>
      </c>
      <c r="AK23" s="21">
        <f t="shared" si="38"/>
        <v>4818664.8807319999</v>
      </c>
      <c r="AL23" s="21">
        <f t="shared" si="37"/>
        <v>0</v>
      </c>
      <c r="AM23">
        <f t="shared" si="3"/>
        <v>607</v>
      </c>
      <c r="AN23">
        <f t="shared" si="10"/>
        <v>2133.4955999999997</v>
      </c>
      <c r="AO23">
        <f t="shared" si="11"/>
        <v>524.42270029800136</v>
      </c>
      <c r="AP23">
        <f t="shared" si="12"/>
        <v>1.2553690959938046</v>
      </c>
      <c r="AQ23">
        <f t="shared" si="4"/>
        <v>8.1923409075697184E-3</v>
      </c>
      <c r="AR23" s="22">
        <f t="shared" si="13"/>
        <v>257.09902815394503</v>
      </c>
      <c r="AS23" s="22">
        <f t="shared" si="14"/>
        <v>6861767.6386998305</v>
      </c>
      <c r="AT23">
        <f t="shared" si="15"/>
        <v>-3415331.7308692303</v>
      </c>
      <c r="AU23">
        <f t="shared" si="16"/>
        <v>71388.740922580808</v>
      </c>
      <c r="AV23">
        <f t="shared" si="17"/>
        <v>10205710.62864648</v>
      </c>
      <c r="AW23">
        <f t="shared" si="18"/>
        <v>2043102.7579678304</v>
      </c>
      <c r="AX23">
        <f t="shared" si="19"/>
        <v>5387045.74791448</v>
      </c>
      <c r="AY23">
        <f t="shared" si="20"/>
        <v>32985000</v>
      </c>
      <c r="AZ23" s="58"/>
      <c r="BB23">
        <f t="shared" si="21"/>
        <v>-3415331.7308692303</v>
      </c>
      <c r="BC23">
        <f t="shared" si="22"/>
        <v>71388.740922580808</v>
      </c>
      <c r="BD23">
        <f t="shared" si="23"/>
        <v>5387045.74791448</v>
      </c>
      <c r="BE23">
        <f t="shared" si="24"/>
        <v>2043102.7579678304</v>
      </c>
      <c r="BF23">
        <f t="shared" si="25"/>
        <v>-1.6716397242135221</v>
      </c>
      <c r="BG23">
        <f t="shared" si="26"/>
        <v>3.4941336476677035E-2</v>
      </c>
      <c r="BH23">
        <f t="shared" si="27"/>
        <v>2.6366983877368453</v>
      </c>
      <c r="BI23">
        <f t="shared" si="28"/>
        <v>1.0000000000000002</v>
      </c>
      <c r="BJ23" s="56"/>
      <c r="BK23">
        <f t="shared" si="29"/>
        <v>-684884.91046609811</v>
      </c>
      <c r="BL23">
        <f t="shared" si="30"/>
        <v>0</v>
      </c>
      <c r="BM23">
        <f t="shared" si="31"/>
        <v>2.1642789426278859E-3</v>
      </c>
      <c r="BN23">
        <f t="shared" si="32"/>
        <v>0.44767002771489839</v>
      </c>
      <c r="BO23">
        <f t="shared" si="33"/>
        <v>9189561.3764582984</v>
      </c>
    </row>
    <row r="24" spans="1:76" x14ac:dyDescent="0.3">
      <c r="A24" s="6">
        <v>44866</v>
      </c>
      <c r="B24" s="2">
        <v>1483.0256528333334</v>
      </c>
      <c r="C24" s="2">
        <v>1296.4054000000001</v>
      </c>
      <c r="D24" s="2">
        <v>186.62025283333335</v>
      </c>
      <c r="E24" s="2">
        <v>9162.3666666666668</v>
      </c>
      <c r="F24" s="2">
        <v>38892.161999999997</v>
      </c>
      <c r="G24" s="3">
        <v>5.2037750740000005E-3</v>
      </c>
      <c r="H24" s="2">
        <v>274871</v>
      </c>
      <c r="I24" s="2">
        <v>5598.6075849999997</v>
      </c>
      <c r="J24" s="2"/>
      <c r="K24" s="4">
        <v>4</v>
      </c>
      <c r="L24" s="2">
        <v>0</v>
      </c>
      <c r="M24" s="4">
        <v>4</v>
      </c>
      <c r="N24" s="3">
        <v>0.10552357909799996</v>
      </c>
      <c r="O24" s="3">
        <v>5.7477640000000001</v>
      </c>
      <c r="P24" s="9">
        <v>0</v>
      </c>
      <c r="Q24" s="2">
        <v>12.583750825671405</v>
      </c>
      <c r="R24" s="2">
        <v>44.453265822558279</v>
      </c>
      <c r="S24" s="63"/>
      <c r="T24">
        <f t="shared" si="0"/>
        <v>669</v>
      </c>
      <c r="U24" s="20">
        <f t="shared" si="1"/>
        <v>0.14395207921328726</v>
      </c>
      <c r="V24">
        <f t="shared" si="5"/>
        <v>-2.8971640831047256E-3</v>
      </c>
      <c r="W24" s="64"/>
      <c r="X24">
        <f t="shared" si="34"/>
        <v>638</v>
      </c>
      <c r="Y24" s="21">
        <f t="shared" si="6"/>
        <v>749719.36500000011</v>
      </c>
      <c r="Z24">
        <f t="shared" si="7"/>
        <v>2.2729100045475219</v>
      </c>
      <c r="AB24">
        <f t="shared" si="2"/>
        <v>638</v>
      </c>
      <c r="AC24">
        <f t="shared" si="8"/>
        <v>1349.7765528393907</v>
      </c>
      <c r="AF24" s="61"/>
      <c r="AH24" s="21">
        <f t="shared" si="35"/>
        <v>771673.44600000011</v>
      </c>
      <c r="AI24" s="21">
        <f t="shared" si="36"/>
        <v>5609685</v>
      </c>
      <c r="AJ24" s="21">
        <f t="shared" si="9"/>
        <v>198104342.86950001</v>
      </c>
      <c r="AK24" s="21">
        <f t="shared" si="38"/>
        <v>5114280.8807319999</v>
      </c>
      <c r="AL24" s="21">
        <f t="shared" si="37"/>
        <v>0</v>
      </c>
      <c r="AM24">
        <f t="shared" si="3"/>
        <v>638</v>
      </c>
      <c r="AN24">
        <f t="shared" si="10"/>
        <v>2128.2503999999999</v>
      </c>
      <c r="AO24">
        <f t="shared" si="11"/>
        <v>522.88807401092254</v>
      </c>
      <c r="AP24">
        <f t="shared" si="12"/>
        <v>1.2553690959938046</v>
      </c>
      <c r="AQ24">
        <f t="shared" si="4"/>
        <v>8.2125314201749941E-3</v>
      </c>
      <c r="AR24" s="22">
        <f t="shared" si="13"/>
        <v>256.72043517420707</v>
      </c>
      <c r="AS24" s="22">
        <f t="shared" si="14"/>
        <v>7266336.5478310529</v>
      </c>
      <c r="AT24">
        <f t="shared" si="15"/>
        <v>-3415331.7308692303</v>
      </c>
      <c r="AU24">
        <f t="shared" si="16"/>
        <v>73034.505136948763</v>
      </c>
      <c r="AV24">
        <f t="shared" si="17"/>
        <v>10608633.773563335</v>
      </c>
      <c r="AW24">
        <f t="shared" si="18"/>
        <v>2152055.667099053</v>
      </c>
      <c r="AX24">
        <f t="shared" si="19"/>
        <v>5494352.8928313348</v>
      </c>
      <c r="AY24">
        <f t="shared" si="20"/>
        <v>32985000.000000004</v>
      </c>
      <c r="AZ24" s="58"/>
      <c r="BB24">
        <f t="shared" si="21"/>
        <v>-3415331.7308692303</v>
      </c>
      <c r="BC24">
        <f t="shared" si="22"/>
        <v>73034.505136948763</v>
      </c>
      <c r="BD24">
        <f t="shared" si="23"/>
        <v>5494352.8928313348</v>
      </c>
      <c r="BE24">
        <f t="shared" si="24"/>
        <v>2152055.667099053</v>
      </c>
      <c r="BF24">
        <f t="shared" si="25"/>
        <v>-1.5870090086810158</v>
      </c>
      <c r="BG24">
        <f t="shared" si="26"/>
        <v>3.39370891996481E-2</v>
      </c>
      <c r="BH24">
        <f t="shared" si="27"/>
        <v>2.553071919481368</v>
      </c>
      <c r="BI24">
        <f t="shared" si="28"/>
        <v>1.0000000000000002</v>
      </c>
      <c r="BJ24" s="56"/>
      <c r="BK24">
        <f t="shared" si="29"/>
        <v>-718073.7808755507</v>
      </c>
      <c r="BL24">
        <f t="shared" si="30"/>
        <v>0</v>
      </c>
      <c r="BM24">
        <f t="shared" si="31"/>
        <v>2.2141732647248374E-3</v>
      </c>
      <c r="BN24">
        <f t="shared" si="32"/>
        <v>0.46163168913696506</v>
      </c>
      <c r="BO24">
        <f t="shared" si="33"/>
        <v>9477732.7043381911</v>
      </c>
    </row>
    <row r="25" spans="1:76" x14ac:dyDescent="0.3">
      <c r="A25" s="6">
        <v>44896</v>
      </c>
      <c r="B25" s="2">
        <v>1231.4609191935483</v>
      </c>
      <c r="C25" s="2">
        <v>1154.4774193548387</v>
      </c>
      <c r="D25" s="2">
        <v>76.983499838709676</v>
      </c>
      <c r="E25" s="2">
        <v>8037.1612903225805</v>
      </c>
      <c r="F25" s="2">
        <v>35788.800000000003</v>
      </c>
      <c r="G25" s="3">
        <v>4.7885449290000007E-3</v>
      </c>
      <c r="H25" s="2">
        <v>249152</v>
      </c>
      <c r="I25" s="2">
        <v>2386.4884950000001</v>
      </c>
      <c r="J25" s="2"/>
      <c r="K25" s="4">
        <v>4</v>
      </c>
      <c r="L25" s="2">
        <v>0</v>
      </c>
      <c r="M25" s="4">
        <v>4</v>
      </c>
      <c r="N25" s="3">
        <v>0.11031212402699997</v>
      </c>
      <c r="O25" s="3">
        <v>5.9969159999999997</v>
      </c>
      <c r="P25" s="9">
        <v>0</v>
      </c>
      <c r="Q25" s="2">
        <v>6.2513960970133065</v>
      </c>
      <c r="R25" s="2">
        <v>43.787895922746777</v>
      </c>
      <c r="S25" s="63"/>
      <c r="T25">
        <f t="shared" si="0"/>
        <v>699</v>
      </c>
      <c r="U25" s="20">
        <f t="shared" si="1"/>
        <v>6.6682551384790775E-2</v>
      </c>
      <c r="V25">
        <f t="shared" si="5"/>
        <v>-1.1813446942543502E-3</v>
      </c>
      <c r="W25" s="64"/>
      <c r="X25">
        <f t="shared" si="34"/>
        <v>669</v>
      </c>
      <c r="Y25" s="21">
        <f t="shared" si="6"/>
        <v>788611.52700000012</v>
      </c>
      <c r="Z25">
        <f t="shared" si="7"/>
        <v>2.3908186357435204</v>
      </c>
      <c r="AB25">
        <f t="shared" si="2"/>
        <v>669</v>
      </c>
      <c r="AC25">
        <f t="shared" si="8"/>
        <v>1333.1426668125289</v>
      </c>
      <c r="AF25" s="61"/>
      <c r="AH25" s="21">
        <f t="shared" si="35"/>
        <v>807462.24600000016</v>
      </c>
      <c r="AI25" s="21">
        <f t="shared" si="36"/>
        <v>5858837</v>
      </c>
      <c r="AJ25" s="21">
        <f t="shared" si="9"/>
        <v>206903071.00390002</v>
      </c>
      <c r="AK25" s="21">
        <f t="shared" si="38"/>
        <v>5389151.8807319999</v>
      </c>
      <c r="AL25" s="21">
        <f t="shared" si="37"/>
        <v>0</v>
      </c>
      <c r="AM25">
        <f t="shared" si="3"/>
        <v>668</v>
      </c>
      <c r="AN25">
        <f t="shared" si="10"/>
        <v>2123.1743999999999</v>
      </c>
      <c r="AO25">
        <f t="shared" si="11"/>
        <v>521.40368038901192</v>
      </c>
      <c r="AP25">
        <f t="shared" si="12"/>
        <v>1.2553690959938046</v>
      </c>
      <c r="AQ25">
        <f t="shared" si="4"/>
        <v>8.2321656101354643E-3</v>
      </c>
      <c r="AR25" s="22">
        <f t="shared" si="13"/>
        <v>256.23869354741322</v>
      </c>
      <c r="AS25" s="22">
        <f t="shared" si="14"/>
        <v>7640773.9709815932</v>
      </c>
      <c r="AT25">
        <f t="shared" si="15"/>
        <v>-3415331.7308692303</v>
      </c>
      <c r="AU25">
        <f t="shared" si="16"/>
        <v>74627.180183111326</v>
      </c>
      <c r="AV25">
        <f t="shared" si="17"/>
        <v>10981478.521667713</v>
      </c>
      <c r="AW25">
        <f t="shared" si="18"/>
        <v>2251622.0902495934</v>
      </c>
      <c r="AX25">
        <f t="shared" si="19"/>
        <v>5592326.6409357134</v>
      </c>
      <c r="AY25">
        <f t="shared" si="20"/>
        <v>32985000.000000011</v>
      </c>
      <c r="AZ25" s="58"/>
      <c r="BB25">
        <f t="shared" si="21"/>
        <v>-3415331.7308692303</v>
      </c>
      <c r="BC25">
        <f t="shared" si="22"/>
        <v>74627.180183111326</v>
      </c>
      <c r="BD25">
        <f t="shared" si="23"/>
        <v>5592326.6409357134</v>
      </c>
      <c r="BE25">
        <f t="shared" si="24"/>
        <v>2251622.0902495934</v>
      </c>
      <c r="BF25">
        <f t="shared" si="25"/>
        <v>-1.5168316857695419</v>
      </c>
      <c r="BG25">
        <f t="shared" si="26"/>
        <v>3.3143741352634745E-2</v>
      </c>
      <c r="BH25">
        <f t="shared" si="27"/>
        <v>2.4836879444169075</v>
      </c>
      <c r="BI25">
        <f t="shared" si="28"/>
        <v>1.0000000000000004</v>
      </c>
      <c r="BJ25" s="56"/>
      <c r="BK25">
        <f t="shared" si="29"/>
        <v>-748931.72185380606</v>
      </c>
      <c r="BL25">
        <f t="shared" si="30"/>
        <v>0</v>
      </c>
      <c r="BM25">
        <f t="shared" si="31"/>
        <v>2.2624580925605983E-3</v>
      </c>
      <c r="BN25">
        <f t="shared" si="32"/>
        <v>0.47520265771556325</v>
      </c>
      <c r="BO25">
        <f t="shared" si="33"/>
        <v>9718448.5426217671</v>
      </c>
    </row>
    <row r="26" spans="1:76" x14ac:dyDescent="0.3">
      <c r="A26" s="6">
        <v>44927</v>
      </c>
      <c r="B26" s="2">
        <v>1098.8466700322549</v>
      </c>
      <c r="C26" s="2">
        <v>1025.1486774193529</v>
      </c>
      <c r="D26" s="2">
        <v>73.697992612903121</v>
      </c>
      <c r="E26" s="2">
        <v>7951.1290322580517</v>
      </c>
      <c r="F26" s="2">
        <v>31779.609</v>
      </c>
      <c r="G26" s="3">
        <v>4.252114775999999E-3</v>
      </c>
      <c r="H26" s="2">
        <v>246485</v>
      </c>
      <c r="I26" s="2">
        <v>2284.6377709999997</v>
      </c>
      <c r="J26" s="2"/>
      <c r="K26" s="4">
        <v>4</v>
      </c>
      <c r="L26" s="2">
        <v>0</v>
      </c>
      <c r="M26" s="4">
        <v>4</v>
      </c>
      <c r="N26" s="3">
        <v>0.11456423880299997</v>
      </c>
      <c r="O26" s="3">
        <v>6.2434009999999995</v>
      </c>
      <c r="P26" s="9">
        <v>0</v>
      </c>
      <c r="Q26" s="2">
        <v>6.706849519846088</v>
      </c>
      <c r="R26" s="2">
        <v>48.784154424303956</v>
      </c>
      <c r="S26" s="63"/>
      <c r="T26">
        <f t="shared" si="0"/>
        <v>730</v>
      </c>
      <c r="U26" s="20">
        <f t="shared" si="1"/>
        <v>7.1890052863771897E-2</v>
      </c>
      <c r="V26">
        <f t="shared" si="5"/>
        <v>-4.9813375654111115E-6</v>
      </c>
      <c r="W26" s="64"/>
      <c r="X26">
        <f t="shared" si="34"/>
        <v>699</v>
      </c>
      <c r="Y26" s="21">
        <f t="shared" si="6"/>
        <v>824400.32700000016</v>
      </c>
      <c r="Z26">
        <f t="shared" si="7"/>
        <v>2.4993188631196004</v>
      </c>
      <c r="AB26">
        <f t="shared" si="2"/>
        <v>699</v>
      </c>
      <c r="AC26">
        <f t="shared" si="8"/>
        <v>1317.2405582867773</v>
      </c>
      <c r="AF26" s="61"/>
      <c r="AH26" s="21">
        <f t="shared" si="35"/>
        <v>839241.85500000021</v>
      </c>
      <c r="AI26" s="21">
        <f t="shared" si="36"/>
        <v>6105322</v>
      </c>
      <c r="AJ26" s="21">
        <f t="shared" si="9"/>
        <v>215607614.83340001</v>
      </c>
      <c r="AK26" s="21">
        <f t="shared" si="38"/>
        <v>5638303.8807319999</v>
      </c>
      <c r="AL26" s="21">
        <f t="shared" si="37"/>
        <v>0</v>
      </c>
      <c r="AM26">
        <f t="shared" si="3"/>
        <v>699</v>
      </c>
      <c r="AN26">
        <f t="shared" si="10"/>
        <v>2117.9292</v>
      </c>
      <c r="AO26">
        <f t="shared" si="11"/>
        <v>519.87056130293695</v>
      </c>
      <c r="AP26">
        <f t="shared" si="12"/>
        <v>1.2553690959938046</v>
      </c>
      <c r="AQ26">
        <f t="shared" si="4"/>
        <v>8.2525531448360018E-3</v>
      </c>
      <c r="AR26" s="22">
        <f t="shared" si="13"/>
        <v>256.9076048207819</v>
      </c>
      <c r="AS26" s="22">
        <f t="shared" si="14"/>
        <v>7986363.3087244015</v>
      </c>
      <c r="AT26">
        <f t="shared" si="15"/>
        <v>-3415331.7308692303</v>
      </c>
      <c r="AU26">
        <f t="shared" si="16"/>
        <v>76272.944397479281</v>
      </c>
      <c r="AV26">
        <f t="shared" si="17"/>
        <v>11325422.095196152</v>
      </c>
      <c r="AW26">
        <f t="shared" si="18"/>
        <v>2348059.4279924012</v>
      </c>
      <c r="AX26">
        <f t="shared" si="19"/>
        <v>5687118.2144641522</v>
      </c>
      <c r="AY26">
        <f t="shared" si="20"/>
        <v>32985000</v>
      </c>
      <c r="AZ26" s="58"/>
      <c r="BB26">
        <f t="shared" si="21"/>
        <v>-3415331.7308692303</v>
      </c>
      <c r="BC26">
        <f t="shared" si="22"/>
        <v>76272.944397479281</v>
      </c>
      <c r="BD26">
        <f t="shared" si="23"/>
        <v>5687118.2144641522</v>
      </c>
      <c r="BE26">
        <f t="shared" si="24"/>
        <v>2348059.4279924012</v>
      </c>
      <c r="BF26">
        <f t="shared" si="25"/>
        <v>-1.4545337695261618</v>
      </c>
      <c r="BG26">
        <f t="shared" si="26"/>
        <v>3.2483396070896259E-2</v>
      </c>
      <c r="BH26">
        <f t="shared" si="27"/>
        <v>2.4220503734552654</v>
      </c>
      <c r="BI26">
        <f t="shared" si="28"/>
        <v>1</v>
      </c>
      <c r="BJ26" s="56"/>
      <c r="BK26">
        <f t="shared" si="29"/>
        <v>-767693.69847882469</v>
      </c>
      <c r="BL26">
        <f t="shared" si="30"/>
        <v>0</v>
      </c>
      <c r="BM26">
        <f t="shared" si="31"/>
        <v>2.3123524146575498E-3</v>
      </c>
      <c r="BN26">
        <f t="shared" si="32"/>
        <v>0.48928810604436679</v>
      </c>
      <c r="BO26">
        <f t="shared" si="33"/>
        <v>9907659.9674472194</v>
      </c>
    </row>
    <row r="27" spans="1:76" x14ac:dyDescent="0.3">
      <c r="A27" s="6">
        <v>44958</v>
      </c>
      <c r="B27" s="2">
        <v>1101.8699377499984</v>
      </c>
      <c r="C27" s="2">
        <v>1033.2868571428546</v>
      </c>
      <c r="D27" s="2">
        <v>68.583080607142833</v>
      </c>
      <c r="E27" s="2">
        <v>8508.1428571428405</v>
      </c>
      <c r="F27" s="2">
        <v>28932.031999999999</v>
      </c>
      <c r="G27" s="3">
        <v>3.8711087050000001E-3</v>
      </c>
      <c r="H27" s="2">
        <v>238228</v>
      </c>
      <c r="I27" s="2">
        <v>1920.3262569999999</v>
      </c>
      <c r="J27" s="2"/>
      <c r="K27" s="4">
        <v>4</v>
      </c>
      <c r="L27" s="2">
        <v>0</v>
      </c>
      <c r="M27" s="4">
        <v>4</v>
      </c>
      <c r="N27" s="3">
        <v>0.11843534750799997</v>
      </c>
      <c r="O27" s="3">
        <v>6.4816289999999999</v>
      </c>
      <c r="P27" s="9">
        <v>0</v>
      </c>
      <c r="Q27" s="2">
        <v>6.2242446460775902</v>
      </c>
      <c r="R27" s="2">
        <v>51.790571585155163</v>
      </c>
      <c r="S27" s="63"/>
      <c r="T27">
        <f t="shared" si="0"/>
        <v>761</v>
      </c>
      <c r="U27" s="20">
        <f t="shared" si="1"/>
        <v>6.6373708455735286E-2</v>
      </c>
      <c r="V27">
        <f t="shared" si="5"/>
        <v>-2.9466822376219032E-5</v>
      </c>
      <c r="W27" s="64"/>
      <c r="X27">
        <f t="shared" si="34"/>
        <v>730</v>
      </c>
      <c r="Y27" s="21">
        <f t="shared" si="6"/>
        <v>856179.93600000022</v>
      </c>
      <c r="Z27">
        <f t="shared" si="7"/>
        <v>2.5956645020463855</v>
      </c>
      <c r="AB27">
        <f t="shared" si="2"/>
        <v>730</v>
      </c>
      <c r="AC27">
        <f t="shared" si="8"/>
        <v>1301.0076275321198</v>
      </c>
      <c r="AF27" s="61"/>
      <c r="AH27" s="21">
        <f t="shared" si="35"/>
        <v>868173.88700000022</v>
      </c>
      <c r="AI27" s="21">
        <f t="shared" si="36"/>
        <v>6343550</v>
      </c>
      <c r="AJ27" s="21">
        <f t="shared" si="9"/>
        <v>224020565.185</v>
      </c>
      <c r="AK27" s="21">
        <f t="shared" si="38"/>
        <v>5884788.8807319999</v>
      </c>
      <c r="AL27" s="21">
        <f t="shared" si="37"/>
        <v>0</v>
      </c>
      <c r="AM27">
        <f t="shared" si="3"/>
        <v>730</v>
      </c>
      <c r="AN27">
        <f t="shared" si="10"/>
        <v>2112.6839999999997</v>
      </c>
      <c r="AO27">
        <f t="shared" si="11"/>
        <v>518.33821038160386</v>
      </c>
      <c r="AP27">
        <f t="shared" si="12"/>
        <v>1.2553690959938046</v>
      </c>
      <c r="AQ27">
        <f t="shared" si="4"/>
        <v>8.2730419125624094E-3</v>
      </c>
      <c r="AR27" s="22">
        <f t="shared" si="13"/>
        <v>258.03651611673035</v>
      </c>
      <c r="AS27" s="22">
        <f t="shared" si="14"/>
        <v>8325228.3466540165</v>
      </c>
      <c r="AT27">
        <f t="shared" si="15"/>
        <v>-3415331.7308692303</v>
      </c>
      <c r="AU27">
        <f t="shared" si="16"/>
        <v>77918.708611847367</v>
      </c>
      <c r="AV27">
        <f t="shared" si="17"/>
        <v>11662641.368911399</v>
      </c>
      <c r="AW27">
        <f t="shared" si="18"/>
        <v>2440439.4659220167</v>
      </c>
      <c r="AX27">
        <f t="shared" si="19"/>
        <v>5777852.4881793987</v>
      </c>
      <c r="AY27">
        <f t="shared" si="20"/>
        <v>32984999.999999993</v>
      </c>
      <c r="AZ27" s="58"/>
      <c r="BB27">
        <f t="shared" si="21"/>
        <v>-3415331.7308692303</v>
      </c>
      <c r="BC27">
        <f t="shared" si="22"/>
        <v>77918.708611847367</v>
      </c>
      <c r="BD27">
        <f t="shared" si="23"/>
        <v>5777852.4881793987</v>
      </c>
      <c r="BE27">
        <f t="shared" si="24"/>
        <v>2440439.4659220167</v>
      </c>
      <c r="BF27">
        <f t="shared" si="25"/>
        <v>-1.3994740613567695</v>
      </c>
      <c r="BG27">
        <f t="shared" si="26"/>
        <v>3.1928146426040971E-2</v>
      </c>
      <c r="BH27">
        <f t="shared" si="27"/>
        <v>2.3675459149307283</v>
      </c>
      <c r="BI27">
        <f t="shared" si="28"/>
        <v>0.99999999999999978</v>
      </c>
      <c r="BJ27" s="56"/>
      <c r="BK27">
        <f t="shared" si="29"/>
        <v>-779722.36113300989</v>
      </c>
      <c r="BL27">
        <f t="shared" si="30"/>
        <v>0</v>
      </c>
      <c r="BM27">
        <f t="shared" si="31"/>
        <v>2.3622467367545056E-3</v>
      </c>
      <c r="BN27">
        <f t="shared" si="32"/>
        <v>0.50343713972500614</v>
      </c>
      <c r="BO27">
        <f t="shared" si="33"/>
        <v>10093065.860183565</v>
      </c>
    </row>
    <row r="28" spans="1:76" x14ac:dyDescent="0.3">
      <c r="A28" s="6">
        <v>44986</v>
      </c>
      <c r="B28" s="2">
        <v>1146.6244337096759</v>
      </c>
      <c r="C28" s="2">
        <v>1071.459903225805</v>
      </c>
      <c r="D28" s="2">
        <v>75.164530483870891</v>
      </c>
      <c r="E28" s="2">
        <v>8521.5483870967601</v>
      </c>
      <c r="F28" s="2">
        <v>33215.256999999998</v>
      </c>
      <c r="G28" s="3">
        <v>4.4442046159999891E-3</v>
      </c>
      <c r="H28" s="2">
        <v>264168</v>
      </c>
      <c r="I28" s="2">
        <v>2330.100445</v>
      </c>
      <c r="J28" s="2"/>
      <c r="K28" s="4">
        <v>4</v>
      </c>
      <c r="L28" s="2">
        <v>0</v>
      </c>
      <c r="M28" s="4">
        <v>4</v>
      </c>
      <c r="N28" s="3">
        <v>0.12287955212399997</v>
      </c>
      <c r="O28" s="3">
        <v>6.7457969999999996</v>
      </c>
      <c r="P28" s="9">
        <v>0</v>
      </c>
      <c r="Q28" s="2">
        <v>6.5552877013697444</v>
      </c>
      <c r="R28" s="2">
        <v>50.024116519706595</v>
      </c>
      <c r="S28" s="63"/>
      <c r="T28">
        <f t="shared" si="0"/>
        <v>789</v>
      </c>
      <c r="U28" s="20">
        <f t="shared" si="1"/>
        <v>7.0151510343574974E-2</v>
      </c>
      <c r="V28">
        <f t="shared" si="5"/>
        <v>-1.8666894339890562E-4</v>
      </c>
      <c r="W28" s="64"/>
      <c r="X28">
        <f t="shared" si="34"/>
        <v>761</v>
      </c>
      <c r="Y28" s="21">
        <f t="shared" si="6"/>
        <v>885111.96800000023</v>
      </c>
      <c r="Z28">
        <f t="shared" si="7"/>
        <v>2.6833771956950137</v>
      </c>
      <c r="AB28">
        <f t="shared" si="2"/>
        <v>761</v>
      </c>
      <c r="AC28">
        <f t="shared" si="8"/>
        <v>1284.9747422735018</v>
      </c>
      <c r="AF28" s="61"/>
      <c r="AH28" s="21">
        <f t="shared" si="35"/>
        <v>901389.1440000002</v>
      </c>
      <c r="AI28" s="21">
        <f t="shared" si="36"/>
        <v>6607718</v>
      </c>
      <c r="AJ28" s="21">
        <f t="shared" si="9"/>
        <v>233349578.85460001</v>
      </c>
      <c r="AK28" s="21">
        <f t="shared" si="38"/>
        <v>6123016.8807319999</v>
      </c>
      <c r="AL28" s="21">
        <f t="shared" si="37"/>
        <v>0</v>
      </c>
      <c r="AM28">
        <f t="shared" si="3"/>
        <v>758</v>
      </c>
      <c r="AN28">
        <f t="shared" si="10"/>
        <v>2107.9463999999998</v>
      </c>
      <c r="AO28">
        <f t="shared" si="11"/>
        <v>516.95481298488619</v>
      </c>
      <c r="AP28">
        <f t="shared" si="12"/>
        <v>1.2553690959938046</v>
      </c>
      <c r="AQ28">
        <f t="shared" si="4"/>
        <v>8.2916355368428726E-3</v>
      </c>
      <c r="AR28" s="22">
        <f t="shared" si="13"/>
        <v>258.87773378220311</v>
      </c>
      <c r="AS28" s="22">
        <f t="shared" si="14"/>
        <v>8666263.2979879938</v>
      </c>
      <c r="AT28">
        <f t="shared" si="15"/>
        <v>-3415331.7308692303</v>
      </c>
      <c r="AU28">
        <f t="shared" si="16"/>
        <v>79405.205321599075</v>
      </c>
      <c r="AV28">
        <f t="shared" si="17"/>
        <v>12002189.823535625</v>
      </c>
      <c r="AW28">
        <f t="shared" si="18"/>
        <v>2543246.4172559944</v>
      </c>
      <c r="AX28">
        <f t="shared" si="19"/>
        <v>5879172.942803625</v>
      </c>
      <c r="AY28">
        <f t="shared" si="20"/>
        <v>32984999.999999996</v>
      </c>
      <c r="AZ28" s="58"/>
      <c r="BB28">
        <f t="shared" si="21"/>
        <v>-3415331.7308692303</v>
      </c>
      <c r="BC28">
        <f t="shared" si="22"/>
        <v>79405.205321599075</v>
      </c>
      <c r="BD28">
        <f t="shared" si="23"/>
        <v>5879172.942803625</v>
      </c>
      <c r="BE28">
        <f t="shared" si="24"/>
        <v>2543246.4172559944</v>
      </c>
      <c r="BF28">
        <f t="shared" si="25"/>
        <v>-1.3429024052471337</v>
      </c>
      <c r="BG28">
        <f t="shared" si="26"/>
        <v>3.1221986506235751E-2</v>
      </c>
      <c r="BH28">
        <f t="shared" si="27"/>
        <v>2.3116804187408979</v>
      </c>
      <c r="BI28">
        <f t="shared" si="28"/>
        <v>1</v>
      </c>
      <c r="BJ28" s="56"/>
      <c r="BK28">
        <f t="shared" si="29"/>
        <v>-797289.50116812158</v>
      </c>
      <c r="BL28">
        <f t="shared" si="30"/>
        <v>0</v>
      </c>
      <c r="BM28">
        <f t="shared" si="31"/>
        <v>2.4073125760678818E-3</v>
      </c>
      <c r="BN28">
        <f t="shared" si="32"/>
        <v>0.51627194953482425</v>
      </c>
      <c r="BO28">
        <f t="shared" si="33"/>
        <v>10267862.566722888</v>
      </c>
    </row>
    <row r="29" spans="1:76" x14ac:dyDescent="0.3">
      <c r="A29" s="6">
        <v>45017</v>
      </c>
      <c r="B29" s="2">
        <v>1064.7780293333324</v>
      </c>
      <c r="C29" s="2">
        <v>1008.9237666666659</v>
      </c>
      <c r="D29" s="2">
        <v>55.854262666666656</v>
      </c>
      <c r="E29" s="2">
        <v>6706.0999999999931</v>
      </c>
      <c r="F29" s="2">
        <v>30267.713</v>
      </c>
      <c r="G29" s="3">
        <v>4.0498229559999899E-3</v>
      </c>
      <c r="H29" s="2">
        <v>201183</v>
      </c>
      <c r="I29" s="2">
        <v>1675.62788</v>
      </c>
      <c r="J29" s="2"/>
      <c r="K29" s="4">
        <v>4</v>
      </c>
      <c r="L29" s="2">
        <v>0</v>
      </c>
      <c r="M29" s="4">
        <v>4</v>
      </c>
      <c r="N29" s="3">
        <v>0.12692937507999996</v>
      </c>
      <c r="O29" s="3">
        <v>6.9469799999999999</v>
      </c>
      <c r="P29" s="9">
        <v>0</v>
      </c>
      <c r="Q29" s="2">
        <v>5.2456250155384501</v>
      </c>
      <c r="R29" s="2">
        <v>41.80695229269552</v>
      </c>
      <c r="S29" s="63"/>
      <c r="T29">
        <f t="shared" si="0"/>
        <v>820</v>
      </c>
      <c r="U29" s="20">
        <f t="shared" si="1"/>
        <v>5.5360240795199855E-2</v>
      </c>
      <c r="V29">
        <f t="shared" si="5"/>
        <v>-3.124617368161575E-4</v>
      </c>
      <c r="W29" s="64"/>
      <c r="X29">
        <f t="shared" si="34"/>
        <v>789</v>
      </c>
      <c r="Y29" s="21">
        <f t="shared" si="6"/>
        <v>918327.22500000021</v>
      </c>
      <c r="Z29">
        <f t="shared" si="7"/>
        <v>2.7840752614824926</v>
      </c>
      <c r="AB29">
        <f t="shared" si="2"/>
        <v>789</v>
      </c>
      <c r="AC29">
        <f t="shared" si="8"/>
        <v>1270.6633187336299</v>
      </c>
      <c r="AF29" s="61"/>
      <c r="AH29" s="21">
        <f t="shared" si="35"/>
        <v>931656.85700000019</v>
      </c>
      <c r="AI29" s="21">
        <f t="shared" si="36"/>
        <v>6808901</v>
      </c>
      <c r="AJ29" s="21">
        <f t="shared" si="9"/>
        <v>240454296.14470002</v>
      </c>
      <c r="AK29" s="21">
        <f t="shared" si="38"/>
        <v>6387184.8807319999</v>
      </c>
      <c r="AL29" s="21">
        <f t="shared" si="37"/>
        <v>0</v>
      </c>
      <c r="AM29">
        <f t="shared" si="3"/>
        <v>789</v>
      </c>
      <c r="AN29">
        <f t="shared" si="10"/>
        <v>2102.7012</v>
      </c>
      <c r="AO29">
        <f t="shared" si="11"/>
        <v>515.42392819891211</v>
      </c>
      <c r="AP29">
        <f t="shared" si="12"/>
        <v>1.2553690959938046</v>
      </c>
      <c r="AQ29">
        <f t="shared" si="4"/>
        <v>8.3123190684439609E-3</v>
      </c>
      <c r="AR29" s="22">
        <f t="shared" si="13"/>
        <v>258.0931963716551</v>
      </c>
      <c r="AS29" s="22">
        <f t="shared" si="14"/>
        <v>9013394.9039752446</v>
      </c>
      <c r="AT29">
        <f t="shared" si="15"/>
        <v>-3415331.7308692303</v>
      </c>
      <c r="AU29">
        <f t="shared" si="16"/>
        <v>81050.969535967015</v>
      </c>
      <c r="AV29">
        <f t="shared" si="17"/>
        <v>12347675.665308507</v>
      </c>
      <c r="AW29">
        <f t="shared" si="18"/>
        <v>2626210.0232432443</v>
      </c>
      <c r="AX29">
        <f t="shared" si="19"/>
        <v>5960490.7845765073</v>
      </c>
      <c r="AY29">
        <f t="shared" si="20"/>
        <v>32985000</v>
      </c>
      <c r="AZ29" s="58"/>
      <c r="BB29">
        <f t="shared" si="21"/>
        <v>-3415331.7308692303</v>
      </c>
      <c r="BC29">
        <f t="shared" si="22"/>
        <v>81050.969535967015</v>
      </c>
      <c r="BD29">
        <f t="shared" si="23"/>
        <v>5960490.7845765073</v>
      </c>
      <c r="BE29">
        <f t="shared" si="24"/>
        <v>2626210.0232432443</v>
      </c>
      <c r="BF29">
        <f t="shared" si="25"/>
        <v>-1.3004792840792903</v>
      </c>
      <c r="BG29">
        <f t="shared" si="26"/>
        <v>3.0862333483851732E-2</v>
      </c>
      <c r="BH29">
        <f t="shared" si="27"/>
        <v>2.2696169505954384</v>
      </c>
      <c r="BI29">
        <f t="shared" si="28"/>
        <v>1</v>
      </c>
      <c r="BJ29" s="56"/>
      <c r="BK29">
        <f t="shared" si="29"/>
        <v>-823254.90450415749</v>
      </c>
      <c r="BL29">
        <f t="shared" si="30"/>
        <v>0</v>
      </c>
      <c r="BM29">
        <f t="shared" si="31"/>
        <v>2.4572068981648328E-3</v>
      </c>
      <c r="BN29">
        <f t="shared" si="32"/>
        <v>0.53054328163880871</v>
      </c>
      <c r="BO29">
        <f t="shared" si="33"/>
        <v>10438883.44549215</v>
      </c>
    </row>
    <row r="30" spans="1:76" x14ac:dyDescent="0.3">
      <c r="A30" s="6">
        <v>45047</v>
      </c>
      <c r="B30" s="2">
        <v>963.82841864516126</v>
      </c>
      <c r="C30" s="2">
        <v>916.97874193548387</v>
      </c>
      <c r="D30" s="2">
        <v>46.849676709677425</v>
      </c>
      <c r="E30" s="2">
        <v>5901.0322580645161</v>
      </c>
      <c r="F30" s="2">
        <v>28426.340999999997</v>
      </c>
      <c r="G30" s="3">
        <v>3.8034471979999998E-3</v>
      </c>
      <c r="H30" s="2">
        <v>182932</v>
      </c>
      <c r="I30" s="2">
        <v>1452.339978</v>
      </c>
      <c r="J30" s="2"/>
      <c r="K30" s="4">
        <v>4</v>
      </c>
      <c r="L30" s="2">
        <v>0</v>
      </c>
      <c r="M30" s="4">
        <v>4</v>
      </c>
      <c r="N30" s="3">
        <v>0.13073282227799995</v>
      </c>
      <c r="O30" s="3">
        <v>7.129912</v>
      </c>
      <c r="P30" s="9">
        <v>0</v>
      </c>
      <c r="Q30" s="2">
        <v>4.8607901368516702</v>
      </c>
      <c r="R30" s="2">
        <v>40.476742806962037</v>
      </c>
      <c r="S30" s="63"/>
      <c r="T30">
        <f t="shared" si="0"/>
        <v>850</v>
      </c>
      <c r="U30" s="20">
        <f t="shared" si="1"/>
        <v>5.1091344397789368E-2</v>
      </c>
      <c r="V30">
        <f t="shared" si="5"/>
        <v>4.5025474200387694E-4</v>
      </c>
      <c r="W30" s="64"/>
      <c r="X30">
        <f t="shared" si="34"/>
        <v>820</v>
      </c>
      <c r="Y30" s="21">
        <f t="shared" si="6"/>
        <v>948594.9380000002</v>
      </c>
      <c r="Z30">
        <f t="shared" si="7"/>
        <v>2.8758373139305755</v>
      </c>
      <c r="AB30">
        <f t="shared" si="2"/>
        <v>820</v>
      </c>
      <c r="AC30">
        <f t="shared" si="8"/>
        <v>1255.0043796463658</v>
      </c>
      <c r="AF30" s="61"/>
      <c r="AH30" s="21">
        <f t="shared" si="35"/>
        <v>960083.19800000021</v>
      </c>
      <c r="AI30" s="21">
        <f t="shared" si="36"/>
        <v>6991833</v>
      </c>
      <c r="AJ30" s="21">
        <f t="shared" si="9"/>
        <v>246914484.84510002</v>
      </c>
      <c r="AK30" s="21">
        <f t="shared" si="38"/>
        <v>6588367.8807319999</v>
      </c>
      <c r="AL30" s="21">
        <f t="shared" si="37"/>
        <v>0</v>
      </c>
      <c r="AM30">
        <f t="shared" si="3"/>
        <v>819</v>
      </c>
      <c r="AN30">
        <f t="shared" si="10"/>
        <v>2097.6251999999999</v>
      </c>
      <c r="AO30">
        <f t="shared" si="11"/>
        <v>513.94316233135294</v>
      </c>
      <c r="AP30">
        <f t="shared" si="12"/>
        <v>1.2553690959938046</v>
      </c>
      <c r="AQ30">
        <f t="shared" si="4"/>
        <v>8.3324338780826988E-3</v>
      </c>
      <c r="AR30" s="22">
        <f t="shared" si="13"/>
        <v>257.18029995677517</v>
      </c>
      <c r="AS30" s="22">
        <f t="shared" si="14"/>
        <v>9291037.1920612268</v>
      </c>
      <c r="AT30">
        <f t="shared" si="15"/>
        <v>-3415331.7308692303</v>
      </c>
      <c r="AU30">
        <f t="shared" si="16"/>
        <v>82643.644582129593</v>
      </c>
      <c r="AV30">
        <f t="shared" si="17"/>
        <v>12623725.278348327</v>
      </c>
      <c r="AW30">
        <f t="shared" si="18"/>
        <v>2702669.3113292269</v>
      </c>
      <c r="AX30">
        <f t="shared" si="19"/>
        <v>6035357.3976163268</v>
      </c>
      <c r="AY30">
        <f t="shared" si="20"/>
        <v>32984999.999999993</v>
      </c>
      <c r="AZ30" s="58"/>
      <c r="BB30">
        <f t="shared" si="21"/>
        <v>-3415331.7308692303</v>
      </c>
      <c r="BC30">
        <f t="shared" si="22"/>
        <v>82643.644582129593</v>
      </c>
      <c r="BD30">
        <f t="shared" si="23"/>
        <v>6035357.3976163268</v>
      </c>
      <c r="BE30">
        <f t="shared" si="24"/>
        <v>2702669.3113292269</v>
      </c>
      <c r="BF30">
        <f t="shared" si="25"/>
        <v>-1.2636883530488241</v>
      </c>
      <c r="BG30">
        <f t="shared" si="26"/>
        <v>3.057852628721484E-2</v>
      </c>
      <c r="BH30">
        <f t="shared" si="27"/>
        <v>2.2331098267616087</v>
      </c>
      <c r="BI30">
        <f t="shared" si="28"/>
        <v>0.99999999999999956</v>
      </c>
      <c r="BJ30" s="56"/>
      <c r="BK30">
        <f t="shared" si="29"/>
        <v>-848800.4125655411</v>
      </c>
      <c r="BL30">
        <f t="shared" si="30"/>
        <v>0</v>
      </c>
      <c r="BM30">
        <f t="shared" si="31"/>
        <v>2.5054917260005942E-3</v>
      </c>
      <c r="BN30">
        <f t="shared" si="32"/>
        <v>0.54441607514333401</v>
      </c>
      <c r="BO30">
        <f t="shared" si="33"/>
        <v>10494315.484797297</v>
      </c>
    </row>
    <row r="31" spans="1:76" x14ac:dyDescent="0.3">
      <c r="A31" s="6">
        <v>45078</v>
      </c>
      <c r="B31" s="2">
        <v>1181.9838905333334</v>
      </c>
      <c r="C31" s="2">
        <v>1091.5734666666667</v>
      </c>
      <c r="D31" s="2">
        <v>90.410423866666662</v>
      </c>
      <c r="E31" s="2">
        <v>6666</v>
      </c>
      <c r="F31" s="2">
        <v>32747.203999999998</v>
      </c>
      <c r="G31" s="3">
        <v>4.3815790899999997E-3</v>
      </c>
      <c r="H31" s="2">
        <v>199980</v>
      </c>
      <c r="I31" s="2">
        <v>2712.3127159999999</v>
      </c>
      <c r="J31" s="2"/>
      <c r="K31" s="4">
        <v>4</v>
      </c>
      <c r="L31" s="2">
        <v>0</v>
      </c>
      <c r="M31" s="4">
        <v>4</v>
      </c>
      <c r="N31" s="3">
        <v>0.13511440136799996</v>
      </c>
      <c r="O31" s="3">
        <v>7.3298920000000001</v>
      </c>
      <c r="P31" s="9">
        <v>0</v>
      </c>
      <c r="Q31" s="2">
        <v>7.6490402780254287</v>
      </c>
      <c r="R31" s="2">
        <v>38.410430521030129</v>
      </c>
      <c r="S31" s="63"/>
      <c r="T31">
        <f t="shared" si="0"/>
        <v>881</v>
      </c>
      <c r="U31" s="20">
        <f t="shared" si="1"/>
        <v>8.2825780057436349E-2</v>
      </c>
      <c r="V31">
        <f t="shared" si="5"/>
        <v>7.8108102574093866E-4</v>
      </c>
      <c r="W31" s="64"/>
      <c r="X31">
        <f t="shared" si="34"/>
        <v>850</v>
      </c>
      <c r="Y31" s="21">
        <f t="shared" si="6"/>
        <v>977021.27900000021</v>
      </c>
      <c r="Z31">
        <f t="shared" si="7"/>
        <v>2.9620169137486743</v>
      </c>
      <c r="AB31">
        <f t="shared" si="2"/>
        <v>850</v>
      </c>
      <c r="AC31">
        <f t="shared" si="8"/>
        <v>1240.0343270464091</v>
      </c>
      <c r="AF31" s="61"/>
      <c r="AH31" s="21">
        <f t="shared" si="35"/>
        <v>992830.40200000023</v>
      </c>
      <c r="AI31" s="21">
        <f t="shared" si="36"/>
        <v>7191813</v>
      </c>
      <c r="AJ31" s="21">
        <f t="shared" si="9"/>
        <v>253976718.55110002</v>
      </c>
      <c r="AK31" s="21">
        <f t="shared" si="38"/>
        <v>6771299.8807319999</v>
      </c>
      <c r="AL31" s="21">
        <f t="shared" si="37"/>
        <v>0</v>
      </c>
      <c r="AM31">
        <f t="shared" si="3"/>
        <v>850</v>
      </c>
      <c r="AN31">
        <f t="shared" si="10"/>
        <v>2092.3799999999997</v>
      </c>
      <c r="AO31">
        <f t="shared" si="11"/>
        <v>512.41379913450351</v>
      </c>
      <c r="AP31">
        <f t="shared" si="12"/>
        <v>1.2553690959938046</v>
      </c>
      <c r="AQ31">
        <f t="shared" si="4"/>
        <v>8.353321710205603E-3</v>
      </c>
      <c r="AR31" s="22">
        <f t="shared" si="13"/>
        <v>255.81077900060112</v>
      </c>
      <c r="AS31" s="22">
        <f t="shared" si="14"/>
        <v>9558677.4993150756</v>
      </c>
      <c r="AT31">
        <f t="shared" si="15"/>
        <v>-3415331.7308692303</v>
      </c>
      <c r="AU31">
        <f t="shared" si="16"/>
        <v>84289.408796497693</v>
      </c>
      <c r="AV31">
        <f t="shared" si="17"/>
        <v>12889719.821387807</v>
      </c>
      <c r="AW31">
        <f t="shared" si="18"/>
        <v>2787377.6185830752</v>
      </c>
      <c r="AX31">
        <f t="shared" si="19"/>
        <v>6118419.940655807</v>
      </c>
      <c r="AY31">
        <f t="shared" si="20"/>
        <v>32984999.999999993</v>
      </c>
      <c r="AZ31" s="58"/>
      <c r="BB31">
        <f t="shared" si="21"/>
        <v>-3415331.7308692303</v>
      </c>
      <c r="BC31">
        <f t="shared" si="22"/>
        <v>84289.408796497693</v>
      </c>
      <c r="BD31">
        <f t="shared" si="23"/>
        <v>6118419.940655807</v>
      </c>
      <c r="BE31">
        <f t="shared" si="24"/>
        <v>2787377.6185830752</v>
      </c>
      <c r="BF31">
        <f t="shared" si="25"/>
        <v>-1.2252849086896833</v>
      </c>
      <c r="BG31">
        <f t="shared" si="26"/>
        <v>3.0239680563749753E-2</v>
      </c>
      <c r="BH31">
        <f t="shared" si="27"/>
        <v>2.1950452281259332</v>
      </c>
      <c r="BI31">
        <f t="shared" si="28"/>
        <v>0.99999999999999956</v>
      </c>
      <c r="BJ31" s="56"/>
      <c r="BK31">
        <f t="shared" si="29"/>
        <v>-881751.03049560357</v>
      </c>
      <c r="BL31">
        <f t="shared" si="30"/>
        <v>0</v>
      </c>
      <c r="BM31">
        <f t="shared" si="31"/>
        <v>2.55538604809755E-3</v>
      </c>
      <c r="BN31">
        <f t="shared" si="32"/>
        <v>0.55881564591043587</v>
      </c>
      <c r="BO31">
        <f t="shared" si="33"/>
        <v>10491365.80790196</v>
      </c>
      <c r="BT31" s="60" t="s">
        <v>71</v>
      </c>
      <c r="BU31" s="60"/>
      <c r="BV31" s="60"/>
      <c r="BW31" s="60"/>
      <c r="BX31" s="60"/>
    </row>
    <row r="32" spans="1:76" x14ac:dyDescent="0.3">
      <c r="A32" s="6">
        <v>45108</v>
      </c>
      <c r="B32" s="2">
        <v>1254.8604123870966</v>
      </c>
      <c r="C32" s="2">
        <v>1142.0932258064518</v>
      </c>
      <c r="D32" s="2">
        <v>112.76718658064517</v>
      </c>
      <c r="E32" s="2">
        <v>5922.5483870967746</v>
      </c>
      <c r="F32" s="2">
        <v>35404.89</v>
      </c>
      <c r="G32" s="3">
        <v>4.7371777360000001E-3</v>
      </c>
      <c r="H32" s="2">
        <v>183599</v>
      </c>
      <c r="I32" s="2">
        <v>3495.782784</v>
      </c>
      <c r="J32" s="2"/>
      <c r="K32" s="4">
        <v>4</v>
      </c>
      <c r="L32" s="2">
        <v>0</v>
      </c>
      <c r="M32" s="4">
        <v>4</v>
      </c>
      <c r="N32" s="3">
        <v>0.13985157910399995</v>
      </c>
      <c r="O32" s="3">
        <v>7.5134910000000001</v>
      </c>
      <c r="P32" s="9">
        <v>0</v>
      </c>
      <c r="Q32" s="2">
        <v>8.9864327113587326</v>
      </c>
      <c r="R32" s="2">
        <v>32.616991330858532</v>
      </c>
      <c r="S32" s="63"/>
      <c r="T32">
        <f t="shared" si="0"/>
        <v>911</v>
      </c>
      <c r="U32" s="20">
        <f t="shared" si="1"/>
        <v>9.8737286967986629E-2</v>
      </c>
      <c r="V32">
        <f t="shared" si="5"/>
        <v>2.1818535958949828E-3</v>
      </c>
      <c r="W32" s="64"/>
      <c r="X32">
        <f t="shared" si="34"/>
        <v>881</v>
      </c>
      <c r="Y32" s="21">
        <f t="shared" si="6"/>
        <v>1009768.4830000002</v>
      </c>
      <c r="Z32">
        <f t="shared" si="7"/>
        <v>3.0612959921176301</v>
      </c>
      <c r="AB32">
        <f t="shared" si="2"/>
        <v>881</v>
      </c>
      <c r="AC32">
        <f t="shared" si="8"/>
        <v>1224.7528424020832</v>
      </c>
      <c r="AF32" s="61"/>
      <c r="AH32" s="21">
        <f t="shared" si="35"/>
        <v>1028235.2920000002</v>
      </c>
      <c r="AI32" s="21">
        <f t="shared" si="36"/>
        <v>7375412</v>
      </c>
      <c r="AJ32" s="21">
        <f t="shared" si="9"/>
        <v>260460462.15640002</v>
      </c>
      <c r="AK32" s="21">
        <f t="shared" si="38"/>
        <v>6971279.8807319999</v>
      </c>
      <c r="AL32" s="21">
        <f t="shared" si="37"/>
        <v>0</v>
      </c>
      <c r="AM32">
        <f t="shared" si="3"/>
        <v>880</v>
      </c>
      <c r="AN32">
        <f t="shared" si="10"/>
        <v>2087.3039999999996</v>
      </c>
      <c r="AO32">
        <f t="shared" si="11"/>
        <v>510.93450862151644</v>
      </c>
      <c r="AP32">
        <f t="shared" si="12"/>
        <v>1.2553690959938046</v>
      </c>
      <c r="AQ32">
        <f t="shared" si="4"/>
        <v>8.3736356946568398E-3</v>
      </c>
      <c r="AR32" s="22">
        <f t="shared" si="13"/>
        <v>253.30823030765993</v>
      </c>
      <c r="AS32" s="22">
        <f t="shared" si="14"/>
        <v>9840390.9706268162</v>
      </c>
      <c r="AT32">
        <f t="shared" si="15"/>
        <v>-3415331.7308692303</v>
      </c>
      <c r="AU32">
        <f t="shared" si="16"/>
        <v>85882.083842660271</v>
      </c>
      <c r="AV32">
        <f t="shared" si="17"/>
        <v>13169840.617653387</v>
      </c>
      <c r="AW32">
        <f t="shared" si="18"/>
        <v>2869111.0898948172</v>
      </c>
      <c r="AX32">
        <f t="shared" si="19"/>
        <v>6198560.7369213868</v>
      </c>
      <c r="AY32">
        <f t="shared" si="20"/>
        <v>32984999.999999996</v>
      </c>
      <c r="AZ32" s="58"/>
      <c r="BB32">
        <f t="shared" si="21"/>
        <v>-3415331.7308692303</v>
      </c>
      <c r="BC32">
        <f t="shared" si="22"/>
        <v>85882.083842660271</v>
      </c>
      <c r="BD32">
        <f t="shared" si="23"/>
        <v>6198560.7369213868</v>
      </c>
      <c r="BE32">
        <f t="shared" si="24"/>
        <v>2869111.0898948172</v>
      </c>
      <c r="BF32">
        <f t="shared" si="25"/>
        <v>-1.1903797461514249</v>
      </c>
      <c r="BG32">
        <f t="shared" si="26"/>
        <v>2.9933342122980936E-2</v>
      </c>
      <c r="BH32">
        <f t="shared" si="27"/>
        <v>2.1604464040284439</v>
      </c>
      <c r="BI32">
        <f t="shared" si="28"/>
        <v>1</v>
      </c>
      <c r="BJ32" s="56"/>
      <c r="BK32">
        <f t="shared" si="29"/>
        <v>-927364.89982613921</v>
      </c>
      <c r="BL32">
        <f t="shared" si="30"/>
        <v>0</v>
      </c>
      <c r="BM32">
        <f t="shared" si="31"/>
        <v>2.6036708759333113E-3</v>
      </c>
      <c r="BN32">
        <f t="shared" si="32"/>
        <v>0.57281343686296016</v>
      </c>
      <c r="BO32">
        <f t="shared" si="33"/>
        <v>10503537.172635477</v>
      </c>
      <c r="BT32" s="60"/>
      <c r="BU32" s="60"/>
      <c r="BV32" s="60"/>
      <c r="BW32" s="60"/>
      <c r="BX32" s="60"/>
    </row>
    <row r="33" spans="1:77" x14ac:dyDescent="0.3">
      <c r="A33" s="6">
        <v>45139</v>
      </c>
      <c r="B33" s="2">
        <v>1328.9072063548388</v>
      </c>
      <c r="C33" s="2">
        <v>1092.9242580645162</v>
      </c>
      <c r="D33" s="2">
        <v>235.98294829032258</v>
      </c>
      <c r="E33" s="2">
        <v>4665.3870967741932</v>
      </c>
      <c r="F33" s="2">
        <v>33880.652000000002</v>
      </c>
      <c r="G33" s="3">
        <v>4.5332345430000006E-3</v>
      </c>
      <c r="H33" s="2">
        <v>144627</v>
      </c>
      <c r="I33" s="2">
        <v>7315.4713970000003</v>
      </c>
      <c r="J33" s="2"/>
      <c r="K33" s="4">
        <v>4</v>
      </c>
      <c r="L33" s="2">
        <v>0</v>
      </c>
      <c r="M33" s="4">
        <v>4</v>
      </c>
      <c r="N33" s="3">
        <v>0.14438481364699995</v>
      </c>
      <c r="O33" s="3">
        <v>7.658118</v>
      </c>
      <c r="P33" s="9">
        <v>0</v>
      </c>
      <c r="Q33" s="2">
        <v>17.757669396467364</v>
      </c>
      <c r="R33" s="2">
        <v>26.849391936141014</v>
      </c>
      <c r="S33" s="63"/>
      <c r="T33">
        <f t="shared" si="0"/>
        <v>942</v>
      </c>
      <c r="U33" s="20">
        <f t="shared" si="1"/>
        <v>0.21591884940703029</v>
      </c>
      <c r="V33">
        <f t="shared" si="5"/>
        <v>3.3739045467002034E-3</v>
      </c>
      <c r="W33" s="64"/>
      <c r="X33">
        <f t="shared" si="34"/>
        <v>911</v>
      </c>
      <c r="Y33" s="21">
        <f t="shared" si="6"/>
        <v>1045173.3730000003</v>
      </c>
      <c r="Z33">
        <f t="shared" si="7"/>
        <v>3.1686323268152199</v>
      </c>
      <c r="AB33">
        <f t="shared" si="2"/>
        <v>911</v>
      </c>
      <c r="AC33">
        <f t="shared" si="8"/>
        <v>1210.1436388247446</v>
      </c>
      <c r="AF33" s="61"/>
      <c r="AH33" s="21">
        <f t="shared" si="35"/>
        <v>1062115.9440000001</v>
      </c>
      <c r="AI33" s="21">
        <f t="shared" si="36"/>
        <v>7520039</v>
      </c>
      <c r="AJ33" s="21">
        <f t="shared" si="9"/>
        <v>265567921.27330002</v>
      </c>
      <c r="AK33" s="21">
        <f t="shared" si="38"/>
        <v>7154878.8807319999</v>
      </c>
      <c r="AL33" s="21">
        <f t="shared" si="37"/>
        <v>0</v>
      </c>
      <c r="AM33">
        <f t="shared" si="3"/>
        <v>911</v>
      </c>
      <c r="AN33">
        <f t="shared" si="10"/>
        <v>2082.0587999999998</v>
      </c>
      <c r="AO33">
        <f t="shared" si="11"/>
        <v>509.40667291461818</v>
      </c>
      <c r="AP33">
        <f t="shared" si="12"/>
        <v>1.2553690959938046</v>
      </c>
      <c r="AQ33">
        <f t="shared" si="4"/>
        <v>8.3947308692722804E-3</v>
      </c>
      <c r="AR33" s="22">
        <f t="shared" si="13"/>
        <v>250.0366582137477</v>
      </c>
      <c r="AS33" s="22">
        <f t="shared" si="14"/>
        <v>10093465.214664314</v>
      </c>
      <c r="AT33">
        <f t="shared" si="15"/>
        <v>-3415331.7308692303</v>
      </c>
      <c r="AU33">
        <f t="shared" si="16"/>
        <v>87527.848057028226</v>
      </c>
      <c r="AV33">
        <f t="shared" si="17"/>
        <v>13421269.097476516</v>
      </c>
      <c r="AW33">
        <f t="shared" si="18"/>
        <v>2938586.3339323145</v>
      </c>
      <c r="AX33">
        <f t="shared" si="19"/>
        <v>6266390.216744516</v>
      </c>
      <c r="AY33">
        <f t="shared" si="20"/>
        <v>32984999.999999996</v>
      </c>
      <c r="AZ33" s="58"/>
      <c r="BB33">
        <f t="shared" si="21"/>
        <v>-3415331.7308692303</v>
      </c>
      <c r="BC33">
        <f t="shared" si="22"/>
        <v>87527.848057028226</v>
      </c>
      <c r="BD33">
        <f t="shared" si="23"/>
        <v>6266390.216744516</v>
      </c>
      <c r="BE33">
        <f t="shared" si="24"/>
        <v>2938586.3339323145</v>
      </c>
      <c r="BF33">
        <f t="shared" si="25"/>
        <v>-1.1622363077891782</v>
      </c>
      <c r="BG33">
        <f t="shared" si="26"/>
        <v>2.9785699009871013E-2</v>
      </c>
      <c r="BH33">
        <f t="shared" si="27"/>
        <v>2.1324506087793069</v>
      </c>
      <c r="BI33">
        <f t="shared" si="28"/>
        <v>0.99999999999999978</v>
      </c>
      <c r="BJ33" s="56"/>
      <c r="BK33">
        <f t="shared" si="29"/>
        <v>-979241.55726872082</v>
      </c>
      <c r="BL33">
        <f t="shared" si="30"/>
        <v>0</v>
      </c>
      <c r="BM33">
        <f t="shared" si="31"/>
        <v>2.6535651980302629E-3</v>
      </c>
      <c r="BN33">
        <f t="shared" si="32"/>
        <v>0.58734310613079577</v>
      </c>
      <c r="BO33">
        <f t="shared" si="33"/>
        <v>10467240.958417844</v>
      </c>
      <c r="BT33" s="47" t="s">
        <v>90</v>
      </c>
      <c r="BU33" s="45" t="s">
        <v>63</v>
      </c>
      <c r="BV33" s="48">
        <f>4.5*7.33*10^6</f>
        <v>32985000</v>
      </c>
      <c r="BW33" s="42" t="s">
        <v>73</v>
      </c>
      <c r="BX33" s="42" t="s">
        <v>72</v>
      </c>
    </row>
    <row r="34" spans="1:77" x14ac:dyDescent="0.3">
      <c r="A34" s="6">
        <v>45170</v>
      </c>
      <c r="B34" s="2">
        <v>843.68720923333331</v>
      </c>
      <c r="C34" s="2">
        <v>645.06056666666666</v>
      </c>
      <c r="D34" s="2">
        <v>198.62664256666665</v>
      </c>
      <c r="E34" s="2">
        <v>3127.7333333333336</v>
      </c>
      <c r="F34" s="2">
        <v>19351.816999999999</v>
      </c>
      <c r="G34" s="3">
        <v>2.5892750020000002E-3</v>
      </c>
      <c r="H34" s="2">
        <v>93832</v>
      </c>
      <c r="I34" s="2">
        <v>5958.7992770000001</v>
      </c>
      <c r="J34" s="2"/>
      <c r="K34" s="4">
        <v>4</v>
      </c>
      <c r="L34" s="2">
        <v>0</v>
      </c>
      <c r="M34" s="4">
        <v>4</v>
      </c>
      <c r="N34" s="3">
        <v>0.14697408864899997</v>
      </c>
      <c r="O34" s="3">
        <v>7.7519499999999999</v>
      </c>
      <c r="P34" s="9">
        <v>0</v>
      </c>
      <c r="Q34" s="2">
        <v>23.54268743118206</v>
      </c>
      <c r="R34" s="2">
        <v>30.497627876493457</v>
      </c>
      <c r="S34" s="63"/>
      <c r="T34">
        <f t="shared" si="0"/>
        <v>973</v>
      </c>
      <c r="U34" s="20">
        <f t="shared" si="1"/>
        <v>0.30791936886339921</v>
      </c>
      <c r="V34">
        <f t="shared" si="5"/>
        <v>8.0814415427681735E-4</v>
      </c>
      <c r="W34" s="64"/>
      <c r="X34">
        <f t="shared" si="34"/>
        <v>942</v>
      </c>
      <c r="Y34" s="21">
        <f t="shared" si="6"/>
        <v>1079054.0250000004</v>
      </c>
      <c r="Z34">
        <f t="shared" si="7"/>
        <v>3.2713476580263765</v>
      </c>
      <c r="AB34">
        <f t="shared" si="2"/>
        <v>942</v>
      </c>
      <c r="AC34">
        <f t="shared" si="8"/>
        <v>1195.2305101872687</v>
      </c>
      <c r="AF34" s="61"/>
      <c r="AH34" s="21">
        <f t="shared" si="35"/>
        <v>1081467.7610000002</v>
      </c>
      <c r="AI34" s="21">
        <f t="shared" si="36"/>
        <v>7613871</v>
      </c>
      <c r="AJ34" s="21">
        <f t="shared" si="9"/>
        <v>268881570.20370001</v>
      </c>
      <c r="AK34" s="21">
        <f t="shared" si="38"/>
        <v>7299505.8807319999</v>
      </c>
      <c r="AL34" s="21">
        <f t="shared" si="37"/>
        <v>0</v>
      </c>
      <c r="AM34">
        <f t="shared" si="3"/>
        <v>942</v>
      </c>
      <c r="AN34">
        <f t="shared" si="10"/>
        <v>2076.8136</v>
      </c>
      <c r="AO34">
        <f t="shared" si="11"/>
        <v>507.87961575108596</v>
      </c>
      <c r="AP34">
        <f t="shared" si="12"/>
        <v>1.2553690959938046</v>
      </c>
      <c r="AQ34">
        <f t="shared" si="4"/>
        <v>8.4159325998250396E-3</v>
      </c>
      <c r="AR34" s="22">
        <f t="shared" si="13"/>
        <v>248.62652397060216</v>
      </c>
      <c r="AS34" s="22">
        <f t="shared" si="14"/>
        <v>10282927.0733923</v>
      </c>
      <c r="AT34">
        <f t="shared" si="15"/>
        <v>-3415331.7308692303</v>
      </c>
      <c r="AU34">
        <f t="shared" si="16"/>
        <v>89173.612271396152</v>
      </c>
      <c r="AV34">
        <f t="shared" si="17"/>
        <v>13609085.191990133</v>
      </c>
      <c r="AW34">
        <f t="shared" si="18"/>
        <v>2983421.1926602996</v>
      </c>
      <c r="AX34">
        <f t="shared" si="19"/>
        <v>6309579.3112581335</v>
      </c>
      <c r="AY34">
        <f t="shared" si="20"/>
        <v>32984999.999999996</v>
      </c>
      <c r="AZ34" s="58"/>
      <c r="BB34">
        <f t="shared" si="21"/>
        <v>-3415331.7308692303</v>
      </c>
      <c r="BC34">
        <f t="shared" si="22"/>
        <v>89173.612271396152</v>
      </c>
      <c r="BD34">
        <f t="shared" si="23"/>
        <v>6309579.3112581335</v>
      </c>
      <c r="BE34">
        <f t="shared" si="24"/>
        <v>2983421.1926602996</v>
      </c>
      <c r="BF34">
        <f t="shared" si="25"/>
        <v>-1.1447702185904896</v>
      </c>
      <c r="BG34">
        <f t="shared" si="26"/>
        <v>2.9889716038344741E-2</v>
      </c>
      <c r="BH34">
        <f t="shared" si="27"/>
        <v>2.1148805025521447</v>
      </c>
      <c r="BI34">
        <f t="shared" si="28"/>
        <v>0.99999999999999978</v>
      </c>
      <c r="BJ34" s="56"/>
      <c r="BK34">
        <f t="shared" si="29"/>
        <v>-1001966.3089323288</v>
      </c>
      <c r="BL34">
        <f t="shared" si="30"/>
        <v>0</v>
      </c>
      <c r="BM34">
        <f t="shared" si="31"/>
        <v>2.7034595201272139E-3</v>
      </c>
      <c r="BN34">
        <f t="shared" si="32"/>
        <v>0.60193961548955144</v>
      </c>
      <c r="BO34">
        <f t="shared" si="33"/>
        <v>10415300.914012561</v>
      </c>
      <c r="BT34" s="47" t="s">
        <v>65</v>
      </c>
      <c r="BU34" s="45" t="s">
        <v>70</v>
      </c>
      <c r="BV34" s="45">
        <f>166*14.223</f>
        <v>2361.018</v>
      </c>
      <c r="BW34" s="43">
        <v>44228</v>
      </c>
      <c r="BX34" s="44">
        <v>2236</v>
      </c>
      <c r="BY34" s="40"/>
    </row>
    <row r="35" spans="1:77" x14ac:dyDescent="0.3">
      <c r="A35" s="6">
        <v>45200</v>
      </c>
      <c r="B35" s="2">
        <v>1264.4445142903226</v>
      </c>
      <c r="C35" s="2">
        <v>999.39051612903233</v>
      </c>
      <c r="D35" s="2">
        <v>265.05399816129034</v>
      </c>
      <c r="E35" s="2">
        <v>5610.6451612903229</v>
      </c>
      <c r="F35" s="2">
        <v>30981.106</v>
      </c>
      <c r="G35" s="3">
        <v>4.1452750019999995E-3</v>
      </c>
      <c r="H35" s="2">
        <v>173930</v>
      </c>
      <c r="I35" s="2">
        <v>8216.6739429999998</v>
      </c>
      <c r="J35" s="2"/>
      <c r="K35" s="4">
        <v>4</v>
      </c>
      <c r="L35" s="2">
        <v>0</v>
      </c>
      <c r="M35" s="4">
        <v>4</v>
      </c>
      <c r="N35" s="3">
        <v>0.15111936365099995</v>
      </c>
      <c r="O35" s="3">
        <v>7.9258800000000003</v>
      </c>
      <c r="P35" s="9">
        <v>0</v>
      </c>
      <c r="Q35" s="2">
        <v>20.962090085072141</v>
      </c>
      <c r="R35" s="2">
        <v>35.311357638426465</v>
      </c>
      <c r="S35" s="63"/>
      <c r="T35">
        <f t="shared" si="0"/>
        <v>1003</v>
      </c>
      <c r="U35" s="20">
        <f t="shared" si="1"/>
        <v>0.26521564281791615</v>
      </c>
      <c r="V35">
        <f t="shared" si="5"/>
        <v>-7.6177305332495764E-5</v>
      </c>
      <c r="W35" s="64"/>
      <c r="X35">
        <f t="shared" si="34"/>
        <v>973</v>
      </c>
      <c r="Y35" s="21">
        <f t="shared" si="6"/>
        <v>1098405.8420000004</v>
      </c>
      <c r="Z35">
        <f t="shared" si="7"/>
        <v>3.3300161952402623</v>
      </c>
      <c r="AB35">
        <f t="shared" ref="AB35:AB60" si="39">A34-$A$2</f>
        <v>973</v>
      </c>
      <c r="AC35">
        <f t="shared" si="8"/>
        <v>1180.5011625478683</v>
      </c>
      <c r="AF35" s="61"/>
      <c r="AH35" s="21">
        <f t="shared" si="35"/>
        <v>1112448.8670000001</v>
      </c>
      <c r="AI35" s="21">
        <f t="shared" si="36"/>
        <v>7787801</v>
      </c>
      <c r="AJ35" s="21">
        <f t="shared" si="9"/>
        <v>275023855.97470003</v>
      </c>
      <c r="AK35" s="21">
        <f t="shared" si="38"/>
        <v>7393337.8807319999</v>
      </c>
      <c r="AL35" s="21">
        <f t="shared" si="37"/>
        <v>0</v>
      </c>
      <c r="AM35">
        <f t="shared" ref="AM35:AM53" si="40">A35-$A$3</f>
        <v>972</v>
      </c>
      <c r="AN35">
        <f t="shared" si="10"/>
        <v>2071.7375999999999</v>
      </c>
      <c r="AO35">
        <f t="shared" si="11"/>
        <v>506.40256122750645</v>
      </c>
      <c r="AP35">
        <f t="shared" si="12"/>
        <v>1.2553690959938046</v>
      </c>
      <c r="AQ35">
        <f t="shared" ref="AQ35:AQ53" si="41">(0.02827*$BU$43*$BV$40) / AN35</f>
        <v>8.4365526213358282E-3</v>
      </c>
      <c r="AR35" s="22">
        <f t="shared" si="13"/>
        <v>247.22381777094301</v>
      </c>
      <c r="AS35" s="22">
        <f t="shared" si="14"/>
        <v>10453158.703941001</v>
      </c>
      <c r="AT35">
        <f t="shared" si="15"/>
        <v>-3415331.7308692303</v>
      </c>
      <c r="AU35">
        <f t="shared" si="16"/>
        <v>90766.287317558745</v>
      </c>
      <c r="AV35">
        <f t="shared" si="17"/>
        <v>13777724.147492671</v>
      </c>
      <c r="AW35">
        <f t="shared" si="18"/>
        <v>3059820.8232090008</v>
      </c>
      <c r="AX35">
        <f t="shared" si="19"/>
        <v>6384386.2667606715</v>
      </c>
      <c r="AY35">
        <f t="shared" si="20"/>
        <v>32984999.999999993</v>
      </c>
      <c r="AZ35" s="58"/>
      <c r="BB35">
        <f t="shared" si="21"/>
        <v>-3415331.7308692303</v>
      </c>
      <c r="BC35">
        <f t="shared" si="22"/>
        <v>90766.287317558745</v>
      </c>
      <c r="BD35">
        <f t="shared" si="23"/>
        <v>6384386.2667606715</v>
      </c>
      <c r="BE35">
        <f t="shared" si="24"/>
        <v>3059820.8232090008</v>
      </c>
      <c r="BF35">
        <f t="shared" si="25"/>
        <v>-1.1161868384461107</v>
      </c>
      <c r="BG35">
        <f t="shared" si="26"/>
        <v>2.9663922354240074E-2</v>
      </c>
      <c r="BH35">
        <f t="shared" si="27"/>
        <v>2.0865229160918703</v>
      </c>
      <c r="BI35">
        <f t="shared" si="28"/>
        <v>0.99999999999999978</v>
      </c>
      <c r="BJ35" s="56"/>
      <c r="BK35">
        <f t="shared" si="29"/>
        <v>-1035919.0724469892</v>
      </c>
      <c r="BL35">
        <f t="shared" si="30"/>
        <v>0</v>
      </c>
      <c r="BM35">
        <f t="shared" si="31"/>
        <v>2.7517443479629753E-3</v>
      </c>
      <c r="BN35">
        <f t="shared" si="32"/>
        <v>0.61612937628273068</v>
      </c>
      <c r="BO35">
        <f t="shared" si="33"/>
        <v>10272439.401296081</v>
      </c>
      <c r="BT35" s="47" t="s">
        <v>66</v>
      </c>
      <c r="BU35" s="46" t="s">
        <v>112</v>
      </c>
      <c r="BV35" s="46">
        <f>118*14.223</f>
        <v>1678.3140000000001</v>
      </c>
      <c r="BW35" s="43">
        <v>45261</v>
      </c>
      <c r="BX35" s="44">
        <v>2001</v>
      </c>
      <c r="BY35" s="40"/>
    </row>
    <row r="36" spans="1:77" x14ac:dyDescent="0.3">
      <c r="A36" s="6">
        <v>45231</v>
      </c>
      <c r="B36" s="2">
        <v>1414.1847835666667</v>
      </c>
      <c r="C36" s="2">
        <v>1085.1028666666666</v>
      </c>
      <c r="D36" s="2">
        <v>329.08191690000001</v>
      </c>
      <c r="E36" s="2">
        <v>6789.2333333333327</v>
      </c>
      <c r="F36" s="2">
        <v>32553.085999999999</v>
      </c>
      <c r="G36" s="3">
        <v>4.3556060839999994E-3</v>
      </c>
      <c r="H36" s="2">
        <v>203677</v>
      </c>
      <c r="I36" s="2">
        <v>9872.4575069999992</v>
      </c>
      <c r="J36" s="2"/>
      <c r="K36" s="4">
        <v>4</v>
      </c>
      <c r="L36" s="2">
        <v>0</v>
      </c>
      <c r="M36" s="4">
        <v>4</v>
      </c>
      <c r="N36" s="3">
        <v>0.15547496973499997</v>
      </c>
      <c r="O36" s="3">
        <v>8.1295570000000001</v>
      </c>
      <c r="P36" s="9">
        <v>0</v>
      </c>
      <c r="Q36" s="2">
        <v>23.270079039461439</v>
      </c>
      <c r="R36" s="2">
        <v>39.353798733551713</v>
      </c>
      <c r="S36" s="63"/>
      <c r="T36">
        <f t="shared" si="0"/>
        <v>1034</v>
      </c>
      <c r="U36" s="20">
        <f t="shared" si="1"/>
        <v>0.30327255323811697</v>
      </c>
      <c r="V36">
        <f t="shared" si="5"/>
        <v>6.177420125274182E-3</v>
      </c>
      <c r="W36" s="64"/>
      <c r="X36">
        <f t="shared" si="34"/>
        <v>1003</v>
      </c>
      <c r="Y36" s="21">
        <f t="shared" ref="Y36:Y60" si="42">Y35+F35</f>
        <v>1129386.9480000003</v>
      </c>
      <c r="Z36">
        <f t="shared" si="7"/>
        <v>3.4239410277398825</v>
      </c>
      <c r="AB36">
        <f t="shared" si="39"/>
        <v>1003</v>
      </c>
      <c r="AC36">
        <f t="shared" si="8"/>
        <v>1166.4198057141723</v>
      </c>
      <c r="AF36" s="61"/>
      <c r="AH36" s="21">
        <f t="shared" si="35"/>
        <v>1145001.953</v>
      </c>
      <c r="AI36" s="21">
        <f t="shared" si="36"/>
        <v>7991478</v>
      </c>
      <c r="AJ36" s="21">
        <f t="shared" si="9"/>
        <v>282216648.12660003</v>
      </c>
      <c r="AK36" s="21">
        <f t="shared" si="38"/>
        <v>7567267.8807319999</v>
      </c>
      <c r="AL36" s="21">
        <f t="shared" si="37"/>
        <v>0</v>
      </c>
      <c r="AM36">
        <f t="shared" si="40"/>
        <v>1003</v>
      </c>
      <c r="AN36">
        <f t="shared" si="10"/>
        <v>2066.4923999999996</v>
      </c>
      <c r="AO36">
        <f t="shared" si="11"/>
        <v>504.8770405519515</v>
      </c>
      <c r="AP36">
        <f t="shared" si="12"/>
        <v>1.2553690959938046</v>
      </c>
      <c r="AQ36">
        <f t="shared" si="41"/>
        <v>8.4579663975536522E-3</v>
      </c>
      <c r="AR36" s="22">
        <f t="shared" si="13"/>
        <v>246.47700153451183</v>
      </c>
      <c r="AS36" s="22">
        <f t="shared" si="14"/>
        <v>10713739.711013246</v>
      </c>
      <c r="AT36">
        <f t="shared" si="15"/>
        <v>-3415331.7308692303</v>
      </c>
      <c r="AU36">
        <f t="shared" si="16"/>
        <v>92412.051531926831</v>
      </c>
      <c r="AV36">
        <f t="shared" si="17"/>
        <v>14036659.390350549</v>
      </c>
      <c r="AW36">
        <f t="shared" si="18"/>
        <v>3146471.8302812455</v>
      </c>
      <c r="AX36">
        <f t="shared" si="19"/>
        <v>6469391.5096185487</v>
      </c>
      <c r="AY36">
        <f t="shared" si="20"/>
        <v>32984999.999999996</v>
      </c>
      <c r="AZ36" s="58"/>
      <c r="BB36">
        <f t="shared" si="21"/>
        <v>-3415331.7308692303</v>
      </c>
      <c r="BC36">
        <f t="shared" si="22"/>
        <v>92412.051531926831</v>
      </c>
      <c r="BD36">
        <f t="shared" si="23"/>
        <v>6469391.5096185487</v>
      </c>
      <c r="BE36">
        <f t="shared" si="24"/>
        <v>3146471.8302812455</v>
      </c>
      <c r="BF36">
        <f t="shared" si="25"/>
        <v>-1.085448055819382</v>
      </c>
      <c r="BG36">
        <f t="shared" si="26"/>
        <v>2.9370055260805127E-2</v>
      </c>
      <c r="BH36">
        <f t="shared" si="27"/>
        <v>2.0560780005585766</v>
      </c>
      <c r="BI36">
        <f t="shared" si="28"/>
        <v>0.99999999999999978</v>
      </c>
      <c r="BJ36" s="56"/>
      <c r="BK36">
        <f t="shared" si="29"/>
        <v>-1065046.1816794034</v>
      </c>
      <c r="BL36">
        <f t="shared" si="30"/>
        <v>0</v>
      </c>
      <c r="BM36">
        <f t="shared" si="31"/>
        <v>2.8016386700599311E-3</v>
      </c>
      <c r="BN36">
        <f t="shared" si="32"/>
        <v>0.63085885879106696</v>
      </c>
      <c r="BO36">
        <f t="shared" si="33"/>
        <v>10261365.07657476</v>
      </c>
      <c r="BT36" s="47" t="s">
        <v>67</v>
      </c>
      <c r="BU36" s="45">
        <v>70</v>
      </c>
      <c r="BV36" s="45">
        <f>$BU$38*((($BV$35/18.2) + 1.4)*10^$BW$45)^1.2048</f>
        <v>394.26762410709489</v>
      </c>
      <c r="BW36" s="43">
        <v>45413</v>
      </c>
      <c r="BX36" s="44">
        <v>1824</v>
      </c>
      <c r="BY36" s="40"/>
    </row>
    <row r="37" spans="1:77" x14ac:dyDescent="0.3">
      <c r="A37" s="52">
        <v>45261</v>
      </c>
      <c r="B37" s="2">
        <v>1529.3040800322578</v>
      </c>
      <c r="C37" s="2">
        <v>931.34496774193542</v>
      </c>
      <c r="D37" s="2">
        <v>597.95911229032254</v>
      </c>
      <c r="E37" s="2">
        <v>7842.2903225806458</v>
      </c>
      <c r="F37" s="2">
        <v>28871.694000000003</v>
      </c>
      <c r="G37" s="3">
        <v>3.8630354699999998E-3</v>
      </c>
      <c r="H37" s="2">
        <v>243111</v>
      </c>
      <c r="I37" s="2">
        <v>18536.732480999999</v>
      </c>
      <c r="J37" s="2"/>
      <c r="K37" s="4">
        <v>5</v>
      </c>
      <c r="L37" s="2">
        <v>0</v>
      </c>
      <c r="M37" s="4">
        <v>5</v>
      </c>
      <c r="N37" s="3">
        <v>0.15933800520499997</v>
      </c>
      <c r="O37" s="3">
        <v>8.3726680000000009</v>
      </c>
      <c r="P37" s="9">
        <v>0</v>
      </c>
      <c r="Q37" s="2">
        <v>39.100079578530227</v>
      </c>
      <c r="R37" s="2">
        <v>52.962585700721256</v>
      </c>
      <c r="S37" s="63"/>
      <c r="T37">
        <f t="shared" si="0"/>
        <v>1064</v>
      </c>
      <c r="U37" s="20">
        <f t="shared" si="1"/>
        <v>0.64203827045964124</v>
      </c>
      <c r="V37">
        <f t="shared" si="5"/>
        <v>2.1688457097301394E-4</v>
      </c>
      <c r="W37" s="64"/>
      <c r="X37">
        <f t="shared" si="34"/>
        <v>1034</v>
      </c>
      <c r="Y37" s="21">
        <f t="shared" si="42"/>
        <v>1161940.0340000002</v>
      </c>
      <c r="Z37">
        <f t="shared" si="7"/>
        <v>3.5226316022434445</v>
      </c>
      <c r="AB37">
        <f t="shared" si="39"/>
        <v>1034</v>
      </c>
      <c r="AC37">
        <f t="shared" si="8"/>
        <v>1152.0455049701645</v>
      </c>
      <c r="AF37" s="61"/>
      <c r="AH37" s="21">
        <f t="shared" si="35"/>
        <v>1173873.6469999999</v>
      </c>
      <c r="AI37" s="21">
        <f t="shared" si="36"/>
        <v>8234589</v>
      </c>
      <c r="AJ37" s="21">
        <f t="shared" si="9"/>
        <v>290802040.15830004</v>
      </c>
      <c r="AK37" s="21">
        <f t="shared" si="38"/>
        <v>7770944.8807319999</v>
      </c>
      <c r="AL37" s="21">
        <f t="shared" si="37"/>
        <v>0</v>
      </c>
      <c r="AM37">
        <f t="shared" si="40"/>
        <v>1033</v>
      </c>
      <c r="AN37">
        <f t="shared" si="10"/>
        <v>2061.4164000000001</v>
      </c>
      <c r="AO37">
        <f t="shared" si="11"/>
        <v>503.40147586463155</v>
      </c>
      <c r="AP37">
        <f t="shared" si="12"/>
        <v>1.2553690959938046</v>
      </c>
      <c r="AQ37">
        <f t="shared" si="41"/>
        <v>8.478793163768367E-3</v>
      </c>
      <c r="AR37" s="22">
        <f t="shared" si="13"/>
        <v>247.72857019278504</v>
      </c>
      <c r="AS37" s="22">
        <f t="shared" si="14"/>
        <v>11013527.700149627</v>
      </c>
      <c r="AT37">
        <f t="shared" si="15"/>
        <v>-3415331.7308692303</v>
      </c>
      <c r="AU37">
        <f t="shared" si="16"/>
        <v>94004.726578089278</v>
      </c>
      <c r="AV37">
        <f t="shared" si="17"/>
        <v>14334854.704440769</v>
      </c>
      <c r="AW37">
        <f t="shared" si="18"/>
        <v>3242582.819417628</v>
      </c>
      <c r="AX37">
        <f t="shared" si="19"/>
        <v>6563909.8237087689</v>
      </c>
      <c r="AY37">
        <f t="shared" si="20"/>
        <v>32985000</v>
      </c>
      <c r="AZ37" s="58"/>
      <c r="BB37">
        <f t="shared" si="21"/>
        <v>-3415331.7308692303</v>
      </c>
      <c r="BC37">
        <f t="shared" si="22"/>
        <v>94004.726578089278</v>
      </c>
      <c r="BD37">
        <f t="shared" si="23"/>
        <v>6563909.8237087689</v>
      </c>
      <c r="BE37">
        <f t="shared" si="24"/>
        <v>3242582.819417628</v>
      </c>
      <c r="BF37">
        <f t="shared" si="25"/>
        <v>-1.0532750961416086</v>
      </c>
      <c r="BG37">
        <f t="shared" si="26"/>
        <v>2.8990694089649389E-2</v>
      </c>
      <c r="BH37">
        <f t="shared" si="27"/>
        <v>2.024284402051959</v>
      </c>
      <c r="BI37">
        <f t="shared" si="28"/>
        <v>0.99999999999999978</v>
      </c>
      <c r="BJ37" s="56"/>
      <c r="BK37">
        <f t="shared" si="29"/>
        <v>-1071075.875135239</v>
      </c>
      <c r="BL37">
        <f t="shared" si="30"/>
        <v>0</v>
      </c>
      <c r="BM37">
        <f t="shared" si="31"/>
        <v>2.8499234978956881E-3</v>
      </c>
      <c r="BN37">
        <f t="shared" si="32"/>
        <v>0.64517824385536293</v>
      </c>
      <c r="BO37">
        <f t="shared" si="33"/>
        <v>10338854.610226335</v>
      </c>
      <c r="BT37" s="47" t="s">
        <v>68</v>
      </c>
      <c r="BU37" s="87">
        <f>141.5/($BU$39+131.5)</f>
        <v>0.84477611940298503</v>
      </c>
      <c r="BV37" s="45"/>
      <c r="BW37" s="43">
        <v>45748</v>
      </c>
      <c r="BX37" s="44">
        <v>1979</v>
      </c>
      <c r="BY37" s="40"/>
    </row>
    <row r="38" spans="1:77" x14ac:dyDescent="0.3">
      <c r="A38" s="6">
        <v>45292</v>
      </c>
      <c r="B38" s="2">
        <v>1463.9425121935485</v>
      </c>
      <c r="C38" s="2">
        <v>1111.9937096774192</v>
      </c>
      <c r="D38" s="2">
        <v>351.94880251612904</v>
      </c>
      <c r="E38" s="2">
        <v>9470.7419354838712</v>
      </c>
      <c r="F38" s="2">
        <v>34471.805</v>
      </c>
      <c r="G38" s="3">
        <v>4.6123308679999996E-3</v>
      </c>
      <c r="H38" s="2">
        <v>293593</v>
      </c>
      <c r="I38" s="2">
        <v>10910.412877999999</v>
      </c>
      <c r="J38" s="2"/>
      <c r="K38" s="4">
        <v>5</v>
      </c>
      <c r="L38" s="2">
        <v>0</v>
      </c>
      <c r="M38" s="4">
        <v>5</v>
      </c>
      <c r="N38" s="3">
        <v>0.16395033607299997</v>
      </c>
      <c r="O38" s="3">
        <v>8.6662610000000004</v>
      </c>
      <c r="P38" s="9">
        <v>0</v>
      </c>
      <c r="Q38" s="2">
        <v>24.041162790523412</v>
      </c>
      <c r="R38" s="2">
        <v>53.569612946000355</v>
      </c>
      <c r="S38" s="63"/>
      <c r="T38">
        <f t="shared" si="0"/>
        <v>1095</v>
      </c>
      <c r="U38" s="20">
        <f t="shared" si="1"/>
        <v>0.31650251206747082</v>
      </c>
      <c r="V38">
        <f t="shared" si="5"/>
        <v>-5.8610779484427056E-3</v>
      </c>
      <c r="W38" s="64"/>
      <c r="X38">
        <f t="shared" si="34"/>
        <v>1064</v>
      </c>
      <c r="Y38" s="21">
        <f t="shared" si="42"/>
        <v>1190811.7280000001</v>
      </c>
      <c r="Z38">
        <f t="shared" si="7"/>
        <v>3.6101613703198425</v>
      </c>
      <c r="AB38">
        <f t="shared" si="39"/>
        <v>1064</v>
      </c>
      <c r="AC38">
        <f t="shared" si="8"/>
        <v>1138.3035753907579</v>
      </c>
      <c r="AF38" s="61"/>
      <c r="AH38" s="21">
        <f t="shared" si="35"/>
        <v>1208345.4519999998</v>
      </c>
      <c r="AI38" s="21">
        <f t="shared" si="36"/>
        <v>8528182</v>
      </c>
      <c r="AJ38" s="21">
        <f t="shared" si="9"/>
        <v>301170188.87540001</v>
      </c>
      <c r="AK38" s="21">
        <f t="shared" si="38"/>
        <v>8014055.8807319999</v>
      </c>
      <c r="AL38" s="21">
        <f t="shared" si="37"/>
        <v>0</v>
      </c>
      <c r="AM38">
        <f t="shared" si="40"/>
        <v>1064</v>
      </c>
      <c r="AN38">
        <f t="shared" si="10"/>
        <v>2056.1711999999998</v>
      </c>
      <c r="AO38">
        <f t="shared" si="11"/>
        <v>501.87749770944879</v>
      </c>
      <c r="AP38">
        <f t="shared" si="12"/>
        <v>1.2553690959938046</v>
      </c>
      <c r="AQ38">
        <f t="shared" si="41"/>
        <v>8.5004221827443167E-3</v>
      </c>
      <c r="AR38" s="22">
        <f t="shared" si="13"/>
        <v>249.24179453559117</v>
      </c>
      <c r="AS38" s="22">
        <f t="shared" si="14"/>
        <v>11372047.91883328</v>
      </c>
      <c r="AT38">
        <f t="shared" si="15"/>
        <v>-3415331.7308692303</v>
      </c>
      <c r="AU38">
        <f t="shared" si="16"/>
        <v>95650.490792457364</v>
      </c>
      <c r="AV38">
        <f t="shared" si="17"/>
        <v>14691729.158910053</v>
      </c>
      <c r="AW38">
        <f t="shared" si="18"/>
        <v>3357992.0381012806</v>
      </c>
      <c r="AX38">
        <f t="shared" si="19"/>
        <v>6677673.278178053</v>
      </c>
      <c r="AY38">
        <f t="shared" si="20"/>
        <v>32984999.999999996</v>
      </c>
      <c r="AZ38" s="58"/>
      <c r="BB38">
        <f t="shared" si="21"/>
        <v>-3415331.7308692303</v>
      </c>
      <c r="BC38">
        <f t="shared" si="22"/>
        <v>95650.490792457364</v>
      </c>
      <c r="BD38">
        <f t="shared" si="23"/>
        <v>6677673.278178053</v>
      </c>
      <c r="BE38">
        <f t="shared" si="24"/>
        <v>3357992.0381012806</v>
      </c>
      <c r="BF38">
        <f t="shared" si="25"/>
        <v>-1.0170755892561232</v>
      </c>
      <c r="BG38">
        <f t="shared" si="26"/>
        <v>2.8484430489162597E-2</v>
      </c>
      <c r="BH38">
        <f t="shared" si="27"/>
        <v>1.9885911587669605</v>
      </c>
      <c r="BI38">
        <f t="shared" si="28"/>
        <v>0.99999999999999989</v>
      </c>
      <c r="BJ38" s="56"/>
      <c r="BK38">
        <f t="shared" si="29"/>
        <v>-1078014.5675238529</v>
      </c>
      <c r="BL38">
        <f t="shared" si="30"/>
        <v>0</v>
      </c>
      <c r="BM38">
        <f t="shared" si="31"/>
        <v>2.8998178199926439E-3</v>
      </c>
      <c r="BN38">
        <f t="shared" si="32"/>
        <v>0.66004265305916399</v>
      </c>
      <c r="BO38">
        <f t="shared" si="33"/>
        <v>10462508.615581626</v>
      </c>
      <c r="BT38" s="47" t="s">
        <v>69</v>
      </c>
      <c r="BU38" s="45">
        <f>0.8</f>
        <v>0.8</v>
      </c>
      <c r="BV38" s="45"/>
    </row>
    <row r="39" spans="1:77" x14ac:dyDescent="0.3">
      <c r="A39" s="6">
        <v>45323</v>
      </c>
      <c r="B39" s="2">
        <v>1420.7521165172411</v>
      </c>
      <c r="C39" s="2">
        <v>1111.1332413793102</v>
      </c>
      <c r="D39" s="2">
        <v>309.61887513793107</v>
      </c>
      <c r="E39" s="2">
        <v>10623.172413793103</v>
      </c>
      <c r="F39" s="2">
        <v>32222.864000000001</v>
      </c>
      <c r="G39" s="3">
        <v>4.3114223430000004E-3</v>
      </c>
      <c r="H39" s="2">
        <v>308072</v>
      </c>
      <c r="I39" s="2">
        <v>8978.9473790000011</v>
      </c>
      <c r="J39" s="2"/>
      <c r="K39" s="4">
        <v>5</v>
      </c>
      <c r="L39" s="2">
        <v>0</v>
      </c>
      <c r="M39" s="4">
        <v>5</v>
      </c>
      <c r="N39" s="3">
        <v>0.16826175841599997</v>
      </c>
      <c r="O39" s="3">
        <v>8.9743329999999997</v>
      </c>
      <c r="P39" s="9">
        <v>0</v>
      </c>
      <c r="Q39" s="2">
        <v>21.792603476594831</v>
      </c>
      <c r="R39" s="2">
        <v>60.13466914672761</v>
      </c>
      <c r="S39" s="63"/>
      <c r="T39">
        <f t="shared" si="0"/>
        <v>1126</v>
      </c>
      <c r="U39" s="20">
        <f t="shared" si="1"/>
        <v>0.27865143765619349</v>
      </c>
      <c r="V39">
        <f t="shared" si="5"/>
        <v>2.7972182978306115E-3</v>
      </c>
      <c r="W39" s="64"/>
      <c r="X39">
        <f t="shared" si="34"/>
        <v>1095</v>
      </c>
      <c r="Y39" s="21">
        <f t="shared" si="42"/>
        <v>1225283.5330000001</v>
      </c>
      <c r="Z39">
        <f t="shared" si="7"/>
        <v>3.7146688888888892</v>
      </c>
      <c r="AB39">
        <f t="shared" si="39"/>
        <v>1095</v>
      </c>
      <c r="AC39">
        <f t="shared" si="8"/>
        <v>1124.275763233858</v>
      </c>
      <c r="AF39" s="61"/>
      <c r="AH39" s="21">
        <f t="shared" si="35"/>
        <v>1240568.3159999999</v>
      </c>
      <c r="AI39" s="21">
        <f t="shared" si="36"/>
        <v>8836254</v>
      </c>
      <c r="AJ39" s="21">
        <f t="shared" si="9"/>
        <v>312049659.13380003</v>
      </c>
      <c r="AK39" s="21">
        <f t="shared" si="38"/>
        <v>8307648.8807319999</v>
      </c>
      <c r="AL39" s="21">
        <f t="shared" si="37"/>
        <v>0</v>
      </c>
      <c r="AM39">
        <f t="shared" si="40"/>
        <v>1095</v>
      </c>
      <c r="AN39">
        <f t="shared" si="10"/>
        <v>2050.9259999999999</v>
      </c>
      <c r="AO39">
        <f t="shared" si="11"/>
        <v>500.35430578704501</v>
      </c>
      <c r="AP39">
        <f t="shared" si="12"/>
        <v>1.2553690959938046</v>
      </c>
      <c r="AQ39">
        <f t="shared" si="41"/>
        <v>8.5221618332402046E-3</v>
      </c>
      <c r="AR39" s="22">
        <f t="shared" si="13"/>
        <v>251.53766633340334</v>
      </c>
      <c r="AS39" s="22">
        <f t="shared" si="14"/>
        <v>11784295.024463203</v>
      </c>
      <c r="AT39">
        <f t="shared" si="15"/>
        <v>-3415331.7308692303</v>
      </c>
      <c r="AU39">
        <f t="shared" si="16"/>
        <v>97296.255006825289</v>
      </c>
      <c r="AV39">
        <f t="shared" si="17"/>
        <v>15102330.500325607</v>
      </c>
      <c r="AW39">
        <f t="shared" si="18"/>
        <v>3476646.1437312039</v>
      </c>
      <c r="AX39">
        <f t="shared" si="19"/>
        <v>6794681.6195936073</v>
      </c>
      <c r="AY39">
        <f t="shared" si="20"/>
        <v>32984999.999999985</v>
      </c>
      <c r="AZ39" s="58"/>
      <c r="BB39">
        <f t="shared" si="21"/>
        <v>-3415331.7308692303</v>
      </c>
      <c r="BC39">
        <f t="shared" si="22"/>
        <v>97296.255006825289</v>
      </c>
      <c r="BD39">
        <f t="shared" si="23"/>
        <v>6794681.6195936073</v>
      </c>
      <c r="BE39">
        <f t="shared" si="24"/>
        <v>3476646.1437312039</v>
      </c>
      <c r="BF39">
        <f t="shared" si="25"/>
        <v>-0.98236391903946552</v>
      </c>
      <c r="BG39">
        <f t="shared" si="26"/>
        <v>2.798566520273043E-2</v>
      </c>
      <c r="BH39">
        <f t="shared" si="27"/>
        <v>1.9543782538367347</v>
      </c>
      <c r="BI39">
        <f t="shared" si="28"/>
        <v>0.99999999999999956</v>
      </c>
      <c r="BJ39" s="56"/>
      <c r="BK39">
        <f t="shared" si="29"/>
        <v>-1073198.9921094407</v>
      </c>
      <c r="BL39">
        <f t="shared" si="30"/>
        <v>0</v>
      </c>
      <c r="BM39">
        <f t="shared" si="31"/>
        <v>2.949712142089595E-3</v>
      </c>
      <c r="BN39">
        <f t="shared" si="32"/>
        <v>0.67497639268621135</v>
      </c>
      <c r="BO39">
        <f t="shared" si="33"/>
        <v>10671443.151543539</v>
      </c>
      <c r="BT39" s="47" t="s">
        <v>75</v>
      </c>
      <c r="BU39" s="45">
        <v>36</v>
      </c>
      <c r="BV39" s="45"/>
      <c r="BW39" s="29"/>
      <c r="BX39" s="29"/>
    </row>
    <row r="40" spans="1:77" ht="16.2" x14ac:dyDescent="0.3">
      <c r="A40" s="6">
        <v>45352</v>
      </c>
      <c r="B40" s="2">
        <v>1606.0262314193546</v>
      </c>
      <c r="C40" s="2">
        <v>1081.9832258064516</v>
      </c>
      <c r="D40" s="2">
        <v>524.04300561290324</v>
      </c>
      <c r="E40" s="2">
        <v>10707.677419354837</v>
      </c>
      <c r="F40" s="2">
        <v>33541.480000000003</v>
      </c>
      <c r="G40" s="3">
        <v>4.4878532979999997E-3</v>
      </c>
      <c r="H40" s="2">
        <v>331938</v>
      </c>
      <c r="I40" s="2">
        <v>16245.333173999999</v>
      </c>
      <c r="J40" s="2"/>
      <c r="K40" s="4">
        <v>6</v>
      </c>
      <c r="L40" s="2">
        <v>0</v>
      </c>
      <c r="M40" s="4">
        <v>6</v>
      </c>
      <c r="N40" s="3">
        <v>0.17274961171399997</v>
      </c>
      <c r="O40" s="3">
        <v>9.3062709999999988</v>
      </c>
      <c r="P40" s="9">
        <v>0</v>
      </c>
      <c r="Q40" s="2">
        <v>32.629791180295399</v>
      </c>
      <c r="R40" s="2">
        <v>62.246019925179205</v>
      </c>
      <c r="S40" s="63"/>
      <c r="T40">
        <f t="shared" si="0"/>
        <v>1155</v>
      </c>
      <c r="U40" s="20">
        <f t="shared" si="1"/>
        <v>0.48433560993730751</v>
      </c>
      <c r="V40">
        <f t="shared" si="5"/>
        <v>4.4529992226113773E-3</v>
      </c>
      <c r="W40" s="64"/>
      <c r="X40">
        <f t="shared" si="34"/>
        <v>1126</v>
      </c>
      <c r="Y40" s="21">
        <f t="shared" si="42"/>
        <v>1257506.3970000001</v>
      </c>
      <c r="Z40">
        <f t="shared" si="7"/>
        <v>3.8123583356070947</v>
      </c>
      <c r="AB40">
        <f t="shared" si="39"/>
        <v>1126</v>
      </c>
      <c r="AC40">
        <f t="shared" si="8"/>
        <v>1110.4208219333475</v>
      </c>
      <c r="AF40" s="61"/>
      <c r="AH40" s="21">
        <f t="shared" si="35"/>
        <v>1274109.7959999999</v>
      </c>
      <c r="AI40" s="21">
        <f t="shared" si="36"/>
        <v>9168192</v>
      </c>
      <c r="AJ40" s="21">
        <f t="shared" si="9"/>
        <v>323771950.02240002</v>
      </c>
      <c r="AK40" s="21">
        <f t="shared" si="38"/>
        <v>8615720.8807319999</v>
      </c>
      <c r="AL40" s="21">
        <f t="shared" si="37"/>
        <v>0</v>
      </c>
      <c r="AM40">
        <f t="shared" si="40"/>
        <v>1124</v>
      </c>
      <c r="AN40">
        <f t="shared" si="10"/>
        <v>2046.0191999999997</v>
      </c>
      <c r="AO40">
        <f t="shared" si="11"/>
        <v>498.9300974918466</v>
      </c>
      <c r="AP40">
        <f t="shared" si="12"/>
        <v>1.2553690959938046</v>
      </c>
      <c r="AQ40">
        <f t="shared" si="41"/>
        <v>8.5425998348402591E-3</v>
      </c>
      <c r="AR40" s="22">
        <f t="shared" si="13"/>
        <v>254.11620806846074</v>
      </c>
      <c r="AS40" s="22">
        <f t="shared" si="14"/>
        <v>12219158.441019177</v>
      </c>
      <c r="AT40">
        <f t="shared" si="15"/>
        <v>-3415331.7308692303</v>
      </c>
      <c r="AU40">
        <f t="shared" si="16"/>
        <v>98835.840884782519</v>
      </c>
      <c r="AV40">
        <f t="shared" si="17"/>
        <v>15535654.331003625</v>
      </c>
      <c r="AW40">
        <f t="shared" si="18"/>
        <v>3603437.5602871771</v>
      </c>
      <c r="AX40">
        <f t="shared" si="19"/>
        <v>6919933.4502716251</v>
      </c>
      <c r="AY40">
        <f t="shared" si="20"/>
        <v>32985000</v>
      </c>
      <c r="AZ40" s="58"/>
      <c r="BB40">
        <f t="shared" si="21"/>
        <v>-3415331.7308692303</v>
      </c>
      <c r="BC40">
        <f t="shared" si="22"/>
        <v>98835.840884782519</v>
      </c>
      <c r="BD40">
        <f t="shared" si="23"/>
        <v>6919933.4502716251</v>
      </c>
      <c r="BE40">
        <f t="shared" si="24"/>
        <v>3603437.5602871771</v>
      </c>
      <c r="BF40">
        <f t="shared" si="25"/>
        <v>-0.94779822703436667</v>
      </c>
      <c r="BG40">
        <f t="shared" si="26"/>
        <v>2.7428209655700475E-2</v>
      </c>
      <c r="BH40">
        <f t="shared" si="27"/>
        <v>1.9203700173786662</v>
      </c>
      <c r="BI40">
        <f t="shared" si="28"/>
        <v>1</v>
      </c>
      <c r="BJ40" s="56"/>
      <c r="BK40">
        <f t="shared" si="29"/>
        <v>-1065127.7531299088</v>
      </c>
      <c r="BL40">
        <f t="shared" si="30"/>
        <v>0</v>
      </c>
      <c r="BM40">
        <f t="shared" si="31"/>
        <v>2.9963874756641661E-3</v>
      </c>
      <c r="BN40">
        <f t="shared" si="32"/>
        <v>0.68900989094532483</v>
      </c>
      <c r="BO40">
        <f t="shared" si="33"/>
        <v>10911162.749608193</v>
      </c>
      <c r="BT40" s="53" t="s">
        <v>83</v>
      </c>
      <c r="BU40" s="53">
        <v>96</v>
      </c>
      <c r="BV40" s="53">
        <f>(BU40 *(9/5)) + 32 +460</f>
        <v>664.8</v>
      </c>
      <c r="BW40" s="54" t="s">
        <v>84</v>
      </c>
    </row>
    <row r="41" spans="1:77" x14ac:dyDescent="0.3">
      <c r="A41" s="6">
        <v>45383</v>
      </c>
      <c r="B41" s="2">
        <v>2269.3920910333336</v>
      </c>
      <c r="C41" s="2">
        <v>1468.0722000000001</v>
      </c>
      <c r="D41" s="2">
        <v>801.31989103333331</v>
      </c>
      <c r="E41" s="2">
        <v>10975.533333333335</v>
      </c>
      <c r="F41" s="2">
        <v>44042.166000000005</v>
      </c>
      <c r="G41" s="3">
        <v>5.8928461140000006E-3</v>
      </c>
      <c r="H41" s="2">
        <v>329266</v>
      </c>
      <c r="I41" s="2">
        <v>24039.596730999998</v>
      </c>
      <c r="J41" s="2"/>
      <c r="K41" s="4">
        <v>6</v>
      </c>
      <c r="L41" s="2">
        <v>0</v>
      </c>
      <c r="M41" s="4">
        <v>6</v>
      </c>
      <c r="N41" s="3">
        <v>0.17864245782799998</v>
      </c>
      <c r="O41" s="3">
        <v>9.6355369999999994</v>
      </c>
      <c r="P41" s="9">
        <v>0</v>
      </c>
      <c r="Q41" s="2">
        <v>35.309891763501497</v>
      </c>
      <c r="R41" s="2">
        <v>47.02351121423046</v>
      </c>
      <c r="S41" s="63"/>
      <c r="T41">
        <f t="shared" si="0"/>
        <v>1186</v>
      </c>
      <c r="U41" s="20">
        <f t="shared" si="1"/>
        <v>0.54583139101287614</v>
      </c>
      <c r="V41">
        <f t="shared" si="5"/>
        <v>-3.3824302064541442E-3</v>
      </c>
      <c r="W41" s="64"/>
      <c r="X41">
        <f t="shared" si="34"/>
        <v>1155</v>
      </c>
      <c r="Y41" s="21">
        <f t="shared" si="42"/>
        <v>1291047.8770000001</v>
      </c>
      <c r="Z41">
        <f t="shared" si="7"/>
        <v>3.914045405487343</v>
      </c>
      <c r="AB41">
        <f t="shared" si="39"/>
        <v>1155</v>
      </c>
      <c r="AC41">
        <f t="shared" si="8"/>
        <v>1097.6143614723821</v>
      </c>
      <c r="AF41" s="61"/>
      <c r="AH41" s="21">
        <f t="shared" si="35"/>
        <v>1318151.9619999998</v>
      </c>
      <c r="AI41" s="21">
        <f t="shared" si="36"/>
        <v>9497458</v>
      </c>
      <c r="AJ41" s="21">
        <f t="shared" si="9"/>
        <v>335399880.03260005</v>
      </c>
      <c r="AK41" s="21">
        <f t="shared" si="38"/>
        <v>8947658.8807319999</v>
      </c>
      <c r="AL41" s="21">
        <f t="shared" si="37"/>
        <v>0</v>
      </c>
      <c r="AM41">
        <f t="shared" si="40"/>
        <v>1155</v>
      </c>
      <c r="AN41">
        <f t="shared" si="10"/>
        <v>2040.7739999999999</v>
      </c>
      <c r="AO41">
        <f t="shared" si="11"/>
        <v>497.4084318021014</v>
      </c>
      <c r="AP41">
        <f t="shared" si="12"/>
        <v>1.2553690959938046</v>
      </c>
      <c r="AQ41">
        <f t="shared" si="41"/>
        <v>8.5645560360921875E-3</v>
      </c>
      <c r="AR41" s="22">
        <f t="shared" si="13"/>
        <v>254.44705140347097</v>
      </c>
      <c r="AS41" s="22">
        <f t="shared" si="14"/>
        <v>12684720.140703831</v>
      </c>
      <c r="AT41">
        <f t="shared" si="15"/>
        <v>-3415331.7308692303</v>
      </c>
      <c r="AU41">
        <f t="shared" si="16"/>
        <v>100481.60509915045</v>
      </c>
      <c r="AV41">
        <f t="shared" si="17"/>
        <v>15999570.26647391</v>
      </c>
      <c r="AW41">
        <f t="shared" si="18"/>
        <v>3737061.2599718305</v>
      </c>
      <c r="AX41">
        <f t="shared" si="19"/>
        <v>7051911.38574191</v>
      </c>
      <c r="AY41">
        <f t="shared" si="20"/>
        <v>32984999.999999996</v>
      </c>
      <c r="AZ41" s="58"/>
      <c r="BB41">
        <f t="shared" si="21"/>
        <v>-3415331.7308692303</v>
      </c>
      <c r="BC41">
        <f t="shared" si="22"/>
        <v>100481.60509915045</v>
      </c>
      <c r="BD41">
        <f t="shared" si="23"/>
        <v>7051911.38574191</v>
      </c>
      <c r="BE41">
        <f t="shared" si="24"/>
        <v>3737061.2599718305</v>
      </c>
      <c r="BF41">
        <f t="shared" si="25"/>
        <v>-0.91390841446762228</v>
      </c>
      <c r="BG41">
        <f t="shared" si="26"/>
        <v>2.6887866724429308E-2</v>
      </c>
      <c r="BH41">
        <f t="shared" si="27"/>
        <v>1.8870205477431927</v>
      </c>
      <c r="BI41">
        <f t="shared" si="28"/>
        <v>0.99999999999999978</v>
      </c>
      <c r="BJ41" s="56"/>
      <c r="BK41">
        <f t="shared" si="29"/>
        <v>-1088117.6527413682</v>
      </c>
      <c r="BL41">
        <f t="shared" si="30"/>
        <v>0</v>
      </c>
      <c r="BM41">
        <f t="shared" si="31"/>
        <v>3.0462817977611172E-3</v>
      </c>
      <c r="BN41">
        <f t="shared" si="32"/>
        <v>0.7040792998297456</v>
      </c>
      <c r="BO41">
        <f t="shared" si="33"/>
        <v>11114774.280830376</v>
      </c>
      <c r="BT41" s="47" t="s">
        <v>76</v>
      </c>
      <c r="BU41" s="20">
        <f>3*10^-6</f>
        <v>3.0000000000000001E-6</v>
      </c>
    </row>
    <row r="42" spans="1:77" x14ac:dyDescent="0.3">
      <c r="A42" s="52">
        <v>45413</v>
      </c>
      <c r="B42" s="2">
        <v>2105.5750190645163</v>
      </c>
      <c r="C42" s="2">
        <v>1647.5452903225805</v>
      </c>
      <c r="D42" s="2">
        <v>458.02972874193551</v>
      </c>
      <c r="E42" s="2">
        <v>12569.258064516131</v>
      </c>
      <c r="F42" s="2">
        <v>51073.903999999995</v>
      </c>
      <c r="G42" s="3">
        <v>6.8336933379999996E-3</v>
      </c>
      <c r="H42" s="2">
        <v>389647</v>
      </c>
      <c r="I42" s="2">
        <v>14198.921591</v>
      </c>
      <c r="J42" s="2"/>
      <c r="K42" s="4">
        <v>6</v>
      </c>
      <c r="L42" s="2">
        <v>0</v>
      </c>
      <c r="M42" s="4">
        <v>6</v>
      </c>
      <c r="N42" s="3">
        <v>0.18547615116599997</v>
      </c>
      <c r="O42" s="3">
        <v>10.025183999999999</v>
      </c>
      <c r="P42" s="9">
        <v>0</v>
      </c>
      <c r="Q42" s="2">
        <v>21.753189727024456</v>
      </c>
      <c r="R42" s="2">
        <v>47.985399757183238</v>
      </c>
      <c r="S42" s="63"/>
      <c r="T42">
        <f t="shared" si="0"/>
        <v>1216</v>
      </c>
      <c r="U42" s="20">
        <f t="shared" si="1"/>
        <v>0.27800736734360471</v>
      </c>
      <c r="V42">
        <f t="shared" si="5"/>
        <v>-3.1343779345388905E-3</v>
      </c>
      <c r="W42" s="64"/>
      <c r="X42">
        <f t="shared" si="34"/>
        <v>1186</v>
      </c>
      <c r="Y42" s="21">
        <f t="shared" si="42"/>
        <v>1335090.0430000001</v>
      </c>
      <c r="Z42">
        <f t="shared" si="7"/>
        <v>4.0475672063058967</v>
      </c>
      <c r="AB42">
        <f t="shared" si="39"/>
        <v>1186</v>
      </c>
      <c r="AC42">
        <f t="shared" si="8"/>
        <v>1084.087980271159</v>
      </c>
      <c r="AF42" s="61"/>
      <c r="AH42" s="21">
        <f t="shared" si="35"/>
        <v>1369225.8659999999</v>
      </c>
      <c r="AI42" s="21">
        <f t="shared" si="36"/>
        <v>9887105</v>
      </c>
      <c r="AJ42" s="21">
        <f t="shared" si="9"/>
        <v>349160146.94350004</v>
      </c>
      <c r="AK42" s="21">
        <f t="shared" si="38"/>
        <v>9276924.8807319999</v>
      </c>
      <c r="AL42" s="21">
        <f t="shared" si="37"/>
        <v>0</v>
      </c>
      <c r="AM42">
        <f t="shared" si="40"/>
        <v>1185</v>
      </c>
      <c r="AN42">
        <f t="shared" si="10"/>
        <v>2035.6979999999999</v>
      </c>
      <c r="AO42">
        <f t="shared" si="11"/>
        <v>495.93660511686187</v>
      </c>
      <c r="AP42">
        <f t="shared" si="12"/>
        <v>1.2553690959938046</v>
      </c>
      <c r="AQ42">
        <f t="shared" si="41"/>
        <v>8.585911702030458E-3</v>
      </c>
      <c r="AR42" s="22">
        <f t="shared" si="13"/>
        <v>255.00551487792305</v>
      </c>
      <c r="AS42" s="22">
        <f t="shared" si="14"/>
        <v>13170743.242875772</v>
      </c>
      <c r="AT42">
        <f t="shared" si="15"/>
        <v>-3415331.7308692303</v>
      </c>
      <c r="AU42">
        <f t="shared" si="16"/>
        <v>102074.28014531304</v>
      </c>
      <c r="AV42">
        <f t="shared" si="17"/>
        <v>16484000.693599688</v>
      </c>
      <c r="AW42">
        <f t="shared" si="18"/>
        <v>3893818.3621437722</v>
      </c>
      <c r="AX42">
        <f t="shared" si="19"/>
        <v>7207075.812867688</v>
      </c>
      <c r="AY42">
        <f t="shared" si="20"/>
        <v>32984999.999999985</v>
      </c>
      <c r="AZ42" s="58"/>
      <c r="BB42">
        <f t="shared" si="21"/>
        <v>-3415331.7308692303</v>
      </c>
      <c r="BC42">
        <f t="shared" si="22"/>
        <v>102074.28014531304</v>
      </c>
      <c r="BD42">
        <f t="shared" si="23"/>
        <v>7207075.812867688</v>
      </c>
      <c r="BE42">
        <f t="shared" si="24"/>
        <v>3893818.3621437722</v>
      </c>
      <c r="BF42">
        <f t="shared" si="25"/>
        <v>-0.87711634524957471</v>
      </c>
      <c r="BG42">
        <f t="shared" si="26"/>
        <v>2.6214443163988584E-2</v>
      </c>
      <c r="BH42">
        <f t="shared" si="27"/>
        <v>1.8509019020855857</v>
      </c>
      <c r="BI42">
        <f t="shared" si="28"/>
        <v>0.99999999999999956</v>
      </c>
      <c r="BJ42" s="56"/>
      <c r="BK42">
        <f t="shared" si="29"/>
        <v>-1113514.6805598678</v>
      </c>
      <c r="BL42">
        <f t="shared" si="30"/>
        <v>0</v>
      </c>
      <c r="BM42">
        <f t="shared" si="31"/>
        <v>3.0945666255968785E-3</v>
      </c>
      <c r="BN42">
        <f t="shared" si="32"/>
        <v>0.71873007227211405</v>
      </c>
      <c r="BO42">
        <f t="shared" si="33"/>
        <v>11309409.183701972</v>
      </c>
      <c r="BT42" s="47" t="s">
        <v>77</v>
      </c>
      <c r="BU42" s="20">
        <f>3*10^-6</f>
        <v>3.0000000000000001E-6</v>
      </c>
    </row>
    <row r="43" spans="1:77" x14ac:dyDescent="0.3">
      <c r="A43" s="6">
        <v>45444</v>
      </c>
      <c r="B43" s="2">
        <v>2212.2802478333333</v>
      </c>
      <c r="C43" s="25">
        <v>1633.1198666666664</v>
      </c>
      <c r="D43" s="2">
        <v>579.16038116666664</v>
      </c>
      <c r="E43" s="2">
        <v>12847.199999999999</v>
      </c>
      <c r="F43" s="2">
        <v>48993.596000000005</v>
      </c>
      <c r="G43" s="3">
        <v>6.5553479200000002E-3</v>
      </c>
      <c r="H43" s="2">
        <v>385416</v>
      </c>
      <c r="I43" s="2">
        <v>17374.811434999996</v>
      </c>
      <c r="J43" s="2">
        <v>3048.3470003815701</v>
      </c>
      <c r="K43" s="4">
        <v>8</v>
      </c>
      <c r="L43" s="2">
        <v>639.11643209999988</v>
      </c>
      <c r="M43" s="4">
        <v>8</v>
      </c>
      <c r="N43" s="3">
        <v>0.19203149908599998</v>
      </c>
      <c r="O43" s="3">
        <v>10.410599999999999</v>
      </c>
      <c r="P43" s="9">
        <v>3.0483470003815701E-3</v>
      </c>
      <c r="Q43" s="2">
        <v>26.179340602705537</v>
      </c>
      <c r="R43" s="2">
        <v>49.479722958078021</v>
      </c>
      <c r="S43" s="63"/>
      <c r="T43">
        <f t="shared" si="0"/>
        <v>1247</v>
      </c>
      <c r="U43" s="20">
        <f t="shared" si="1"/>
        <v>0.35463433700600383</v>
      </c>
      <c r="V43">
        <f t="shared" si="5"/>
        <v>1.0531848296965053E-2</v>
      </c>
      <c r="W43" s="64"/>
      <c r="X43">
        <f t="shared" si="34"/>
        <v>1216</v>
      </c>
      <c r="Y43" s="21">
        <f t="shared" si="42"/>
        <v>1386163.9470000002</v>
      </c>
      <c r="Z43">
        <f t="shared" si="7"/>
        <v>4.2024069940882223</v>
      </c>
      <c r="AB43">
        <f t="shared" si="39"/>
        <v>1216</v>
      </c>
      <c r="AC43">
        <f t="shared" si="8"/>
        <v>1071.1566675595552</v>
      </c>
      <c r="AF43" s="61"/>
      <c r="AH43" s="21">
        <f t="shared" si="35"/>
        <v>1418219.4619999998</v>
      </c>
      <c r="AI43" s="21">
        <f t="shared" si="36"/>
        <v>10272521</v>
      </c>
      <c r="AJ43" s="21">
        <f t="shared" si="9"/>
        <v>362770997.35870004</v>
      </c>
      <c r="AK43" s="21">
        <f t="shared" si="38"/>
        <v>9666571.8807319999</v>
      </c>
      <c r="AL43" s="21">
        <f t="shared" si="37"/>
        <v>0</v>
      </c>
      <c r="AM43">
        <f t="shared" si="40"/>
        <v>1216</v>
      </c>
      <c r="AN43">
        <f t="shared" si="10"/>
        <v>2030.4527999999998</v>
      </c>
      <c r="AO43">
        <f t="shared" si="11"/>
        <v>494.41649721441149</v>
      </c>
      <c r="AP43">
        <f t="shared" si="12"/>
        <v>1.2553690959938046</v>
      </c>
      <c r="AQ43">
        <f t="shared" si="41"/>
        <v>8.6080913971504289E-3</v>
      </c>
      <c r="AR43" s="22">
        <f t="shared" si="13"/>
        <v>255.79327253562965</v>
      </c>
      <c r="AS43" s="22">
        <f t="shared" si="14"/>
        <v>13715155.273654921</v>
      </c>
      <c r="AT43">
        <f t="shared" si="15"/>
        <v>-3415331.7308692303</v>
      </c>
      <c r="AU43">
        <f t="shared" si="16"/>
        <v>103720.04435968105</v>
      </c>
      <c r="AV43">
        <f t="shared" si="17"/>
        <v>17026766.960164472</v>
      </c>
      <c r="AW43">
        <f t="shared" si="18"/>
        <v>4048583.3929229211</v>
      </c>
      <c r="AX43">
        <f t="shared" si="19"/>
        <v>7360195.0794324726</v>
      </c>
      <c r="AY43">
        <f t="shared" si="20"/>
        <v>32985000.000000022</v>
      </c>
      <c r="AZ43" s="58"/>
      <c r="BB43">
        <f t="shared" si="21"/>
        <v>-3415331.7308692303</v>
      </c>
      <c r="BC43">
        <f t="shared" si="22"/>
        <v>103720.04435968105</v>
      </c>
      <c r="BD43">
        <f t="shared" si="23"/>
        <v>7360195.0794324726</v>
      </c>
      <c r="BE43">
        <f t="shared" si="24"/>
        <v>4048583.3929229211</v>
      </c>
      <c r="BF43">
        <f t="shared" si="25"/>
        <v>-0.84358685480935403</v>
      </c>
      <c r="BG43">
        <f t="shared" si="26"/>
        <v>2.5618848444862879E-2</v>
      </c>
      <c r="BH43">
        <f t="shared" si="27"/>
        <v>1.8179680063644916</v>
      </c>
      <c r="BI43">
        <f t="shared" si="28"/>
        <v>1.0000000000000004</v>
      </c>
      <c r="BJ43" s="56"/>
      <c r="BK43">
        <f t="shared" si="29"/>
        <v>-1132762.2789037109</v>
      </c>
      <c r="BL43">
        <f t="shared" si="30"/>
        <v>0</v>
      </c>
      <c r="BM43">
        <f t="shared" si="31"/>
        <v>3.1444609476938322E-3</v>
      </c>
      <c r="BN43">
        <f t="shared" si="32"/>
        <v>0.73393944755621343</v>
      </c>
      <c r="BO43">
        <f t="shared" si="33"/>
        <v>11577799.356859859</v>
      </c>
      <c r="BT43" s="47" t="s">
        <v>78</v>
      </c>
      <c r="BU43">
        <v>0.93</v>
      </c>
    </row>
    <row r="44" spans="1:77" x14ac:dyDescent="0.3">
      <c r="A44" s="6">
        <v>45474</v>
      </c>
      <c r="B44" s="2">
        <v>2811.703133612903</v>
      </c>
      <c r="C44" s="2">
        <v>1464.0854838709677</v>
      </c>
      <c r="D44" s="2">
        <v>1347.6176497419356</v>
      </c>
      <c r="E44" s="2">
        <v>11204.096774193547</v>
      </c>
      <c r="F44" s="2">
        <v>45386.649999999994</v>
      </c>
      <c r="G44" s="3">
        <v>6.0727381949999999E-3</v>
      </c>
      <c r="H44" s="2">
        <v>347327</v>
      </c>
      <c r="I44" s="2">
        <v>41776.147141999994</v>
      </c>
      <c r="J44" s="2">
        <v>7357.9440001271905</v>
      </c>
      <c r="K44" s="4">
        <v>8</v>
      </c>
      <c r="L44" s="2">
        <v>1492.9031023225807</v>
      </c>
      <c r="M44" s="4">
        <v>8</v>
      </c>
      <c r="N44" s="3">
        <v>0.19810423728099999</v>
      </c>
      <c r="O44" s="3">
        <v>10.757926999999999</v>
      </c>
      <c r="P44" s="9">
        <v>1.0406291000508761E-2</v>
      </c>
      <c r="Q44" s="2">
        <v>47.928873913879791</v>
      </c>
      <c r="R44" s="2">
        <v>48.133478998780483</v>
      </c>
      <c r="S44" s="63"/>
      <c r="T44">
        <f t="shared" si="0"/>
        <v>1277</v>
      </c>
      <c r="U44" s="20">
        <f t="shared" si="1"/>
        <v>0.92045011345847305</v>
      </c>
      <c r="V44">
        <f t="shared" si="5"/>
        <v>1.3562058688720508E-2</v>
      </c>
      <c r="W44" s="64"/>
      <c r="X44" s="24">
        <f t="shared" si="34"/>
        <v>1247</v>
      </c>
      <c r="Y44" s="21">
        <f t="shared" si="42"/>
        <v>1435157.5430000001</v>
      </c>
      <c r="Z44">
        <f t="shared" si="7"/>
        <v>4.3509399514931033</v>
      </c>
      <c r="AB44" s="24">
        <f t="shared" si="39"/>
        <v>1247</v>
      </c>
      <c r="AC44">
        <f t="shared" si="8"/>
        <v>1057.9563360768234</v>
      </c>
      <c r="AF44" s="61"/>
      <c r="AH44" s="21">
        <f t="shared" si="35"/>
        <v>1463606.1119999997</v>
      </c>
      <c r="AI44" s="21">
        <f t="shared" si="36"/>
        <v>10619848</v>
      </c>
      <c r="AJ44" s="21">
        <f t="shared" si="9"/>
        <v>375036746.1656</v>
      </c>
      <c r="AK44" s="21">
        <f t="shared" si="38"/>
        <v>10051987.880732</v>
      </c>
      <c r="AL44" s="21">
        <f t="shared" si="37"/>
        <v>3048.3470003815701</v>
      </c>
      <c r="AM44">
        <f t="shared" si="40"/>
        <v>1246</v>
      </c>
      <c r="AN44">
        <f t="shared" si="10"/>
        <v>2025.3767999999998</v>
      </c>
      <c r="AO44">
        <f t="shared" si="11"/>
        <v>492.9461810697274</v>
      </c>
      <c r="AP44">
        <f t="shared" si="12"/>
        <v>1.2553690959938046</v>
      </c>
      <c r="AQ44">
        <f t="shared" si="41"/>
        <v>8.6296649986313655E-3</v>
      </c>
      <c r="AR44" s="22">
        <f t="shared" si="13"/>
        <v>256.24158241121097</v>
      </c>
      <c r="AS44" s="22">
        <f t="shared" si="14"/>
        <v>14241665.113474667</v>
      </c>
      <c r="AT44">
        <f t="shared" si="15"/>
        <v>-3415331.7308692303</v>
      </c>
      <c r="AU44">
        <f t="shared" si="16"/>
        <v>105312.71940584364</v>
      </c>
      <c r="AV44">
        <f t="shared" si="17"/>
        <v>17551684.124938052</v>
      </c>
      <c r="AW44">
        <f t="shared" si="18"/>
        <v>4189677.2327426672</v>
      </c>
      <c r="AX44">
        <f t="shared" si="19"/>
        <v>7499696.2442060523</v>
      </c>
      <c r="AY44">
        <f t="shared" si="20"/>
        <v>32984999.999999985</v>
      </c>
      <c r="AZ44" s="58"/>
      <c r="BB44">
        <f t="shared" si="21"/>
        <v>-3415331.7308692303</v>
      </c>
      <c r="BC44">
        <f t="shared" si="22"/>
        <v>105312.71940584364</v>
      </c>
      <c r="BD44">
        <f t="shared" si="23"/>
        <v>7499696.2442060523</v>
      </c>
      <c r="BE44">
        <f t="shared" si="24"/>
        <v>4189677.2327426672</v>
      </c>
      <c r="BF44">
        <f t="shared" si="25"/>
        <v>-0.81517776695973998</v>
      </c>
      <c r="BG44">
        <f t="shared" si="26"/>
        <v>2.5136236887848114E-2</v>
      </c>
      <c r="BH44">
        <f t="shared" si="27"/>
        <v>1.7900415300718915</v>
      </c>
      <c r="BI44">
        <f t="shared" si="28"/>
        <v>0.99999999999999967</v>
      </c>
      <c r="BJ44" s="56"/>
      <c r="BK44">
        <f t="shared" si="29"/>
        <v>-1152315.085645806</v>
      </c>
      <c r="BL44">
        <f t="shared" si="30"/>
        <v>19143.619162396262</v>
      </c>
      <c r="BM44">
        <f t="shared" si="31"/>
        <v>3.1927457755295935E-3</v>
      </c>
      <c r="BN44">
        <f t="shared" si="32"/>
        <v>0.7487266795187244</v>
      </c>
      <c r="BO44">
        <f t="shared" si="33"/>
        <v>11810479.789704219</v>
      </c>
      <c r="BT44" s="47" t="s">
        <v>79</v>
      </c>
      <c r="BU44">
        <v>0.4</v>
      </c>
    </row>
    <row r="45" spans="1:77" x14ac:dyDescent="0.3">
      <c r="A45" s="6">
        <v>45505</v>
      </c>
      <c r="B45" s="2">
        <v>2471.4889845806447</v>
      </c>
      <c r="C45" s="2">
        <v>1132.7129677419355</v>
      </c>
      <c r="D45" s="2">
        <v>1338.7760168387097</v>
      </c>
      <c r="E45" s="2">
        <v>8183.2903225806449</v>
      </c>
      <c r="F45" s="2">
        <v>35114.101999999999</v>
      </c>
      <c r="G45" s="3">
        <v>4.6982702740000007E-3</v>
      </c>
      <c r="H45" s="2">
        <v>253682</v>
      </c>
      <c r="I45" s="2">
        <v>41502.056521999999</v>
      </c>
      <c r="J45" s="2">
        <v>8146.8549996820257</v>
      </c>
      <c r="K45" s="4">
        <v>8</v>
      </c>
      <c r="L45" s="2">
        <v>1652.9705992580646</v>
      </c>
      <c r="M45" s="4">
        <v>8</v>
      </c>
      <c r="N45" s="3">
        <v>0.20280250755499998</v>
      </c>
      <c r="O45" s="3">
        <v>11.011608999999998</v>
      </c>
      <c r="P45" s="9">
        <v>1.8553146000190784E-2</v>
      </c>
      <c r="Q45" s="2">
        <v>54.168803712708801</v>
      </c>
      <c r="R45" s="2">
        <v>45.440690569276128</v>
      </c>
      <c r="S45" s="63"/>
      <c r="T45">
        <f t="shared" si="0"/>
        <v>1308</v>
      </c>
      <c r="U45" s="20">
        <f t="shared" si="1"/>
        <v>1.1819199170179548</v>
      </c>
      <c r="V45">
        <f t="shared" si="5"/>
        <v>4.7833611689220771E-4</v>
      </c>
      <c r="W45" s="64"/>
      <c r="X45">
        <f t="shared" si="34"/>
        <v>1277</v>
      </c>
      <c r="Y45" s="21">
        <f t="shared" si="42"/>
        <v>1480544.193</v>
      </c>
      <c r="Z45">
        <f t="shared" si="7"/>
        <v>4.4885377989995456</v>
      </c>
      <c r="AB45">
        <f t="shared" si="39"/>
        <v>1277</v>
      </c>
      <c r="AC45">
        <f t="shared" si="8"/>
        <v>1045.3367291205591</v>
      </c>
      <c r="AF45" s="61"/>
      <c r="AH45" s="21">
        <f t="shared" si="35"/>
        <v>1498720.2139999997</v>
      </c>
      <c r="AI45" s="21">
        <f t="shared" si="36"/>
        <v>10873530</v>
      </c>
      <c r="AJ45" s="21">
        <f t="shared" si="9"/>
        <v>383995449.89100003</v>
      </c>
      <c r="AK45" s="21">
        <f t="shared" si="38"/>
        <v>10399314.880732</v>
      </c>
      <c r="AL45" s="21">
        <f t="shared" si="37"/>
        <v>10406.291000508761</v>
      </c>
      <c r="AM45">
        <f t="shared" si="40"/>
        <v>1277</v>
      </c>
      <c r="AN45">
        <f t="shared" si="10"/>
        <v>2020.1315999999997</v>
      </c>
      <c r="AO45">
        <f t="shared" si="11"/>
        <v>491.42763717787841</v>
      </c>
      <c r="AP45">
        <f t="shared" si="12"/>
        <v>1.2553690959938046</v>
      </c>
      <c r="AQ45">
        <f t="shared" si="41"/>
        <v>8.652071617512443E-3</v>
      </c>
      <c r="AR45" s="22">
        <f t="shared" si="13"/>
        <v>256.21556732469622</v>
      </c>
      <c r="AS45" s="22">
        <f t="shared" si="14"/>
        <v>14695425.630354755</v>
      </c>
      <c r="AT45">
        <f t="shared" si="15"/>
        <v>-3415331.7308692303</v>
      </c>
      <c r="AU45">
        <f t="shared" si="16"/>
        <v>106958.48362021164</v>
      </c>
      <c r="AV45">
        <f t="shared" si="17"/>
        <v>18003798.877603773</v>
      </c>
      <c r="AW45">
        <f t="shared" si="18"/>
        <v>4296110.7496227538</v>
      </c>
      <c r="AX45">
        <f t="shared" si="19"/>
        <v>7604483.9968717732</v>
      </c>
      <c r="AY45">
        <f t="shared" si="20"/>
        <v>32985000.000000007</v>
      </c>
      <c r="AZ45" s="58"/>
      <c r="BB45">
        <f t="shared" si="21"/>
        <v>-3415331.7308692303</v>
      </c>
      <c r="BC45">
        <f t="shared" si="22"/>
        <v>106958.48362021164</v>
      </c>
      <c r="BD45">
        <f t="shared" si="23"/>
        <v>7604483.9968717732</v>
      </c>
      <c r="BE45">
        <f t="shared" si="24"/>
        <v>4296110.7496227538</v>
      </c>
      <c r="BF45">
        <f t="shared" si="25"/>
        <v>-0.79498223623986752</v>
      </c>
      <c r="BG45">
        <f t="shared" si="26"/>
        <v>2.4896584341919905E-2</v>
      </c>
      <c r="BH45">
        <f t="shared" si="27"/>
        <v>1.7700856518979478</v>
      </c>
      <c r="BI45">
        <f t="shared" si="28"/>
        <v>1</v>
      </c>
      <c r="BJ45" s="56"/>
      <c r="BK45">
        <f t="shared" si="29"/>
        <v>-1168556.0140758227</v>
      </c>
      <c r="BL45">
        <f t="shared" si="30"/>
        <v>65351.507483195026</v>
      </c>
      <c r="BM45">
        <f t="shared" si="31"/>
        <v>3.2426400976265468E-3</v>
      </c>
      <c r="BN45">
        <f t="shared" si="32"/>
        <v>0.76407811531294478</v>
      </c>
      <c r="BO45">
        <f t="shared" si="33"/>
        <v>11944688.442930017</v>
      </c>
      <c r="BT45" s="62" t="s">
        <v>82</v>
      </c>
      <c r="BU45" s="62"/>
      <c r="BV45" s="62"/>
      <c r="BW45" s="55">
        <f>0.0125*$BU$39 - (0.00091*($BV$40-460))</f>
        <v>0.26363200000000009</v>
      </c>
    </row>
    <row r="46" spans="1:77" x14ac:dyDescent="0.3">
      <c r="A46" s="6">
        <v>45536</v>
      </c>
      <c r="B46" s="2">
        <v>1904.065187566667</v>
      </c>
      <c r="C46" s="2">
        <v>976.39013333333332</v>
      </c>
      <c r="D46" s="2">
        <v>927.6750542333333</v>
      </c>
      <c r="E46" s="2">
        <v>6863.6</v>
      </c>
      <c r="F46" s="2">
        <v>29291.703999999998</v>
      </c>
      <c r="G46" s="3">
        <v>3.9192328570000004E-3</v>
      </c>
      <c r="H46" s="2">
        <v>205908</v>
      </c>
      <c r="I46" s="2">
        <v>27830.251626999998</v>
      </c>
      <c r="J46" s="2">
        <v>8024.946999586633</v>
      </c>
      <c r="K46" s="4">
        <v>8</v>
      </c>
      <c r="L46" s="2">
        <v>1682.5103879333333</v>
      </c>
      <c r="M46" s="4">
        <v>8</v>
      </c>
      <c r="N46" s="3">
        <v>0.20672174041199998</v>
      </c>
      <c r="O46" s="3">
        <v>11.217516999999999</v>
      </c>
      <c r="P46" s="9">
        <v>2.6578092999777418E-2</v>
      </c>
      <c r="Q46" s="2">
        <v>48.720761258120149</v>
      </c>
      <c r="R46" s="2">
        <v>44.214571415852078</v>
      </c>
      <c r="S46" s="63"/>
      <c r="T46">
        <f t="shared" si="0"/>
        <v>1339</v>
      </c>
      <c r="U46" s="20">
        <f t="shared" si="1"/>
        <v>0.95010695270578993</v>
      </c>
      <c r="V46">
        <f t="shared" si="5"/>
        <v>-1.9770093539550069E-3</v>
      </c>
      <c r="W46" s="64"/>
      <c r="X46">
        <f t="shared" si="34"/>
        <v>1308</v>
      </c>
      <c r="Y46" s="21">
        <f t="shared" si="42"/>
        <v>1515658.2949999999</v>
      </c>
      <c r="Z46">
        <f t="shared" si="7"/>
        <v>4.5949925572229802</v>
      </c>
      <c r="AB46">
        <f t="shared" si="39"/>
        <v>1308</v>
      </c>
      <c r="AC46">
        <f t="shared" si="8"/>
        <v>1032.454588017051</v>
      </c>
      <c r="AF46" s="61"/>
      <c r="AH46" s="21">
        <f t="shared" si="35"/>
        <v>1528011.9179999996</v>
      </c>
      <c r="AI46" s="21">
        <f t="shared" si="36"/>
        <v>11079438</v>
      </c>
      <c r="AJ46" s="21">
        <f t="shared" si="9"/>
        <v>391267029.13860005</v>
      </c>
      <c r="AK46" s="21">
        <f t="shared" si="38"/>
        <v>10652996.880732</v>
      </c>
      <c r="AL46" s="21">
        <f t="shared" si="37"/>
        <v>18553.146000190787</v>
      </c>
      <c r="AM46">
        <f t="shared" si="40"/>
        <v>1308</v>
      </c>
      <c r="AN46">
        <f t="shared" si="10"/>
        <v>2014.8863999999999</v>
      </c>
      <c r="AO46">
        <f t="shared" si="11"/>
        <v>489.9098905140911</v>
      </c>
      <c r="AP46">
        <f t="shared" si="12"/>
        <v>1.2553690959938046</v>
      </c>
      <c r="AQ46">
        <f t="shared" si="41"/>
        <v>8.6745948952754847E-3</v>
      </c>
      <c r="AR46" s="22">
        <f t="shared" si="13"/>
        <v>256.06281242277601</v>
      </c>
      <c r="AS46" s="22">
        <f t="shared" si="14"/>
        <v>15037456.887688521</v>
      </c>
      <c r="AT46">
        <f t="shared" si="15"/>
        <v>-3415331.7308692303</v>
      </c>
      <c r="AU46">
        <f t="shared" si="16"/>
        <v>108604.2478345796</v>
      </c>
      <c r="AV46">
        <f t="shared" si="17"/>
        <v>18344184.370723173</v>
      </c>
      <c r="AW46">
        <f t="shared" si="18"/>
        <v>4384460.0069565205</v>
      </c>
      <c r="AX46">
        <f t="shared" si="19"/>
        <v>7691187.4899911731</v>
      </c>
      <c r="AY46">
        <f t="shared" si="20"/>
        <v>32985000.000000019</v>
      </c>
      <c r="AZ46" s="58"/>
      <c r="BB46">
        <f t="shared" si="21"/>
        <v>-3415331.7308692303</v>
      </c>
      <c r="BC46">
        <f t="shared" si="22"/>
        <v>108604.2478345796</v>
      </c>
      <c r="BD46">
        <f t="shared" si="23"/>
        <v>7691187.4899911731</v>
      </c>
      <c r="BE46">
        <f t="shared" si="24"/>
        <v>4384460.0069565205</v>
      </c>
      <c r="BF46">
        <f t="shared" si="25"/>
        <v>-0.77896291115675798</v>
      </c>
      <c r="BG46">
        <f t="shared" si="26"/>
        <v>2.4770267641229415E-2</v>
      </c>
      <c r="BH46">
        <f t="shared" si="27"/>
        <v>1.7541926435155291</v>
      </c>
      <c r="BI46">
        <f t="shared" si="28"/>
        <v>1.0000000000000004</v>
      </c>
      <c r="BJ46" s="56"/>
      <c r="BK46">
        <f t="shared" si="29"/>
        <v>-1181397.0434230904</v>
      </c>
      <c r="BL46">
        <f t="shared" si="30"/>
        <v>116513.75688119815</v>
      </c>
      <c r="BM46">
        <f t="shared" si="31"/>
        <v>3.2925344197234983E-3</v>
      </c>
      <c r="BN46">
        <f t="shared" si="32"/>
        <v>0.77950256191922163</v>
      </c>
      <c r="BO46">
        <f t="shared" si="33"/>
        <v>11950874.659512457</v>
      </c>
      <c r="BT46" s="47" t="s">
        <v>93</v>
      </c>
      <c r="BU46">
        <f>0.9759 + (0.00012*(((BU47*($BU$38/$BU$37)^0.5)) + (1.25*(($BV$40-460))))^1.2)</f>
        <v>1.3589110614589928</v>
      </c>
    </row>
    <row r="47" spans="1:77" x14ac:dyDescent="0.3">
      <c r="A47" s="6">
        <v>45566</v>
      </c>
      <c r="B47" s="2">
        <v>1785.4834379032261</v>
      </c>
      <c r="C47" s="2">
        <v>866.18351612903234</v>
      </c>
      <c r="D47" s="2">
        <v>919.29992177419354</v>
      </c>
      <c r="E47" s="2">
        <v>7016.6774193548381</v>
      </c>
      <c r="F47" s="2">
        <v>26851.689000000002</v>
      </c>
      <c r="G47" s="3">
        <v>3.5927586089999999E-3</v>
      </c>
      <c r="H47" s="2">
        <v>217517</v>
      </c>
      <c r="I47" s="2">
        <v>28498.297575000001</v>
      </c>
      <c r="J47" s="2">
        <v>9408.3509995548338</v>
      </c>
      <c r="K47" s="4">
        <v>8</v>
      </c>
      <c r="L47" s="2">
        <v>1908.9240682903223</v>
      </c>
      <c r="M47" s="4">
        <v>8</v>
      </c>
      <c r="N47" s="3">
        <v>0.21031449902099997</v>
      </c>
      <c r="O47" s="3">
        <v>11.435034</v>
      </c>
      <c r="P47" s="9">
        <v>3.5986443999332249E-2</v>
      </c>
      <c r="Q47" s="2">
        <v>51.487451648040441</v>
      </c>
      <c r="R47" s="2">
        <v>50.95167110716946</v>
      </c>
      <c r="S47" s="63"/>
      <c r="T47">
        <f t="shared" si="0"/>
        <v>1369</v>
      </c>
      <c r="U47" s="20">
        <f t="shared" si="1"/>
        <v>1.0613223464266994</v>
      </c>
      <c r="V47">
        <f t="shared" si="5"/>
        <v>1.7895610554096765E-3</v>
      </c>
      <c r="W47" s="64"/>
      <c r="X47">
        <f t="shared" si="34"/>
        <v>1339</v>
      </c>
      <c r="Y47" s="21">
        <f t="shared" si="42"/>
        <v>1544949.9989999998</v>
      </c>
      <c r="Z47">
        <f t="shared" si="7"/>
        <v>4.6837956616643925</v>
      </c>
      <c r="AB47">
        <f t="shared" si="39"/>
        <v>1339</v>
      </c>
      <c r="AC47">
        <f t="shared" si="8"/>
        <v>1019.7311991651262</v>
      </c>
      <c r="AF47" s="61"/>
      <c r="AH47" s="21">
        <f t="shared" si="35"/>
        <v>1554863.6069999996</v>
      </c>
      <c r="AI47" s="21">
        <f t="shared" si="36"/>
        <v>11296955</v>
      </c>
      <c r="AJ47" s="21">
        <f t="shared" si="9"/>
        <v>398948576.7385</v>
      </c>
      <c r="AK47" s="21">
        <f t="shared" si="38"/>
        <v>10858904.880732</v>
      </c>
      <c r="AL47" s="21">
        <f t="shared" si="37"/>
        <v>26578.092999777422</v>
      </c>
      <c r="AM47">
        <f t="shared" si="40"/>
        <v>1338</v>
      </c>
      <c r="AN47">
        <f t="shared" si="10"/>
        <v>2009.8103999999998</v>
      </c>
      <c r="AO47">
        <f t="shared" si="11"/>
        <v>488.44186402197232</v>
      </c>
      <c r="AP47">
        <f t="shared" si="12"/>
        <v>1.2553690959938046</v>
      </c>
      <c r="AQ47">
        <f t="shared" si="41"/>
        <v>8.6965035507827002E-3</v>
      </c>
      <c r="AR47" s="22">
        <f t="shared" si="13"/>
        <v>256.58107562774802</v>
      </c>
      <c r="AS47" s="22">
        <f t="shared" si="14"/>
        <v>15333758.934083246</v>
      </c>
      <c r="AT47">
        <f t="shared" si="15"/>
        <v>-3415331.7308692303</v>
      </c>
      <c r="AU47">
        <f t="shared" si="16"/>
        <v>110196.92288074218</v>
      </c>
      <c r="AV47">
        <f t="shared" si="17"/>
        <v>18638893.742071733</v>
      </c>
      <c r="AW47">
        <f t="shared" si="18"/>
        <v>4474854.0533512449</v>
      </c>
      <c r="AX47">
        <f t="shared" si="19"/>
        <v>7779988.861339733</v>
      </c>
      <c r="AY47">
        <f t="shared" si="20"/>
        <v>32985000</v>
      </c>
      <c r="AZ47" s="58"/>
      <c r="BB47">
        <f t="shared" si="21"/>
        <v>-3415331.7308692303</v>
      </c>
      <c r="BC47">
        <f t="shared" si="22"/>
        <v>110196.92288074218</v>
      </c>
      <c r="BD47">
        <f t="shared" si="23"/>
        <v>7779988.861339733</v>
      </c>
      <c r="BE47">
        <f t="shared" si="24"/>
        <v>4474854.0533512449</v>
      </c>
      <c r="BF47">
        <f t="shared" si="25"/>
        <v>-0.76322751315463977</v>
      </c>
      <c r="BG47">
        <f t="shared" si="26"/>
        <v>2.4625813840389955E-2</v>
      </c>
      <c r="BH47">
        <f t="shared" si="27"/>
        <v>1.7386016993142499</v>
      </c>
      <c r="BI47">
        <f t="shared" si="28"/>
        <v>1</v>
      </c>
      <c r="BJ47" s="56"/>
      <c r="BK47">
        <f t="shared" si="29"/>
        <v>-1183265.3130812054</v>
      </c>
      <c r="BL47">
        <f t="shared" si="30"/>
        <v>166910.42403860221</v>
      </c>
      <c r="BM47">
        <f t="shared" si="31"/>
        <v>3.3408192475592596E-3</v>
      </c>
      <c r="BN47">
        <f t="shared" si="32"/>
        <v>0.79449948682012761</v>
      </c>
      <c r="BO47">
        <f t="shared" si="33"/>
        <v>11918085.701232417</v>
      </c>
      <c r="BT47" s="47" t="s">
        <v>94</v>
      </c>
      <c r="BU47">
        <f>$BU$38*((($BV$34/18.2) + 1.4)*10^$BW$45)^1.2048</f>
        <v>591.70652056367987</v>
      </c>
    </row>
    <row r="48" spans="1:77" x14ac:dyDescent="0.3">
      <c r="A48" s="6">
        <v>45597</v>
      </c>
      <c r="B48" s="2">
        <v>1782.1230257333334</v>
      </c>
      <c r="C48" s="2">
        <v>865.41486666666663</v>
      </c>
      <c r="D48" s="2">
        <v>916.70815906666678</v>
      </c>
      <c r="E48" s="2">
        <v>6691.9000000000005</v>
      </c>
      <c r="F48" s="2">
        <v>25962.445999999996</v>
      </c>
      <c r="G48" s="3">
        <v>3.4737778060000002E-3</v>
      </c>
      <c r="H48" s="2">
        <v>200757</v>
      </c>
      <c r="I48" s="2">
        <v>27501.244772000002</v>
      </c>
      <c r="J48" s="2">
        <v>7987.8360005087616</v>
      </c>
      <c r="K48" s="4">
        <v>8</v>
      </c>
      <c r="L48" s="2">
        <v>1674.7296958666666</v>
      </c>
      <c r="M48" s="4">
        <v>8</v>
      </c>
      <c r="N48" s="3">
        <v>0.21378827682699997</v>
      </c>
      <c r="O48" s="3">
        <v>11.635790999999999</v>
      </c>
      <c r="P48" s="9">
        <v>4.3974279999841007E-2</v>
      </c>
      <c r="Q48" s="2">
        <v>51.43910638208866</v>
      </c>
      <c r="R48" s="2">
        <v>48.636456618917961</v>
      </c>
      <c r="S48" s="63"/>
      <c r="T48">
        <f t="shared" si="0"/>
        <v>1400</v>
      </c>
      <c r="U48" s="20">
        <f t="shared" si="1"/>
        <v>1.0592701770857802</v>
      </c>
      <c r="V48">
        <f t="shared" si="5"/>
        <v>1.8971451815734783E-3</v>
      </c>
      <c r="W48" s="64"/>
      <c r="X48">
        <f t="shared" si="34"/>
        <v>1369</v>
      </c>
      <c r="Y48" s="21">
        <f t="shared" si="42"/>
        <v>1571801.6879999998</v>
      </c>
      <c r="Z48">
        <f t="shared" si="7"/>
        <v>4.7652014188267389</v>
      </c>
      <c r="AB48">
        <f t="shared" si="39"/>
        <v>1369</v>
      </c>
      <c r="AC48">
        <f t="shared" si="8"/>
        <v>1007.5675526178367</v>
      </c>
      <c r="AF48" s="61"/>
      <c r="AH48" s="21">
        <f t="shared" si="35"/>
        <v>1580826.0529999996</v>
      </c>
      <c r="AI48" s="21">
        <f t="shared" si="36"/>
        <v>11497712</v>
      </c>
      <c r="AJ48" s="21">
        <f t="shared" si="9"/>
        <v>406038249.96640003</v>
      </c>
      <c r="AK48" s="21">
        <f t="shared" si="38"/>
        <v>11076421.880732</v>
      </c>
      <c r="AL48" s="21">
        <f t="shared" si="37"/>
        <v>35986.443999332259</v>
      </c>
      <c r="AM48">
        <f t="shared" si="40"/>
        <v>1369</v>
      </c>
      <c r="AN48">
        <f t="shared" si="10"/>
        <v>2004.5651999999998</v>
      </c>
      <c r="AO48">
        <f t="shared" si="11"/>
        <v>486.92569086170852</v>
      </c>
      <c r="AP48">
        <f t="shared" si="12"/>
        <v>1.2553690959938046</v>
      </c>
      <c r="AQ48">
        <f t="shared" si="41"/>
        <v>8.7192590592713066E-3</v>
      </c>
      <c r="AR48" s="22">
        <f t="shared" si="13"/>
        <v>256.85194724355932</v>
      </c>
      <c r="AS48" s="22">
        <f t="shared" si="14"/>
        <v>15636440.511377599</v>
      </c>
      <c r="AT48">
        <f t="shared" si="15"/>
        <v>-3415331.7308692303</v>
      </c>
      <c r="AU48">
        <f t="shared" si="16"/>
        <v>111842.6870951102</v>
      </c>
      <c r="AV48">
        <f t="shared" si="17"/>
        <v>18939929.55515172</v>
      </c>
      <c r="AW48">
        <f t="shared" si="18"/>
        <v>4560018.6306456001</v>
      </c>
      <c r="AX48">
        <f t="shared" si="19"/>
        <v>7863507.6744197197</v>
      </c>
      <c r="AY48">
        <f t="shared" si="20"/>
        <v>32984999.999999996</v>
      </c>
      <c r="AZ48" s="58"/>
      <c r="BB48">
        <f t="shared" si="21"/>
        <v>-3415331.7308692303</v>
      </c>
      <c r="BC48">
        <f t="shared" si="22"/>
        <v>111842.6870951102</v>
      </c>
      <c r="BD48">
        <f t="shared" si="23"/>
        <v>7863507.6744197197</v>
      </c>
      <c r="BE48">
        <f t="shared" si="24"/>
        <v>4560018.6306456001</v>
      </c>
      <c r="BF48">
        <f t="shared" si="25"/>
        <v>-0.74897319671382423</v>
      </c>
      <c r="BG48">
        <f t="shared" si="26"/>
        <v>2.4526804856337986E-2</v>
      </c>
      <c r="BH48">
        <f t="shared" si="27"/>
        <v>1.7244463918574862</v>
      </c>
      <c r="BI48">
        <f t="shared" si="28"/>
        <v>0.99999999999999989</v>
      </c>
      <c r="BJ48" s="56"/>
      <c r="BK48">
        <f t="shared" si="29"/>
        <v>-1186731.6150713211</v>
      </c>
      <c r="BL48">
        <f t="shared" si="30"/>
        <v>225994.86831580661</v>
      </c>
      <c r="BM48">
        <f t="shared" si="31"/>
        <v>3.3907135696562133E-3</v>
      </c>
      <c r="BN48">
        <f t="shared" si="32"/>
        <v>0.81006923315168966</v>
      </c>
      <c r="BO48">
        <f t="shared" si="33"/>
        <v>11879743.355889177</v>
      </c>
      <c r="BT48" s="49" t="s">
        <v>42</v>
      </c>
      <c r="BU48" s="49" t="s">
        <v>72</v>
      </c>
    </row>
    <row r="49" spans="1:74" x14ac:dyDescent="0.3">
      <c r="A49" s="6">
        <v>45627</v>
      </c>
      <c r="B49" s="2">
        <v>1818.8874656451615</v>
      </c>
      <c r="C49" s="2">
        <v>835.48332258064511</v>
      </c>
      <c r="D49" s="2">
        <v>983.40414306451635</v>
      </c>
      <c r="E49" s="2">
        <v>5626.0645161290322</v>
      </c>
      <c r="F49" s="2">
        <v>25899.983</v>
      </c>
      <c r="G49" s="3">
        <v>3.4654202529999997E-3</v>
      </c>
      <c r="H49" s="2">
        <v>174408</v>
      </c>
      <c r="I49" s="2">
        <v>30485.528435000004</v>
      </c>
      <c r="J49" s="2">
        <v>7064.3980002543803</v>
      </c>
      <c r="K49" s="4">
        <v>8</v>
      </c>
      <c r="L49" s="2">
        <v>1433.3435658709677</v>
      </c>
      <c r="M49" s="4">
        <v>8</v>
      </c>
      <c r="N49" s="3">
        <v>0.21725369707999997</v>
      </c>
      <c r="O49" s="3">
        <v>11.810198999999999</v>
      </c>
      <c r="P49" s="9">
        <v>5.1038678000095386E-2</v>
      </c>
      <c r="Q49" s="2">
        <v>54.066244429019783</v>
      </c>
      <c r="R49" s="2">
        <v>42.354909592025599</v>
      </c>
      <c r="S49" s="63"/>
      <c r="T49">
        <f t="shared" si="0"/>
        <v>1430</v>
      </c>
      <c r="U49" s="20">
        <f t="shared" si="1"/>
        <v>1.1770482025026816</v>
      </c>
      <c r="V49">
        <f t="shared" si="5"/>
        <v>9.6063653652858215E-4</v>
      </c>
      <c r="W49" s="64"/>
      <c r="X49">
        <f t="shared" si="34"/>
        <v>1400</v>
      </c>
      <c r="Y49" s="21">
        <f t="shared" si="42"/>
        <v>1597764.1339999998</v>
      </c>
      <c r="Z49">
        <f t="shared" si="7"/>
        <v>4.8439112748218882</v>
      </c>
      <c r="AB49">
        <f t="shared" si="39"/>
        <v>1400</v>
      </c>
      <c r="AC49">
        <f t="shared" si="8"/>
        <v>995.15085757349516</v>
      </c>
      <c r="AF49" s="61"/>
      <c r="AH49" s="21">
        <f t="shared" si="35"/>
        <v>1606726.0359999996</v>
      </c>
      <c r="AI49" s="21">
        <f t="shared" si="36"/>
        <v>11672120</v>
      </c>
      <c r="AJ49" s="21">
        <f t="shared" si="9"/>
        <v>412197416.16400003</v>
      </c>
      <c r="AK49" s="21">
        <f t="shared" si="38"/>
        <v>11277178.880732</v>
      </c>
      <c r="AL49" s="21">
        <f t="shared" si="37"/>
        <v>43974.279999841019</v>
      </c>
      <c r="AM49">
        <f t="shared" si="40"/>
        <v>1399</v>
      </c>
      <c r="AN49">
        <f t="shared" si="10"/>
        <v>1999.4891999999998</v>
      </c>
      <c r="AO49">
        <f t="shared" si="11"/>
        <v>485.45919018835093</v>
      </c>
      <c r="AP49">
        <f t="shared" si="12"/>
        <v>1.2553690959938046</v>
      </c>
      <c r="AQ49">
        <f t="shared" si="41"/>
        <v>8.7413941920766562E-3</v>
      </c>
      <c r="AR49" s="22">
        <f t="shared" si="13"/>
        <v>256.54492858669289</v>
      </c>
      <c r="AS49" s="22">
        <f t="shared" si="14"/>
        <v>15914241.396945611</v>
      </c>
      <c r="AT49">
        <f t="shared" si="15"/>
        <v>-3415331.7308692303</v>
      </c>
      <c r="AU49">
        <f t="shared" si="16"/>
        <v>113435.36214127277</v>
      </c>
      <c r="AV49">
        <f t="shared" si="17"/>
        <v>19216137.765673567</v>
      </c>
      <c r="AW49">
        <f t="shared" si="18"/>
        <v>4637062.5162136108</v>
      </c>
      <c r="AX49">
        <f t="shared" si="19"/>
        <v>7938958.8849415667</v>
      </c>
      <c r="AY49">
        <f t="shared" si="20"/>
        <v>32984999.999999981</v>
      </c>
      <c r="AZ49" s="58"/>
      <c r="BB49">
        <f t="shared" si="21"/>
        <v>-3415331.7308692303</v>
      </c>
      <c r="BC49">
        <f t="shared" si="22"/>
        <v>113435.36214127277</v>
      </c>
      <c r="BD49">
        <f t="shared" si="23"/>
        <v>7938958.8849415667</v>
      </c>
      <c r="BE49">
        <f t="shared" si="24"/>
        <v>4637062.5162136108</v>
      </c>
      <c r="BF49">
        <f t="shared" si="25"/>
        <v>-0.73652915373200889</v>
      </c>
      <c r="BG49">
        <f t="shared" si="26"/>
        <v>2.4462763170572544E-2</v>
      </c>
      <c r="BH49">
        <f t="shared" si="27"/>
        <v>1.7120663905614359</v>
      </c>
      <c r="BI49">
        <f t="shared" si="28"/>
        <v>0.99999999999999956</v>
      </c>
      <c r="BJ49" s="56"/>
      <c r="BK49">
        <f t="shared" si="29"/>
        <v>-1198072.4620848445</v>
      </c>
      <c r="BL49">
        <f t="shared" si="30"/>
        <v>276158.47839900159</v>
      </c>
      <c r="BM49">
        <f t="shared" si="31"/>
        <v>3.4389983974919742E-3</v>
      </c>
      <c r="BN49">
        <f t="shared" si="32"/>
        <v>0.82520783120136199</v>
      </c>
      <c r="BO49">
        <f t="shared" si="33"/>
        <v>11830067.515003635</v>
      </c>
      <c r="BS49" s="51">
        <v>44228</v>
      </c>
      <c r="BT49" s="50">
        <v>1</v>
      </c>
      <c r="BU49" s="50">
        <v>2236</v>
      </c>
    </row>
    <row r="50" spans="1:74" x14ac:dyDescent="0.3">
      <c r="A50" s="6">
        <v>45658</v>
      </c>
      <c r="B50" s="2">
        <v>2126.5793228064513</v>
      </c>
      <c r="C50" s="2">
        <v>1004.1127741935485</v>
      </c>
      <c r="D50" s="2">
        <v>1122.4665486129034</v>
      </c>
      <c r="E50" s="2">
        <v>6060.0967741935483</v>
      </c>
      <c r="F50" s="2">
        <v>31127.496000000003</v>
      </c>
      <c r="G50" s="3">
        <v>4.1648619989999996E-3</v>
      </c>
      <c r="H50" s="2">
        <v>187863</v>
      </c>
      <c r="I50" s="2">
        <v>34796.463007000006</v>
      </c>
      <c r="J50" s="2">
        <v>7278.4720002225822</v>
      </c>
      <c r="K50" s="4">
        <v>8</v>
      </c>
      <c r="L50" s="2">
        <v>1476.7784899032258</v>
      </c>
      <c r="M50" s="4">
        <v>8</v>
      </c>
      <c r="N50" s="3">
        <v>0.22141855907899999</v>
      </c>
      <c r="O50" s="3">
        <v>11.998061999999999</v>
      </c>
      <c r="P50" s="9">
        <v>5.8317150000317966E-2</v>
      </c>
      <c r="Q50" s="2">
        <v>52.782726539990122</v>
      </c>
      <c r="R50" s="2">
        <v>37.960673013980944</v>
      </c>
      <c r="S50" s="63"/>
      <c r="T50">
        <f t="shared" si="0"/>
        <v>1461</v>
      </c>
      <c r="U50" s="20">
        <f t="shared" si="1"/>
        <v>1.1178690058140237</v>
      </c>
      <c r="V50">
        <f t="shared" si="5"/>
        <v>-3.0962939678971504E-3</v>
      </c>
      <c r="W50" s="64"/>
      <c r="X50">
        <f t="shared" si="34"/>
        <v>1430</v>
      </c>
      <c r="Y50" s="21">
        <f t="shared" si="42"/>
        <v>1623664.1169999999</v>
      </c>
      <c r="Z50">
        <f t="shared" si="7"/>
        <v>4.9224317629225398</v>
      </c>
      <c r="AB50">
        <f t="shared" si="39"/>
        <v>1430</v>
      </c>
      <c r="AC50">
        <f t="shared" si="8"/>
        <v>983.28041239866241</v>
      </c>
      <c r="AF50" s="61"/>
      <c r="AH50" s="21">
        <f t="shared" si="35"/>
        <v>1637853.5319999997</v>
      </c>
      <c r="AI50" s="21">
        <f t="shared" si="36"/>
        <v>11859983</v>
      </c>
      <c r="AJ50" s="21">
        <f t="shared" si="9"/>
        <v>418831741.65010005</v>
      </c>
      <c r="AK50" s="21">
        <f t="shared" si="38"/>
        <v>11451586.880732</v>
      </c>
      <c r="AL50" s="21">
        <f t="shared" si="37"/>
        <v>51038.678000095402</v>
      </c>
      <c r="AM50">
        <f t="shared" si="40"/>
        <v>1430</v>
      </c>
      <c r="AN50">
        <f t="shared" si="10"/>
        <v>1994.2439999999999</v>
      </c>
      <c r="AO50">
        <f t="shared" si="11"/>
        <v>483.94459689792404</v>
      </c>
      <c r="AP50">
        <f t="shared" si="12"/>
        <v>1.2553690959938046</v>
      </c>
      <c r="AQ50">
        <f t="shared" si="41"/>
        <v>8.7643855415886918E-3</v>
      </c>
      <c r="AR50" s="22">
        <f t="shared" si="13"/>
        <v>255.71990014190118</v>
      </c>
      <c r="AS50" s="22">
        <f t="shared" si="14"/>
        <v>16173665.862388592</v>
      </c>
      <c r="AT50">
        <f t="shared" si="15"/>
        <v>-3415331.7308692303</v>
      </c>
      <c r="AU50">
        <f t="shared" si="16"/>
        <v>115081.12635564072</v>
      </c>
      <c r="AV50">
        <f t="shared" si="17"/>
        <v>19473916.466902182</v>
      </c>
      <c r="AW50">
        <f t="shared" si="18"/>
        <v>4722078.9816565933</v>
      </c>
      <c r="AX50">
        <f t="shared" si="19"/>
        <v>8022329.5861701816</v>
      </c>
      <c r="AY50">
        <f t="shared" si="20"/>
        <v>32984999.999999989</v>
      </c>
      <c r="AZ50" s="58"/>
      <c r="BB50">
        <f t="shared" si="21"/>
        <v>-3415331.7308692303</v>
      </c>
      <c r="BC50">
        <f t="shared" si="22"/>
        <v>115081.12635564072</v>
      </c>
      <c r="BD50">
        <f t="shared" si="23"/>
        <v>8022329.5861701816</v>
      </c>
      <c r="BE50">
        <f t="shared" si="24"/>
        <v>4722078.9816565933</v>
      </c>
      <c r="BF50">
        <f t="shared" si="25"/>
        <v>-0.72326865860068024</v>
      </c>
      <c r="BG50">
        <f t="shared" si="26"/>
        <v>2.4370860123832178E-2</v>
      </c>
      <c r="BH50">
        <f t="shared" si="27"/>
        <v>1.6988977984768479</v>
      </c>
      <c r="BI50">
        <f t="shared" si="28"/>
        <v>0.99999999999999978</v>
      </c>
      <c r="BJ50" s="56"/>
      <c r="BK50">
        <f t="shared" si="29"/>
        <v>-1220004.5624637513</v>
      </c>
      <c r="BL50">
        <f t="shared" si="30"/>
        <v>320522.89784059912</v>
      </c>
      <c r="BM50">
        <f t="shared" si="31"/>
        <v>3.4888927195889257E-3</v>
      </c>
      <c r="BN50">
        <f t="shared" si="32"/>
        <v>0.84092508024474655</v>
      </c>
      <c r="BO50">
        <f t="shared" si="33"/>
        <v>11737204.42549599</v>
      </c>
      <c r="BT50" s="50">
        <v>200</v>
      </c>
      <c r="BU50" s="50"/>
    </row>
    <row r="51" spans="1:74" x14ac:dyDescent="0.3">
      <c r="A51" s="6">
        <v>45689</v>
      </c>
      <c r="B51" s="2">
        <v>1962.4210763214289</v>
      </c>
      <c r="C51" s="2">
        <v>988.58639285714287</v>
      </c>
      <c r="D51" s="2">
        <v>973.83468346428583</v>
      </c>
      <c r="E51" s="2">
        <v>6239.6071428571422</v>
      </c>
      <c r="F51" s="2">
        <v>27680.419000000002</v>
      </c>
      <c r="G51" s="3">
        <v>3.703642761E-3</v>
      </c>
      <c r="H51" s="2">
        <v>174709</v>
      </c>
      <c r="I51" s="2">
        <v>27267.371137000002</v>
      </c>
      <c r="J51" s="2">
        <v>7452.3600000000006</v>
      </c>
      <c r="K51" s="4">
        <v>8</v>
      </c>
      <c r="L51" s="2">
        <v>1674.0662117142856</v>
      </c>
      <c r="M51" s="4">
        <v>8</v>
      </c>
      <c r="N51" s="3">
        <v>0.22512220183999998</v>
      </c>
      <c r="O51" s="3">
        <v>12.172770999999999</v>
      </c>
      <c r="P51" s="9">
        <v>6.5769510000317971E-2</v>
      </c>
      <c r="Q51" s="2">
        <v>49.624145154909641</v>
      </c>
      <c r="R51" s="2">
        <v>39.698989679310841</v>
      </c>
      <c r="S51" s="63"/>
      <c r="T51">
        <f t="shared" si="0"/>
        <v>1492</v>
      </c>
      <c r="U51" s="20">
        <f t="shared" si="1"/>
        <v>0.98507797649305828</v>
      </c>
      <c r="V51">
        <f t="shared" si="5"/>
        <v>-1.1880792852852968E-2</v>
      </c>
      <c r="W51" s="64"/>
      <c r="X51">
        <f t="shared" si="34"/>
        <v>1461</v>
      </c>
      <c r="Y51" s="21">
        <f t="shared" si="42"/>
        <v>1654791.6129999999</v>
      </c>
      <c r="Z51">
        <f t="shared" si="7"/>
        <v>5.0168004032135816</v>
      </c>
      <c r="AB51">
        <f t="shared" si="39"/>
        <v>1461</v>
      </c>
      <c r="AC51">
        <f t="shared" si="8"/>
        <v>971.1630183915737</v>
      </c>
      <c r="AF51" s="61"/>
      <c r="AH51" s="21">
        <f t="shared" si="35"/>
        <v>1665533.9509999997</v>
      </c>
      <c r="AI51" s="21">
        <f t="shared" si="36"/>
        <v>12034692</v>
      </c>
      <c r="AJ51" s="21">
        <f t="shared" si="9"/>
        <v>425001537.57240003</v>
      </c>
      <c r="AK51" s="21">
        <f t="shared" si="38"/>
        <v>11639449.880732</v>
      </c>
      <c r="AL51" s="21">
        <f t="shared" si="37"/>
        <v>58317.150000317983</v>
      </c>
      <c r="AM51">
        <f t="shared" si="40"/>
        <v>1461</v>
      </c>
      <c r="AN51">
        <f t="shared" si="10"/>
        <v>1988.9987999999998</v>
      </c>
      <c r="AO51">
        <f t="shared" si="11"/>
        <v>482.43080895062621</v>
      </c>
      <c r="AP51">
        <f t="shared" si="12"/>
        <v>1.2553690959938046</v>
      </c>
      <c r="AQ51">
        <f t="shared" si="41"/>
        <v>8.7874981523367434E-3</v>
      </c>
      <c r="AR51" s="22">
        <f t="shared" si="13"/>
        <v>255.17434653146864</v>
      </c>
      <c r="AS51" s="22">
        <f t="shared" si="14"/>
        <v>16440498.601108935</v>
      </c>
      <c r="AT51">
        <f t="shared" si="15"/>
        <v>-3415331.7308692303</v>
      </c>
      <c r="AU51">
        <f t="shared" si="16"/>
        <v>116726.89057000873</v>
      </c>
      <c r="AV51">
        <f t="shared" si="17"/>
        <v>19739103.441408157</v>
      </c>
      <c r="AW51">
        <f t="shared" si="18"/>
        <v>4801048.7203769358</v>
      </c>
      <c r="AX51">
        <f t="shared" si="19"/>
        <v>8099653.5606761575</v>
      </c>
      <c r="AY51">
        <f t="shared" si="20"/>
        <v>32985000</v>
      </c>
      <c r="AZ51" s="58"/>
      <c r="BB51">
        <f t="shared" si="21"/>
        <v>-3415331.7308692303</v>
      </c>
      <c r="BC51">
        <f t="shared" si="22"/>
        <v>116726.89057000873</v>
      </c>
      <c r="BD51">
        <f t="shared" si="23"/>
        <v>8099653.5606761575</v>
      </c>
      <c r="BE51">
        <f t="shared" si="24"/>
        <v>4801048.7203769358</v>
      </c>
      <c r="BF51">
        <f t="shared" si="25"/>
        <v>-0.71137202094485075</v>
      </c>
      <c r="BG51">
        <f t="shared" si="26"/>
        <v>2.4312790260717115E-2</v>
      </c>
      <c r="BH51">
        <f t="shared" si="27"/>
        <v>1.6870592306841337</v>
      </c>
      <c r="BI51">
        <f t="shared" si="28"/>
        <v>1</v>
      </c>
      <c r="BJ51" s="56"/>
      <c r="BK51">
        <f t="shared" si="29"/>
        <v>-1235237.6712583201</v>
      </c>
      <c r="BL51">
        <f t="shared" si="30"/>
        <v>366231.70200199692</v>
      </c>
      <c r="BM51">
        <f t="shared" si="31"/>
        <v>3.5387870416858794E-3</v>
      </c>
      <c r="BN51">
        <f t="shared" si="32"/>
        <v>0.85671814842980376</v>
      </c>
      <c r="BO51">
        <f t="shared" si="33"/>
        <v>11668584.225909283</v>
      </c>
      <c r="BT51" s="50">
        <v>400</v>
      </c>
      <c r="BU51" s="50"/>
    </row>
    <row r="52" spans="1:74" x14ac:dyDescent="0.3">
      <c r="A52" s="6">
        <v>45717</v>
      </c>
      <c r="B52" s="2">
        <v>1331.5202934516128</v>
      </c>
      <c r="C52" s="2">
        <v>939.74041935483865</v>
      </c>
      <c r="D52" s="2">
        <v>391.77987409677417</v>
      </c>
      <c r="E52" s="2">
        <v>5644.677419354839</v>
      </c>
      <c r="F52" s="2">
        <v>29131.953000000001</v>
      </c>
      <c r="G52" s="3">
        <v>3.8978581569999999E-3</v>
      </c>
      <c r="H52" s="2">
        <v>174985</v>
      </c>
      <c r="I52" s="2">
        <v>12145.176097</v>
      </c>
      <c r="J52" s="2">
        <v>8045.3640004451663</v>
      </c>
      <c r="K52" s="4">
        <v>8</v>
      </c>
      <c r="L52" s="2">
        <v>1632.3784029032258</v>
      </c>
      <c r="M52" s="4">
        <v>8</v>
      </c>
      <c r="N52" s="3">
        <v>0.22902005999699998</v>
      </c>
      <c r="O52" s="3">
        <v>12.347755999999999</v>
      </c>
      <c r="P52" s="9">
        <v>7.3814874000763142E-2</v>
      </c>
      <c r="Q52" s="2">
        <v>29.423500041534396</v>
      </c>
      <c r="R52" s="2">
        <v>37.780530986027607</v>
      </c>
      <c r="S52" s="63"/>
      <c r="T52">
        <f t="shared" si="0"/>
        <v>1520</v>
      </c>
      <c r="U52" s="20">
        <f t="shared" si="1"/>
        <v>0.41690222749569861</v>
      </c>
      <c r="V52">
        <f t="shared" si="5"/>
        <v>-8.3426713301735945E-3</v>
      </c>
      <c r="W52" s="64"/>
      <c r="X52">
        <f t="shared" si="34"/>
        <v>1492</v>
      </c>
      <c r="Y52" s="21">
        <f t="shared" si="42"/>
        <v>1682472.0319999999</v>
      </c>
      <c r="Z52">
        <f t="shared" si="7"/>
        <v>5.1007186054267084</v>
      </c>
      <c r="AB52">
        <f t="shared" si="39"/>
        <v>1492</v>
      </c>
      <c r="AC52">
        <f t="shared" si="8"/>
        <v>959.19495232356667</v>
      </c>
      <c r="AF52" s="61"/>
      <c r="AH52" s="21">
        <f t="shared" si="35"/>
        <v>1694665.9039999996</v>
      </c>
      <c r="AI52" s="21">
        <f t="shared" si="36"/>
        <v>12209677</v>
      </c>
      <c r="AJ52" s="21">
        <f t="shared" si="9"/>
        <v>431181080.35190004</v>
      </c>
      <c r="AK52" s="21">
        <f t="shared" si="38"/>
        <v>11814158.880732</v>
      </c>
      <c r="AL52" s="21">
        <f t="shared" si="37"/>
        <v>65769.510000317983</v>
      </c>
      <c r="AM52">
        <f t="shared" si="40"/>
        <v>1489</v>
      </c>
      <c r="AN52">
        <f t="shared" si="10"/>
        <v>1984.2611999999999</v>
      </c>
      <c r="AO52">
        <f t="shared" si="11"/>
        <v>481.06421020719546</v>
      </c>
      <c r="AP52">
        <f t="shared" si="12"/>
        <v>1.2553690959938046</v>
      </c>
      <c r="AQ52">
        <f t="shared" si="41"/>
        <v>8.8084790853139687E-3</v>
      </c>
      <c r="AR52" s="22">
        <f t="shared" si="13"/>
        <v>254.43426892236579</v>
      </c>
      <c r="AS52" s="22">
        <f t="shared" si="14"/>
        <v>16694719.570872288</v>
      </c>
      <c r="AT52">
        <f t="shared" si="15"/>
        <v>-3415331.7308692303</v>
      </c>
      <c r="AU52">
        <f t="shared" si="16"/>
        <v>118213.38727976044</v>
      </c>
      <c r="AV52">
        <f t="shared" si="17"/>
        <v>19991837.914461758</v>
      </c>
      <c r="AW52">
        <f t="shared" si="18"/>
        <v>4880560.6901402883</v>
      </c>
      <c r="AX52">
        <f t="shared" si="19"/>
        <v>8177679.0337297581</v>
      </c>
      <c r="AY52">
        <f t="shared" si="20"/>
        <v>32985000</v>
      </c>
      <c r="AZ52" s="58"/>
      <c r="BB52">
        <f t="shared" si="21"/>
        <v>-3415331.7308692303</v>
      </c>
      <c r="BC52">
        <f t="shared" si="22"/>
        <v>118213.38727976044</v>
      </c>
      <c r="BD52">
        <f t="shared" si="23"/>
        <v>8177679.0337297581</v>
      </c>
      <c r="BE52">
        <f t="shared" si="24"/>
        <v>4880560.6901402883</v>
      </c>
      <c r="BF52">
        <f t="shared" si="25"/>
        <v>-0.69978265771162018</v>
      </c>
      <c r="BG52">
        <f t="shared" si="26"/>
        <v>2.4221271854804553E-2</v>
      </c>
      <c r="BH52">
        <f t="shared" si="27"/>
        <v>1.6755613858568157</v>
      </c>
      <c r="BI52">
        <f t="shared" si="28"/>
        <v>1</v>
      </c>
      <c r="BJ52" s="56"/>
      <c r="BK52">
        <f t="shared" si="29"/>
        <v>-1255571.1928629801</v>
      </c>
      <c r="BL52">
        <f t="shared" si="30"/>
        <v>413032.52280199697</v>
      </c>
      <c r="BM52">
        <f t="shared" si="31"/>
        <v>3.5838528809992555E-3</v>
      </c>
      <c r="BN52">
        <f t="shared" si="32"/>
        <v>0.87104851126072191</v>
      </c>
      <c r="BO52">
        <f t="shared" si="33"/>
        <v>11599793.903147958</v>
      </c>
      <c r="BT52" s="50">
        <v>600</v>
      </c>
      <c r="BU52" s="50"/>
    </row>
    <row r="53" spans="1:74" x14ac:dyDescent="0.3">
      <c r="A53" s="52">
        <v>45748</v>
      </c>
      <c r="B53" s="2">
        <v>1314.1121844666666</v>
      </c>
      <c r="C53" s="25">
        <v>880.26463333333322</v>
      </c>
      <c r="D53" s="2">
        <v>433.84755113333335</v>
      </c>
      <c r="E53" s="2">
        <v>6303.5</v>
      </c>
      <c r="F53" s="2">
        <v>26407.938999999998</v>
      </c>
      <c r="G53" s="3">
        <v>3.5333848119999999E-3</v>
      </c>
      <c r="H53" s="2">
        <v>189105</v>
      </c>
      <c r="I53" s="2">
        <v>13015.426533999998</v>
      </c>
      <c r="J53" s="2">
        <v>10026.937000063595</v>
      </c>
      <c r="K53" s="4">
        <v>8</v>
      </c>
      <c r="L53" s="2">
        <v>2102.2476114333331</v>
      </c>
      <c r="M53" s="4">
        <v>8</v>
      </c>
      <c r="N53" s="3">
        <v>0.23255344480899998</v>
      </c>
      <c r="O53" s="3">
        <v>12.536860999999998</v>
      </c>
      <c r="P53" s="9">
        <v>8.3841811000826744E-2</v>
      </c>
      <c r="Q53" s="2">
        <v>33.014498781883731</v>
      </c>
      <c r="R53" s="2">
        <v>45.040721617843786</v>
      </c>
      <c r="S53" s="63"/>
      <c r="T53">
        <f t="shared" si="0"/>
        <v>1551</v>
      </c>
      <c r="U53" s="20">
        <f t="shared" si="1"/>
        <v>0.49286036801281624</v>
      </c>
      <c r="V53">
        <f t="shared" si="5"/>
        <v>1.5898859670781811E-3</v>
      </c>
      <c r="W53" s="64"/>
      <c r="X53">
        <f t="shared" si="34"/>
        <v>1520</v>
      </c>
      <c r="Y53" s="21">
        <f t="shared" si="42"/>
        <v>1711603.9849999999</v>
      </c>
      <c r="Z53">
        <f t="shared" si="7"/>
        <v>5.189037395785963</v>
      </c>
      <c r="AB53">
        <f t="shared" si="39"/>
        <v>1520</v>
      </c>
      <c r="AC53">
        <f t="shared" si="8"/>
        <v>948.51190559245197</v>
      </c>
      <c r="AF53" s="61"/>
      <c r="AH53" s="21">
        <f t="shared" si="35"/>
        <v>1721073.8429999996</v>
      </c>
      <c r="AI53" s="21">
        <f t="shared" si="36"/>
        <v>12398782</v>
      </c>
      <c r="AJ53" s="21">
        <f t="shared" si="9"/>
        <v>437859266.6954</v>
      </c>
      <c r="AK53" s="21">
        <f t="shared" si="38"/>
        <v>11989143.880732</v>
      </c>
      <c r="AL53" s="21">
        <f t="shared" si="37"/>
        <v>73814.874000763142</v>
      </c>
      <c r="AM53">
        <f t="shared" si="40"/>
        <v>1520</v>
      </c>
      <c r="AN53">
        <f t="shared" si="10"/>
        <v>1979.0159999999998</v>
      </c>
      <c r="AO53">
        <f t="shared" si="11"/>
        <v>479.55195962178561</v>
      </c>
      <c r="AP53">
        <f t="shared" si="12"/>
        <v>1.2553690959938046</v>
      </c>
      <c r="AQ53">
        <f t="shared" si="41"/>
        <v>8.8318251494682205E-3</v>
      </c>
      <c r="AR53" s="22">
        <f t="shared" si="13"/>
        <v>254.41050567137117</v>
      </c>
      <c r="AS53" s="22">
        <f t="shared" si="14"/>
        <v>16952807.651136689</v>
      </c>
      <c r="AT53">
        <f t="shared" si="15"/>
        <v>-3415331.7308692303</v>
      </c>
      <c r="AU53">
        <f t="shared" si="16"/>
        <v>119859.15149412844</v>
      </c>
      <c r="AV53">
        <f t="shared" si="17"/>
        <v>20248280.230511792</v>
      </c>
      <c r="AW53">
        <f t="shared" si="18"/>
        <v>4963663.7704046872</v>
      </c>
      <c r="AX53">
        <f t="shared" si="19"/>
        <v>8259136.3497797921</v>
      </c>
      <c r="AY53">
        <f t="shared" si="20"/>
        <v>32985000.000000034</v>
      </c>
      <c r="AZ53" s="58"/>
      <c r="BB53">
        <f t="shared" si="21"/>
        <v>-3415331.7308692303</v>
      </c>
      <c r="BC53">
        <f t="shared" si="22"/>
        <v>119859.15149412844</v>
      </c>
      <c r="BD53">
        <f t="shared" si="23"/>
        <v>8259136.3497797921</v>
      </c>
      <c r="BE53">
        <f t="shared" si="24"/>
        <v>4963663.7704046872</v>
      </c>
      <c r="BF53">
        <f t="shared" si="25"/>
        <v>-0.68806669606285165</v>
      </c>
      <c r="BG53">
        <f t="shared" si="26"/>
        <v>2.4147314773570235E-2</v>
      </c>
      <c r="BH53">
        <f t="shared" si="27"/>
        <v>1.6639193812892821</v>
      </c>
      <c r="BI53">
        <f t="shared" si="28"/>
        <v>1.0000000000000007</v>
      </c>
      <c r="BJ53" s="56"/>
      <c r="BK53">
        <f t="shared" si="29"/>
        <v>-1261617.4486078462</v>
      </c>
      <c r="BL53">
        <f t="shared" si="30"/>
        <v>463557.40872479253</v>
      </c>
      <c r="BM53">
        <f t="shared" si="31"/>
        <v>3.6337472030962088E-3</v>
      </c>
      <c r="BN53">
        <f t="shared" si="32"/>
        <v>0.88698750648899982</v>
      </c>
      <c r="BO53">
        <f t="shared" si="33"/>
        <v>11524504.92378189</v>
      </c>
      <c r="BT53" s="50">
        <v>800</v>
      </c>
      <c r="BU53" s="50"/>
    </row>
    <row r="54" spans="1:74" x14ac:dyDescent="0.3">
      <c r="A54" s="6">
        <v>45778</v>
      </c>
      <c r="B54" s="2">
        <v>875.23660532258054</v>
      </c>
      <c r="C54" s="2">
        <v>578.13932258064517</v>
      </c>
      <c r="D54" s="2">
        <v>297.09728274193549</v>
      </c>
      <c r="E54" s="2">
        <v>3808.7096774193551</v>
      </c>
      <c r="F54" s="2">
        <v>17922.319</v>
      </c>
      <c r="G54" s="3">
        <v>2.398008032E-3</v>
      </c>
      <c r="H54" s="2">
        <v>118070</v>
      </c>
      <c r="I54" s="2">
        <v>9210.0157650000001</v>
      </c>
      <c r="J54" s="2">
        <v>7102.4169995866323</v>
      </c>
      <c r="K54" s="4">
        <v>8</v>
      </c>
      <c r="L54" s="2">
        <v>1441.0574981935483</v>
      </c>
      <c r="M54" s="4">
        <v>8</v>
      </c>
      <c r="N54" s="3">
        <v>0.23495145284099997</v>
      </c>
      <c r="O54" s="3">
        <v>12.654930999999998</v>
      </c>
      <c r="P54" s="9">
        <v>9.094422800041338E-2</v>
      </c>
      <c r="Q54" s="2">
        <v>33.94479629110532</v>
      </c>
      <c r="R54" s="2">
        <v>41.436417128832488</v>
      </c>
      <c r="S54" s="63"/>
      <c r="T54">
        <f t="shared" si="0"/>
        <v>1581</v>
      </c>
      <c r="U54" s="20">
        <f t="shared" si="1"/>
        <v>0.51388527148746765</v>
      </c>
      <c r="V54">
        <f t="shared" si="5"/>
        <v>-1.7196539521963522E-3</v>
      </c>
      <c r="W54" s="64"/>
      <c r="X54" s="24">
        <f t="shared" si="34"/>
        <v>1551</v>
      </c>
      <c r="Y54" s="21">
        <f t="shared" si="42"/>
        <v>1738011.9239999999</v>
      </c>
      <c r="Z54">
        <f t="shared" si="7"/>
        <v>5.2690978444747607</v>
      </c>
      <c r="AB54" s="24">
        <f t="shared" si="39"/>
        <v>1551</v>
      </c>
      <c r="AC54">
        <f t="shared" si="8"/>
        <v>936.82297908120313</v>
      </c>
      <c r="AF54" s="61"/>
      <c r="AH54" s="21"/>
      <c r="AI54" s="21"/>
      <c r="AJ54" s="21"/>
      <c r="AK54" s="21"/>
      <c r="AL54" s="21"/>
      <c r="AR54" s="22"/>
      <c r="BS54" s="51">
        <v>45261</v>
      </c>
      <c r="BT54" s="50">
        <f>A37-$A$3</f>
        <v>1033</v>
      </c>
      <c r="BU54" s="50"/>
      <c r="BV54" s="50">
        <v>2001</v>
      </c>
    </row>
    <row r="55" spans="1:74" x14ac:dyDescent="0.3">
      <c r="A55" s="6">
        <v>45809</v>
      </c>
      <c r="B55" s="2">
        <v>590.97993220000001</v>
      </c>
      <c r="C55" s="2">
        <v>425.78986666666663</v>
      </c>
      <c r="D55" s="2">
        <v>165.19006553333332</v>
      </c>
      <c r="E55" s="2">
        <v>2255.4333333333334</v>
      </c>
      <c r="F55" s="25">
        <v>12773.696</v>
      </c>
      <c r="G55" s="3">
        <v>1.709121776E-3</v>
      </c>
      <c r="H55" s="2">
        <v>67663</v>
      </c>
      <c r="I55" s="2">
        <v>4955.7019659999996</v>
      </c>
      <c r="J55" s="2">
        <v>10728.669999682026</v>
      </c>
      <c r="K55" s="4">
        <v>8</v>
      </c>
      <c r="L55" s="2">
        <v>2249.3729521333335</v>
      </c>
      <c r="M55" s="4">
        <v>8</v>
      </c>
      <c r="N55" s="3">
        <v>0.23666057461699996</v>
      </c>
      <c r="O55" s="3">
        <v>12.722593999999997</v>
      </c>
      <c r="P55" s="9">
        <v>0.10167289800009541</v>
      </c>
      <c r="Q55" s="2">
        <v>27.95189083974336</v>
      </c>
      <c r="R55" s="2">
        <v>33.317431180450825</v>
      </c>
      <c r="S55" s="63"/>
      <c r="T55">
        <f t="shared" si="0"/>
        <v>1612</v>
      </c>
      <c r="U55" s="20">
        <f t="shared" si="1"/>
        <v>0.38796147692883876</v>
      </c>
      <c r="V55">
        <f t="shared" si="5"/>
        <v>-3.1438499904075492E-3</v>
      </c>
      <c r="W55" s="64"/>
      <c r="X55">
        <f t="shared" si="34"/>
        <v>1581</v>
      </c>
      <c r="Y55" s="21">
        <f t="shared" si="42"/>
        <v>1755934.2429999998</v>
      </c>
      <c r="Z55">
        <f t="shared" si="7"/>
        <v>5.3234325996665142</v>
      </c>
      <c r="AB55">
        <f t="shared" si="39"/>
        <v>1581</v>
      </c>
      <c r="AC55">
        <f t="shared" si="8"/>
        <v>925.648285589181</v>
      </c>
      <c r="AF55" s="61"/>
      <c r="BT55" s="50">
        <v>1100</v>
      </c>
      <c r="BU55" s="50"/>
    </row>
    <row r="56" spans="1:74" x14ac:dyDescent="0.3">
      <c r="A56" s="6">
        <v>45839</v>
      </c>
      <c r="B56" s="2">
        <v>553.36394341935488</v>
      </c>
      <c r="C56" s="2">
        <v>418.54593548387095</v>
      </c>
      <c r="D56" s="2">
        <v>134.81800793548388</v>
      </c>
      <c r="E56" s="2">
        <v>2465.6774193548385</v>
      </c>
      <c r="F56" s="2">
        <v>12974.923999999999</v>
      </c>
      <c r="G56" s="3">
        <v>1.7360460969999998E-3</v>
      </c>
      <c r="H56" s="2">
        <v>76436</v>
      </c>
      <c r="I56" s="2">
        <v>4179.3582459999998</v>
      </c>
      <c r="J56" s="2">
        <v>11233.954000127191</v>
      </c>
      <c r="K56" s="4">
        <v>8</v>
      </c>
      <c r="L56" s="2">
        <v>2279.3330280645164</v>
      </c>
      <c r="M56" s="4">
        <v>8</v>
      </c>
      <c r="N56" s="3">
        <v>0.23839662071399997</v>
      </c>
      <c r="O56" s="3">
        <v>12.799029999999997</v>
      </c>
      <c r="P56" s="9">
        <v>0.1129068520002226</v>
      </c>
      <c r="Q56" s="2">
        <v>24.363352462470612</v>
      </c>
      <c r="R56" s="2">
        <v>37.053562148032618</v>
      </c>
      <c r="S56" s="63"/>
      <c r="T56">
        <f t="shared" si="0"/>
        <v>1642</v>
      </c>
      <c r="U56" s="20">
        <f t="shared" si="1"/>
        <v>0.32211042207260715</v>
      </c>
      <c r="V56">
        <f t="shared" si="5"/>
        <v>4.3392705648250965E-3</v>
      </c>
      <c r="W56" s="64"/>
      <c r="X56">
        <f t="shared" si="34"/>
        <v>1612</v>
      </c>
      <c r="Y56" s="21">
        <f t="shared" si="42"/>
        <v>1768707.9389999998</v>
      </c>
      <c r="Z56">
        <f t="shared" si="7"/>
        <v>5.3621583719872659</v>
      </c>
      <c r="AB56">
        <f t="shared" si="39"/>
        <v>1612</v>
      </c>
      <c r="AC56">
        <f t="shared" si="8"/>
        <v>914.24111745378787</v>
      </c>
      <c r="AF56" s="61"/>
      <c r="BS56" s="51">
        <v>45413</v>
      </c>
      <c r="BT56" s="50">
        <f>A42-$A$3</f>
        <v>1185</v>
      </c>
      <c r="BU56" s="50"/>
      <c r="BV56" s="50">
        <v>1824</v>
      </c>
    </row>
    <row r="57" spans="1:74" x14ac:dyDescent="0.3">
      <c r="A57" s="6">
        <v>45870</v>
      </c>
      <c r="B57" s="2">
        <v>668.67802267741934</v>
      </c>
      <c r="C57" s="2">
        <v>404.60787096774192</v>
      </c>
      <c r="D57" s="2">
        <v>264.07015170967742</v>
      </c>
      <c r="E57" s="2">
        <v>2452.4193548387098</v>
      </c>
      <c r="F57" s="2">
        <v>12542.844000000001</v>
      </c>
      <c r="G57" s="3">
        <v>1.6782337509999999E-3</v>
      </c>
      <c r="H57" s="2">
        <v>76025</v>
      </c>
      <c r="I57" s="2">
        <v>8186.1747029999997</v>
      </c>
      <c r="J57" s="2">
        <v>11264.790999713823</v>
      </c>
      <c r="K57" s="4">
        <v>8</v>
      </c>
      <c r="L57" s="2">
        <v>2285.5897558064516</v>
      </c>
      <c r="M57" s="4">
        <v>8</v>
      </c>
      <c r="N57" s="3">
        <v>0.24007485446499999</v>
      </c>
      <c r="O57" s="3">
        <v>12.875054999999996</v>
      </c>
      <c r="P57" s="9">
        <v>0.12417164299993642</v>
      </c>
      <c r="Q57" s="2">
        <v>39.491375931921262</v>
      </c>
      <c r="R57" s="2">
        <v>38.123893193601063</v>
      </c>
      <c r="S57" s="63"/>
      <c r="T57">
        <f t="shared" si="0"/>
        <v>1673</v>
      </c>
      <c r="U57" s="20">
        <f t="shared" si="1"/>
        <v>0.65265698138316963</v>
      </c>
      <c r="V57">
        <f t="shared" si="5"/>
        <v>8.385753352377328E-3</v>
      </c>
      <c r="W57" s="64"/>
      <c r="X57">
        <f t="shared" si="34"/>
        <v>1642</v>
      </c>
      <c r="Y57" s="21">
        <f t="shared" si="42"/>
        <v>1781682.8629999999</v>
      </c>
      <c r="Z57">
        <f t="shared" si="7"/>
        <v>5.4014942034257993</v>
      </c>
      <c r="AB57">
        <f t="shared" si="39"/>
        <v>1642</v>
      </c>
      <c r="AC57">
        <f t="shared" si="8"/>
        <v>903.33578689136948</v>
      </c>
      <c r="AF57" s="61"/>
      <c r="BT57" s="50">
        <v>1250</v>
      </c>
      <c r="BU57" s="50"/>
    </row>
    <row r="58" spans="1:74" x14ac:dyDescent="0.3">
      <c r="A58" s="6">
        <v>45901</v>
      </c>
      <c r="B58" s="2">
        <v>662.7582913</v>
      </c>
      <c r="C58" s="2">
        <v>359.79833333333335</v>
      </c>
      <c r="D58" s="2">
        <v>302.95995796666665</v>
      </c>
      <c r="E58" s="2">
        <v>3411.0333333333333</v>
      </c>
      <c r="F58" s="2">
        <v>10793.95</v>
      </c>
      <c r="G58" s="3">
        <v>1.4442315620000002E-3</v>
      </c>
      <c r="H58" s="2">
        <v>102331</v>
      </c>
      <c r="I58" s="2">
        <v>9088.7987390000017</v>
      </c>
      <c r="J58" s="2">
        <v>11567.627000063596</v>
      </c>
      <c r="K58" s="4">
        <v>8</v>
      </c>
      <c r="L58" s="2">
        <v>2425.2686768333333</v>
      </c>
      <c r="M58" s="4">
        <v>8</v>
      </c>
      <c r="N58" s="3">
        <v>0.24151908602699998</v>
      </c>
      <c r="O58" s="3">
        <v>12.977385999999996</v>
      </c>
      <c r="P58" s="9">
        <v>0.13573927000000002</v>
      </c>
      <c r="Q58" s="2">
        <v>45.711983077934931</v>
      </c>
      <c r="R58" s="2">
        <v>59.629841142491856</v>
      </c>
      <c r="S58" s="63"/>
      <c r="T58">
        <f t="shared" si="0"/>
        <v>1704</v>
      </c>
      <c r="U58" s="20">
        <f t="shared" si="1"/>
        <v>0.84202712992000139</v>
      </c>
      <c r="V58">
        <f t="shared" si="5"/>
        <v>1.3727557426080749E-3</v>
      </c>
      <c r="W58" s="64"/>
      <c r="X58">
        <f t="shared" si="34"/>
        <v>1673</v>
      </c>
      <c r="Y58" s="21">
        <f t="shared" si="42"/>
        <v>1794225.7069999999</v>
      </c>
      <c r="Z58">
        <f t="shared" si="7"/>
        <v>5.4395201061088372</v>
      </c>
      <c r="AB58">
        <f t="shared" si="39"/>
        <v>1673</v>
      </c>
      <c r="AC58">
        <f t="shared" si="8"/>
        <v>892.20358542326142</v>
      </c>
      <c r="AF58" s="61"/>
      <c r="BT58" s="50">
        <v>1350</v>
      </c>
      <c r="BU58" s="50"/>
    </row>
    <row r="59" spans="1:74" x14ac:dyDescent="0.3">
      <c r="A59" s="6">
        <v>45931</v>
      </c>
      <c r="B59" s="2">
        <v>681.22722351612902</v>
      </c>
      <c r="C59" s="2">
        <v>392.32270967741931</v>
      </c>
      <c r="D59" s="2">
        <v>288.90451383870965</v>
      </c>
      <c r="E59" s="2">
        <v>3715.6129032258068</v>
      </c>
      <c r="F59" s="2">
        <v>12162.004000000001</v>
      </c>
      <c r="G59" s="3">
        <v>1.6272773189999999E-3</v>
      </c>
      <c r="H59" s="2">
        <v>115184</v>
      </c>
      <c r="I59" s="2">
        <v>8956.0399290000005</v>
      </c>
      <c r="J59" s="2">
        <v>11711.503000254379</v>
      </c>
      <c r="K59" s="4">
        <v>8</v>
      </c>
      <c r="L59" s="2">
        <v>2376.2261797096771</v>
      </c>
      <c r="M59" s="4">
        <v>8</v>
      </c>
      <c r="N59" s="3">
        <v>0.24314636334599998</v>
      </c>
      <c r="O59" s="3">
        <v>13.092569999999995</v>
      </c>
      <c r="P59" s="9">
        <v>0.14745077300025441</v>
      </c>
      <c r="Q59" s="2">
        <v>42.409419921232711</v>
      </c>
      <c r="R59" s="2">
        <v>59.569485686733863</v>
      </c>
      <c r="S59" s="63"/>
      <c r="T59">
        <f t="shared" si="0"/>
        <v>1734</v>
      </c>
      <c r="U59" s="20">
        <f t="shared" si="1"/>
        <v>0.7363950816822622</v>
      </c>
      <c r="V59">
        <f t="shared" si="5"/>
        <v>4.9414737671361582E-4</v>
      </c>
      <c r="W59" s="64"/>
      <c r="X59">
        <f t="shared" si="34"/>
        <v>1704</v>
      </c>
      <c r="Y59" s="21">
        <f t="shared" si="42"/>
        <v>1805019.6569999999</v>
      </c>
      <c r="Z59">
        <f t="shared" si="7"/>
        <v>5.4722439199636197</v>
      </c>
      <c r="AB59">
        <f t="shared" si="39"/>
        <v>1704</v>
      </c>
      <c r="AC59">
        <f t="shared" si="8"/>
        <v>881.20857093625693</v>
      </c>
      <c r="AF59" s="61"/>
      <c r="BS59" s="51">
        <v>45748</v>
      </c>
      <c r="BT59" s="50">
        <f>A53-$A$3</f>
        <v>1520</v>
      </c>
      <c r="BU59" s="50">
        <v>1979</v>
      </c>
    </row>
    <row r="60" spans="1:74" x14ac:dyDescent="0.3">
      <c r="A60" s="6">
        <v>45962</v>
      </c>
      <c r="X60">
        <f>A59-$A$2</f>
        <v>1734</v>
      </c>
      <c r="Y60" s="21">
        <f t="shared" si="42"/>
        <v>1817181.6609999998</v>
      </c>
      <c r="Z60">
        <f t="shared" si="7"/>
        <v>5.5091152372290431</v>
      </c>
      <c r="AB60">
        <f t="shared" si="39"/>
        <v>1734</v>
      </c>
      <c r="AC60">
        <f t="shared" si="8"/>
        <v>870.69726207360145</v>
      </c>
      <c r="AF60" s="61"/>
    </row>
    <row r="61" spans="1:74" x14ac:dyDescent="0.3">
      <c r="AB61">
        <f>AB60+5</f>
        <v>1739</v>
      </c>
      <c r="AC61">
        <f t="shared" si="8"/>
        <v>868.95760778362899</v>
      </c>
      <c r="AD61">
        <f>AD60+AC61</f>
        <v>868.95760778362899</v>
      </c>
      <c r="AE61">
        <f>((AD61*100)*30)/$BV$33</f>
        <v>7.9032069830252752E-2</v>
      </c>
    </row>
    <row r="62" spans="1:74" x14ac:dyDescent="0.3">
      <c r="AB62">
        <f t="shared" ref="AB62:AB125" si="43">AB61+5</f>
        <v>1744</v>
      </c>
      <c r="AC62">
        <f t="shared" si="8"/>
        <v>867.22142932524616</v>
      </c>
      <c r="AD62">
        <f t="shared" ref="AD62:AD125" si="44">AD61+AC62</f>
        <v>1736.179037108875</v>
      </c>
      <c r="AE62">
        <f t="shared" ref="AE62:AE125" si="45">((AD62*100)*30)/$BV$33</f>
        <v>0.15790623347966123</v>
      </c>
    </row>
    <row r="63" spans="1:74" x14ac:dyDescent="0.3">
      <c r="AB63">
        <f t="shared" si="43"/>
        <v>1749</v>
      </c>
      <c r="AC63">
        <f t="shared" si="8"/>
        <v>865.48871975373709</v>
      </c>
      <c r="AD63">
        <f t="shared" si="44"/>
        <v>2601.6677568626119</v>
      </c>
      <c r="AE63">
        <f t="shared" si="45"/>
        <v>0.23662280644498515</v>
      </c>
    </row>
    <row r="64" spans="1:74" x14ac:dyDescent="0.3">
      <c r="AB64">
        <f t="shared" si="43"/>
        <v>1754</v>
      </c>
      <c r="AC64">
        <f t="shared" si="8"/>
        <v>863.75947213826089</v>
      </c>
      <c r="AD64">
        <f t="shared" si="44"/>
        <v>3465.427229000873</v>
      </c>
      <c r="AE64">
        <f t="shared" si="45"/>
        <v>0.3151821035926215</v>
      </c>
    </row>
    <row r="65" spans="28:36" x14ac:dyDescent="0.3">
      <c r="AB65">
        <f t="shared" si="43"/>
        <v>1759</v>
      </c>
      <c r="AC65">
        <f t="shared" si="8"/>
        <v>862.0336795618249</v>
      </c>
      <c r="AD65">
        <f t="shared" si="44"/>
        <v>4327.460908562698</v>
      </c>
      <c r="AE65">
        <f t="shared" si="45"/>
        <v>0.39358443915986341</v>
      </c>
    </row>
    <row r="66" spans="28:36" x14ac:dyDescent="0.3">
      <c r="AB66">
        <f t="shared" si="43"/>
        <v>1764</v>
      </c>
      <c r="AC66">
        <f t="shared" si="8"/>
        <v>860.31133512125666</v>
      </c>
      <c r="AD66">
        <f t="shared" si="44"/>
        <v>5187.7722436839549</v>
      </c>
      <c r="AE66">
        <f t="shared" si="45"/>
        <v>0.47183012675615782</v>
      </c>
    </row>
    <row r="67" spans="28:36" x14ac:dyDescent="0.3">
      <c r="AB67">
        <f t="shared" si="43"/>
        <v>1769</v>
      </c>
      <c r="AC67">
        <f t="shared" si="8"/>
        <v>858.59243192717588</v>
      </c>
      <c r="AD67">
        <f t="shared" si="44"/>
        <v>6046.3646756111311</v>
      </c>
      <c r="AE67">
        <f t="shared" si="45"/>
        <v>0.54991947936435936</v>
      </c>
    </row>
    <row r="68" spans="28:36" x14ac:dyDescent="0.3">
      <c r="AB68">
        <f t="shared" si="43"/>
        <v>1774</v>
      </c>
      <c r="AC68">
        <f t="shared" ref="AC68:AC131" si="46" xml:space="preserve"> 1742.18324*EXP(-0.0004*AB68)</f>
        <v>856.87696310396768</v>
      </c>
      <c r="AD68">
        <f t="shared" si="44"/>
        <v>6903.2416387150988</v>
      </c>
      <c r="AE68">
        <f t="shared" si="45"/>
        <v>0.62785280934198251</v>
      </c>
    </row>
    <row r="69" spans="28:36" x14ac:dyDescent="0.3">
      <c r="AB69">
        <f t="shared" si="43"/>
        <v>1779</v>
      </c>
      <c r="AC69">
        <f t="shared" si="46"/>
        <v>855.16492178975432</v>
      </c>
      <c r="AD69">
        <f t="shared" si="44"/>
        <v>7758.4065605048527</v>
      </c>
      <c r="AE69">
        <f t="shared" si="45"/>
        <v>0.70563042842245149</v>
      </c>
    </row>
    <row r="70" spans="28:36" x14ac:dyDescent="0.3">
      <c r="AB70">
        <f t="shared" si="43"/>
        <v>1784</v>
      </c>
      <c r="AC70">
        <f t="shared" si="46"/>
        <v>853.45630113636832</v>
      </c>
      <c r="AD70">
        <f t="shared" si="44"/>
        <v>8611.8628616412207</v>
      </c>
      <c r="AE70">
        <f t="shared" si="45"/>
        <v>0.78325264771634573</v>
      </c>
      <c r="AG70" s="89" t="s">
        <v>120</v>
      </c>
      <c r="AH70" s="27" t="s">
        <v>121</v>
      </c>
      <c r="AI70" s="26">
        <f>1.2*12</f>
        <v>14.399999999999999</v>
      </c>
      <c r="AJ70" s="27" t="s">
        <v>31</v>
      </c>
    </row>
    <row r="71" spans="28:36" x14ac:dyDescent="0.3">
      <c r="AB71">
        <f t="shared" si="43"/>
        <v>1789</v>
      </c>
      <c r="AC71">
        <f t="shared" si="46"/>
        <v>851.75109430932491</v>
      </c>
      <c r="AD71">
        <f t="shared" si="44"/>
        <v>9463.6139559505464</v>
      </c>
      <c r="AE71">
        <f t="shared" si="45"/>
        <v>0.86071977771264629</v>
      </c>
      <c r="AH71">
        <f>0.04*30</f>
        <v>1.2</v>
      </c>
    </row>
    <row r="72" spans="28:36" x14ac:dyDescent="0.3">
      <c r="AB72">
        <f t="shared" si="43"/>
        <v>1794</v>
      </c>
      <c r="AC72">
        <f t="shared" si="46"/>
        <v>850.04929448779444</v>
      </c>
      <c r="AD72">
        <f t="shared" si="44"/>
        <v>10313.663250438341</v>
      </c>
      <c r="AE72">
        <f t="shared" si="45"/>
        <v>0.93803212827997651</v>
      </c>
      <c r="AH72" s="27" t="s">
        <v>122</v>
      </c>
    </row>
    <row r="73" spans="28:36" x14ac:dyDescent="0.3">
      <c r="AB73">
        <f t="shared" si="43"/>
        <v>1799</v>
      </c>
      <c r="AC73">
        <f t="shared" si="46"/>
        <v>848.35089486457514</v>
      </c>
      <c r="AD73">
        <f t="shared" si="44"/>
        <v>11162.014145302917</v>
      </c>
      <c r="AE73">
        <f t="shared" si="45"/>
        <v>1.0151900086678414</v>
      </c>
    </row>
    <row r="74" spans="28:36" x14ac:dyDescent="0.3">
      <c r="AB74">
        <f t="shared" si="43"/>
        <v>1804</v>
      </c>
      <c r="AC74">
        <f t="shared" si="46"/>
        <v>846.6558886460665</v>
      </c>
      <c r="AD74">
        <f t="shared" si="44"/>
        <v>12008.670033948983</v>
      </c>
      <c r="AE74">
        <f t="shared" si="45"/>
        <v>1.0921937275078657</v>
      </c>
      <c r="AG74" s="90" t="s">
        <v>123</v>
      </c>
      <c r="AH74" s="91">
        <f>284836 + 1817182</f>
        <v>2102018</v>
      </c>
    </row>
    <row r="75" spans="28:36" x14ac:dyDescent="0.3">
      <c r="AB75">
        <f t="shared" si="43"/>
        <v>1809</v>
      </c>
      <c r="AC75">
        <f t="shared" si="46"/>
        <v>844.96426905224143</v>
      </c>
      <c r="AD75">
        <f t="shared" si="44"/>
        <v>12853.634303001225</v>
      </c>
      <c r="AE75">
        <f t="shared" si="45"/>
        <v>1.1690435928150273</v>
      </c>
    </row>
    <row r="76" spans="28:36" x14ac:dyDescent="0.3">
      <c r="AB76">
        <f t="shared" si="43"/>
        <v>1814</v>
      </c>
      <c r="AC76">
        <f t="shared" si="46"/>
        <v>843.27602931661909</v>
      </c>
      <c r="AD76">
        <f t="shared" si="44"/>
        <v>13696.910332317844</v>
      </c>
      <c r="AE76">
        <f t="shared" si="45"/>
        <v>1.2457399119888899</v>
      </c>
    </row>
    <row r="77" spans="28:36" x14ac:dyDescent="0.3">
      <c r="AB77">
        <f t="shared" si="43"/>
        <v>1819</v>
      </c>
      <c r="AC77">
        <f t="shared" si="46"/>
        <v>841.59116268623836</v>
      </c>
      <c r="AD77">
        <f t="shared" si="44"/>
        <v>14538.501495004082</v>
      </c>
      <c r="AE77">
        <f t="shared" si="45"/>
        <v>1.3222829918148324</v>
      </c>
    </row>
    <row r="78" spans="28:36" x14ac:dyDescent="0.3">
      <c r="AB78">
        <f t="shared" si="43"/>
        <v>1824</v>
      </c>
      <c r="AC78">
        <f t="shared" si="46"/>
        <v>839.90966242163063</v>
      </c>
      <c r="AD78">
        <f t="shared" si="44"/>
        <v>15378.411157425713</v>
      </c>
      <c r="AE78">
        <f t="shared" si="45"/>
        <v>1.3986731384652764</v>
      </c>
    </row>
    <row r="79" spans="28:36" x14ac:dyDescent="0.3">
      <c r="AB79">
        <f t="shared" si="43"/>
        <v>1829</v>
      </c>
      <c r="AC79">
        <f t="shared" si="46"/>
        <v>838.23152179679232</v>
      </c>
      <c r="AD79">
        <f t="shared" si="44"/>
        <v>16216.642679222505</v>
      </c>
      <c r="AE79">
        <f>((AD79*100)*30)/$BV$33</f>
        <v>1.4749106575009099</v>
      </c>
    </row>
    <row r="80" spans="28:36" x14ac:dyDescent="0.3">
      <c r="AB80">
        <f t="shared" si="43"/>
        <v>1834</v>
      </c>
      <c r="AC80">
        <f t="shared" si="46"/>
        <v>836.55673409915892</v>
      </c>
      <c r="AD80">
        <f t="shared" si="44"/>
        <v>17053.199413321665</v>
      </c>
      <c r="AE80">
        <f t="shared" ref="AE80:AE143" si="47">((AD80*100)*30)/$BV$33</f>
        <v>1.5509958538719115</v>
      </c>
    </row>
    <row r="81" spans="28:31" x14ac:dyDescent="0.3">
      <c r="AB81">
        <f t="shared" si="43"/>
        <v>1839</v>
      </c>
      <c r="AC81">
        <f t="shared" si="46"/>
        <v>834.88529262957729</v>
      </c>
      <c r="AD81">
        <f t="shared" si="44"/>
        <v>17888.084705951242</v>
      </c>
      <c r="AE81">
        <f t="shared" si="47"/>
        <v>1.6269290319191669</v>
      </c>
    </row>
    <row r="82" spans="28:31" x14ac:dyDescent="0.3">
      <c r="AB82">
        <f t="shared" si="43"/>
        <v>1844</v>
      </c>
      <c r="AC82">
        <f t="shared" si="46"/>
        <v>833.21719070227937</v>
      </c>
      <c r="AD82">
        <f t="shared" si="44"/>
        <v>18721.30189665352</v>
      </c>
      <c r="AE82">
        <f t="shared" si="47"/>
        <v>1.7027104953754908</v>
      </c>
    </row>
    <row r="83" spans="28:31" x14ac:dyDescent="0.3">
      <c r="AB83">
        <f t="shared" si="43"/>
        <v>1849</v>
      </c>
      <c r="AC83">
        <f t="shared" si="46"/>
        <v>831.55242164485526</v>
      </c>
      <c r="AD83">
        <f t="shared" si="44"/>
        <v>19552.854318298374</v>
      </c>
      <c r="AE83">
        <f t="shared" si="47"/>
        <v>1.7783405473668372</v>
      </c>
    </row>
    <row r="84" spans="28:31" x14ac:dyDescent="0.3">
      <c r="AB84">
        <f t="shared" si="43"/>
        <v>1854</v>
      </c>
      <c r="AC84">
        <f t="shared" si="46"/>
        <v>829.89097879822634</v>
      </c>
      <c r="AD84">
        <f t="shared" si="44"/>
        <v>20382.745297096601</v>
      </c>
      <c r="AE84">
        <f t="shared" si="47"/>
        <v>1.8538194904135152</v>
      </c>
    </row>
    <row r="85" spans="28:31" x14ac:dyDescent="0.3">
      <c r="AB85">
        <f t="shared" si="43"/>
        <v>1859</v>
      </c>
      <c r="AC85">
        <f t="shared" si="46"/>
        <v>828.23285551661922</v>
      </c>
      <c r="AD85">
        <f t="shared" si="44"/>
        <v>21210.978152613221</v>
      </c>
      <c r="AE85">
        <f t="shared" si="47"/>
        <v>1.9291476264313978</v>
      </c>
    </row>
    <row r="86" spans="28:31" x14ac:dyDescent="0.3">
      <c r="AB86">
        <f t="shared" si="43"/>
        <v>1864</v>
      </c>
      <c r="AC86">
        <f t="shared" si="46"/>
        <v>826.57804516753856</v>
      </c>
      <c r="AD86">
        <f t="shared" si="44"/>
        <v>22037.556197780759</v>
      </c>
      <c r="AE86">
        <f t="shared" si="47"/>
        <v>2.0043252567331296</v>
      </c>
    </row>
    <row r="87" spans="28:31" x14ac:dyDescent="0.3">
      <c r="AB87">
        <f t="shared" si="43"/>
        <v>1869</v>
      </c>
      <c r="AC87">
        <f t="shared" si="46"/>
        <v>824.92654113174058</v>
      </c>
      <c r="AD87">
        <f t="shared" si="44"/>
        <v>22862.482738912498</v>
      </c>
      <c r="AE87">
        <f t="shared" si="47"/>
        <v>2.0793526820293313</v>
      </c>
    </row>
    <row r="88" spans="28:31" x14ac:dyDescent="0.3">
      <c r="AB88">
        <f t="shared" si="43"/>
        <v>1874</v>
      </c>
      <c r="AC88">
        <f t="shared" si="46"/>
        <v>823.27833680320703</v>
      </c>
      <c r="AD88">
        <f t="shared" si="44"/>
        <v>23685.761075715705</v>
      </c>
      <c r="AE88">
        <f t="shared" si="47"/>
        <v>2.154230202429805</v>
      </c>
    </row>
    <row r="89" spans="28:31" x14ac:dyDescent="0.3">
      <c r="AB89">
        <f t="shared" si="43"/>
        <v>1879</v>
      </c>
      <c r="AC89">
        <f t="shared" si="46"/>
        <v>821.63342558911836</v>
      </c>
      <c r="AD89">
        <f t="shared" si="44"/>
        <v>24507.394501304825</v>
      </c>
      <c r="AE89">
        <f t="shared" si="47"/>
        <v>2.2289581174447317</v>
      </c>
    </row>
    <row r="90" spans="28:31" x14ac:dyDescent="0.3">
      <c r="AB90">
        <f t="shared" si="43"/>
        <v>1884</v>
      </c>
      <c r="AC90">
        <f t="shared" si="46"/>
        <v>819.99180090982759</v>
      </c>
      <c r="AD90">
        <f t="shared" si="44"/>
        <v>25327.386302214654</v>
      </c>
      <c r="AE90">
        <f t="shared" si="47"/>
        <v>2.3035367259858717</v>
      </c>
    </row>
    <row r="91" spans="28:31" x14ac:dyDescent="0.3">
      <c r="AB91">
        <f t="shared" si="43"/>
        <v>1889</v>
      </c>
      <c r="AC91">
        <f t="shared" si="46"/>
        <v>818.35345619883378</v>
      </c>
      <c r="AD91">
        <f t="shared" si="44"/>
        <v>26145.739758413489</v>
      </c>
      <c r="AE91">
        <f t="shared" si="47"/>
        <v>2.3779663263677571</v>
      </c>
    </row>
    <row r="92" spans="28:31" x14ac:dyDescent="0.3">
      <c r="AB92">
        <f t="shared" si="43"/>
        <v>1894</v>
      </c>
      <c r="AC92">
        <f t="shared" si="46"/>
        <v>816.71838490275593</v>
      </c>
      <c r="AD92">
        <f t="shared" si="44"/>
        <v>26962.458143316246</v>
      </c>
      <c r="AE92">
        <f t="shared" si="47"/>
        <v>2.4522472163088902</v>
      </c>
    </row>
    <row r="93" spans="28:31" x14ac:dyDescent="0.3">
      <c r="AB93">
        <f t="shared" si="43"/>
        <v>1899</v>
      </c>
      <c r="AC93">
        <f t="shared" si="46"/>
        <v>815.08658048130667</v>
      </c>
      <c r="AD93">
        <f t="shared" si="44"/>
        <v>27777.544723797553</v>
      </c>
      <c r="AE93">
        <f t="shared" si="47"/>
        <v>2.5263796929329287</v>
      </c>
    </row>
    <row r="94" spans="28:31" x14ac:dyDescent="0.3">
      <c r="AB94">
        <f t="shared" si="43"/>
        <v>1904</v>
      </c>
      <c r="AC94">
        <f t="shared" si="46"/>
        <v>813.45803640726604</v>
      </c>
      <c r="AD94">
        <f t="shared" si="44"/>
        <v>28591.002760204818</v>
      </c>
      <c r="AE94">
        <f t="shared" si="47"/>
        <v>2.6003640527698786</v>
      </c>
    </row>
    <row r="95" spans="28:31" x14ac:dyDescent="0.3">
      <c r="AB95">
        <f t="shared" si="43"/>
        <v>1909</v>
      </c>
      <c r="AC95">
        <f t="shared" si="46"/>
        <v>811.83274616645576</v>
      </c>
      <c r="AD95">
        <f t="shared" si="44"/>
        <v>29402.835506371273</v>
      </c>
      <c r="AE95">
        <f t="shared" si="47"/>
        <v>2.6742005917572782</v>
      </c>
    </row>
    <row r="96" spans="28:31" x14ac:dyDescent="0.3">
      <c r="AB96">
        <f t="shared" si="43"/>
        <v>1914</v>
      </c>
      <c r="AC96">
        <f t="shared" si="46"/>
        <v>810.21070325771245</v>
      </c>
      <c r="AD96">
        <f t="shared" si="44"/>
        <v>30213.046209628985</v>
      </c>
      <c r="AE96">
        <f t="shared" si="47"/>
        <v>2.7478896052413808</v>
      </c>
    </row>
    <row r="97" spans="28:31" x14ac:dyDescent="0.3">
      <c r="AB97">
        <f t="shared" si="43"/>
        <v>1919</v>
      </c>
      <c r="AC97">
        <f t="shared" si="46"/>
        <v>808.59190119286257</v>
      </c>
      <c r="AD97">
        <f t="shared" si="44"/>
        <v>31021.638110821848</v>
      </c>
      <c r="AE97">
        <f t="shared" si="47"/>
        <v>2.8214313879783401</v>
      </c>
    </row>
    <row r="98" spans="28:31" x14ac:dyDescent="0.3">
      <c r="AB98">
        <f t="shared" si="43"/>
        <v>1924</v>
      </c>
      <c r="AC98">
        <f t="shared" si="46"/>
        <v>806.97633349669559</v>
      </c>
      <c r="AD98">
        <f t="shared" si="44"/>
        <v>31828.614444318544</v>
      </c>
      <c r="AE98">
        <f t="shared" si="47"/>
        <v>2.8948262341353836</v>
      </c>
    </row>
    <row r="99" spans="28:31" x14ac:dyDescent="0.3">
      <c r="AB99">
        <f t="shared" si="43"/>
        <v>1929</v>
      </c>
      <c r="AC99">
        <f t="shared" si="46"/>
        <v>805.36399370693846</v>
      </c>
      <c r="AD99">
        <f t="shared" si="44"/>
        <v>32633.978438025482</v>
      </c>
      <c r="AE99">
        <f t="shared" si="47"/>
        <v>2.9680744372919947</v>
      </c>
    </row>
    <row r="100" spans="28:31" x14ac:dyDescent="0.3">
      <c r="AB100">
        <f t="shared" si="43"/>
        <v>1934</v>
      </c>
      <c r="AC100">
        <f t="shared" si="46"/>
        <v>803.75487537422998</v>
      </c>
      <c r="AD100">
        <f t="shared" si="44"/>
        <v>33437.733313399709</v>
      </c>
      <c r="AE100">
        <f t="shared" si="47"/>
        <v>3.0411762904410828</v>
      </c>
    </row>
    <row r="101" spans="28:31" x14ac:dyDescent="0.3">
      <c r="AB101">
        <f t="shared" si="43"/>
        <v>1939</v>
      </c>
      <c r="AC101">
        <f t="shared" si="46"/>
        <v>802.14897206209469</v>
      </c>
      <c r="AD101">
        <f t="shared" si="44"/>
        <v>34239.882285461805</v>
      </c>
      <c r="AE101">
        <f t="shared" si="47"/>
        <v>3.1141320859901596</v>
      </c>
    </row>
    <row r="102" spans="28:31" x14ac:dyDescent="0.3">
      <c r="AB102">
        <f t="shared" si="43"/>
        <v>1944</v>
      </c>
      <c r="AC102">
        <f t="shared" si="46"/>
        <v>800.54627734691724</v>
      </c>
      <c r="AD102">
        <f t="shared" si="44"/>
        <v>35040.428562808724</v>
      </c>
      <c r="AE102">
        <f t="shared" si="47"/>
        <v>3.1869421157625037</v>
      </c>
    </row>
    <row r="103" spans="28:31" x14ac:dyDescent="0.3">
      <c r="AB103">
        <f t="shared" si="43"/>
        <v>1949</v>
      </c>
      <c r="AC103">
        <f t="shared" si="46"/>
        <v>798.94678481791652</v>
      </c>
      <c r="AD103">
        <f t="shared" si="44"/>
        <v>35839.375347626643</v>
      </c>
      <c r="AE103">
        <f t="shared" si="47"/>
        <v>3.2596066709983305</v>
      </c>
    </row>
    <row r="104" spans="28:31" x14ac:dyDescent="0.3">
      <c r="AB104">
        <f t="shared" si="43"/>
        <v>1954</v>
      </c>
      <c r="AC104">
        <f t="shared" si="46"/>
        <v>797.35048807712042</v>
      </c>
      <c r="AD104">
        <f t="shared" si="44"/>
        <v>36636.725835703764</v>
      </c>
      <c r="AE104">
        <f t="shared" si="47"/>
        <v>3.3321260423559584</v>
      </c>
    </row>
    <row r="105" spans="28:31" x14ac:dyDescent="0.3">
      <c r="AB105">
        <f t="shared" si="43"/>
        <v>1959</v>
      </c>
      <c r="AC105">
        <f t="shared" si="46"/>
        <v>795.75738073933962</v>
      </c>
      <c r="AD105">
        <f t="shared" si="44"/>
        <v>37432.483216443106</v>
      </c>
      <c r="AE105">
        <f t="shared" si="47"/>
        <v>3.4045005199129701</v>
      </c>
    </row>
    <row r="106" spans="28:31" x14ac:dyDescent="0.3">
      <c r="AB106">
        <f t="shared" si="43"/>
        <v>1964</v>
      </c>
      <c r="AC106">
        <f t="shared" si="46"/>
        <v>794.1674564321429</v>
      </c>
      <c r="AD106">
        <f t="shared" si="44"/>
        <v>38226.65067287525</v>
      </c>
      <c r="AE106">
        <f t="shared" si="47"/>
        <v>3.4767303931673714</v>
      </c>
    </row>
    <row r="107" spans="28:31" x14ac:dyDescent="0.3">
      <c r="AB107">
        <f t="shared" si="43"/>
        <v>1969</v>
      </c>
      <c r="AC107">
        <f t="shared" si="46"/>
        <v>792.58070879583079</v>
      </c>
      <c r="AD107">
        <f t="shared" si="44"/>
        <v>39019.231381671081</v>
      </c>
      <c r="AE107">
        <f t="shared" si="47"/>
        <v>3.5488159510387525</v>
      </c>
    </row>
    <row r="108" spans="28:31" x14ac:dyDescent="0.3">
      <c r="AB108">
        <f t="shared" si="43"/>
        <v>1974</v>
      </c>
      <c r="AC108">
        <f t="shared" si="46"/>
        <v>790.99713148341061</v>
      </c>
      <c r="AD108">
        <f t="shared" si="44"/>
        <v>39810.228513154492</v>
      </c>
      <c r="AE108">
        <f t="shared" si="47"/>
        <v>3.6207574818694397</v>
      </c>
    </row>
    <row r="109" spans="28:31" x14ac:dyDescent="0.3">
      <c r="AB109">
        <f t="shared" si="43"/>
        <v>1979</v>
      </c>
      <c r="AC109">
        <f t="shared" si="46"/>
        <v>789.41671816057112</v>
      </c>
      <c r="AD109">
        <f t="shared" si="44"/>
        <v>40599.645231315066</v>
      </c>
      <c r="AE109">
        <f t="shared" si="47"/>
        <v>3.6925552734256541</v>
      </c>
    </row>
    <row r="110" spans="28:31" x14ac:dyDescent="0.3">
      <c r="AB110">
        <f t="shared" si="43"/>
        <v>1984</v>
      </c>
      <c r="AC110">
        <f t="shared" si="46"/>
        <v>787.83946250565668</v>
      </c>
      <c r="AD110">
        <f t="shared" si="44"/>
        <v>41387.484693820719</v>
      </c>
      <c r="AE110">
        <f t="shared" si="47"/>
        <v>3.764209612898656</v>
      </c>
    </row>
    <row r="111" spans="28:31" x14ac:dyDescent="0.3">
      <c r="AB111">
        <f t="shared" si="43"/>
        <v>1989</v>
      </c>
      <c r="AC111">
        <f t="shared" si="46"/>
        <v>786.26535820964284</v>
      </c>
      <c r="AD111">
        <f t="shared" si="44"/>
        <v>42173.750052030366</v>
      </c>
      <c r="AE111">
        <f t="shared" si="47"/>
        <v>3.8357207869058993</v>
      </c>
    </row>
    <row r="112" spans="28:31" x14ac:dyDescent="0.3">
      <c r="AB112">
        <f t="shared" si="43"/>
        <v>1994</v>
      </c>
      <c r="AC112">
        <f t="shared" si="46"/>
        <v>784.69439897611005</v>
      </c>
      <c r="AD112">
        <f t="shared" si="44"/>
        <v>42958.444451006479</v>
      </c>
      <c r="AE112">
        <f t="shared" si="47"/>
        <v>3.9070890814921766</v>
      </c>
    </row>
    <row r="113" spans="28:31" x14ac:dyDescent="0.3">
      <c r="AB113">
        <f t="shared" si="43"/>
        <v>1999</v>
      </c>
      <c r="AC113">
        <f t="shared" si="46"/>
        <v>783.12657852121947</v>
      </c>
      <c r="AD113">
        <f t="shared" si="44"/>
        <v>43741.571029527695</v>
      </c>
      <c r="AE113">
        <f t="shared" si="47"/>
        <v>3.9783147821307585</v>
      </c>
    </row>
    <row r="114" spans="28:31" x14ac:dyDescent="0.3">
      <c r="AB114">
        <f t="shared" si="43"/>
        <v>2004</v>
      </c>
      <c r="AC114">
        <f t="shared" si="46"/>
        <v>781.56189057368726</v>
      </c>
      <c r="AD114">
        <f t="shared" si="44"/>
        <v>44523.13292010138</v>
      </c>
      <c r="AE114">
        <f t="shared" si="47"/>
        <v>4.0493981737245459</v>
      </c>
    </row>
    <row r="115" spans="28:31" x14ac:dyDescent="0.3">
      <c r="AB115">
        <f t="shared" si="43"/>
        <v>2009</v>
      </c>
      <c r="AC115">
        <f t="shared" si="46"/>
        <v>780.00032887475936</v>
      </c>
      <c r="AD115">
        <f t="shared" si="44"/>
        <v>45303.133248976141</v>
      </c>
      <c r="AE115">
        <f t="shared" si="47"/>
        <v>4.1203395406071976</v>
      </c>
    </row>
    <row r="116" spans="28:31" x14ac:dyDescent="0.3">
      <c r="AB116">
        <f t="shared" si="43"/>
        <v>2014</v>
      </c>
      <c r="AC116">
        <f t="shared" si="46"/>
        <v>778.4418871781869</v>
      </c>
      <c r="AD116">
        <f t="shared" si="44"/>
        <v>46081.57513615433</v>
      </c>
      <c r="AE116">
        <f t="shared" si="47"/>
        <v>4.1911391665442776</v>
      </c>
    </row>
    <row r="117" spans="28:31" x14ac:dyDescent="0.3">
      <c r="AB117">
        <f t="shared" si="43"/>
        <v>2019</v>
      </c>
      <c r="AC117">
        <f t="shared" si="46"/>
        <v>776.88655925020123</v>
      </c>
      <c r="AD117">
        <f t="shared" si="44"/>
        <v>46858.461695404534</v>
      </c>
      <c r="AE117">
        <f t="shared" si="47"/>
        <v>4.2617973347343829</v>
      </c>
    </row>
    <row r="118" spans="28:31" x14ac:dyDescent="0.3">
      <c r="AB118">
        <f t="shared" si="43"/>
        <v>2024</v>
      </c>
      <c r="AC118">
        <f t="shared" si="46"/>
        <v>775.33433886948831</v>
      </c>
      <c r="AD118">
        <f t="shared" si="44"/>
        <v>47633.796034274019</v>
      </c>
      <c r="AE118">
        <f t="shared" si="47"/>
        <v>4.3323143278102796</v>
      </c>
    </row>
    <row r="119" spans="28:31" x14ac:dyDescent="0.3">
      <c r="AB119">
        <f t="shared" si="43"/>
        <v>2029</v>
      </c>
      <c r="AC119">
        <f t="shared" si="46"/>
        <v>773.78521982716461</v>
      </c>
      <c r="AD119">
        <f t="shared" si="44"/>
        <v>48407.581254101184</v>
      </c>
      <c r="AE119">
        <f t="shared" si="47"/>
        <v>4.4026904278400343</v>
      </c>
    </row>
    <row r="120" spans="28:31" x14ac:dyDescent="0.3">
      <c r="AB120">
        <f t="shared" si="43"/>
        <v>2034</v>
      </c>
      <c r="AC120">
        <f t="shared" si="46"/>
        <v>772.2391959267519</v>
      </c>
      <c r="AD120">
        <f t="shared" si="44"/>
        <v>49179.820450027939</v>
      </c>
      <c r="AE120">
        <f t="shared" si="47"/>
        <v>4.4729259163281441</v>
      </c>
    </row>
    <row r="121" spans="28:31" x14ac:dyDescent="0.3">
      <c r="AB121">
        <f t="shared" si="43"/>
        <v>2039</v>
      </c>
      <c r="AC121">
        <f t="shared" si="46"/>
        <v>770.69626098415267</v>
      </c>
      <c r="AD121">
        <f t="shared" si="44"/>
        <v>49950.516711012089</v>
      </c>
      <c r="AE121">
        <f t="shared" si="47"/>
        <v>4.5430210742166519</v>
      </c>
    </row>
    <row r="122" spans="28:31" x14ac:dyDescent="0.3">
      <c r="AB122">
        <f t="shared" si="43"/>
        <v>2044</v>
      </c>
      <c r="AC122">
        <f t="shared" si="46"/>
        <v>769.15640882762489</v>
      </c>
      <c r="AD122">
        <f t="shared" si="44"/>
        <v>50719.673119839717</v>
      </c>
      <c r="AE122">
        <f t="shared" si="47"/>
        <v>4.6129761818862862</v>
      </c>
    </row>
    <row r="123" spans="28:31" x14ac:dyDescent="0.3">
      <c r="AB123">
        <f t="shared" si="43"/>
        <v>2049</v>
      </c>
      <c r="AC123">
        <f t="shared" si="46"/>
        <v>767.61963329775801</v>
      </c>
      <c r="AD123">
        <f t="shared" si="44"/>
        <v>51487.292753137473</v>
      </c>
      <c r="AE123">
        <f t="shared" si="47"/>
        <v>4.6827915191575684</v>
      </c>
    </row>
    <row r="124" spans="28:31" x14ac:dyDescent="0.3">
      <c r="AB124">
        <f t="shared" si="43"/>
        <v>2054</v>
      </c>
      <c r="AC124">
        <f t="shared" si="46"/>
        <v>766.08592824744778</v>
      </c>
      <c r="AD124">
        <f t="shared" si="44"/>
        <v>52253.378681384922</v>
      </c>
      <c r="AE124">
        <f t="shared" si="47"/>
        <v>4.7524673652919436</v>
      </c>
    </row>
    <row r="125" spans="28:31" x14ac:dyDescent="0.3">
      <c r="AB125">
        <f t="shared" si="43"/>
        <v>2059</v>
      </c>
      <c r="AC125">
        <f t="shared" si="46"/>
        <v>764.55528754187196</v>
      </c>
      <c r="AD125">
        <f t="shared" si="44"/>
        <v>53017.933968926794</v>
      </c>
      <c r="AE125">
        <f t="shared" si="47"/>
        <v>4.8220039989928871</v>
      </c>
    </row>
    <row r="126" spans="28:31" x14ac:dyDescent="0.3">
      <c r="AB126">
        <f t="shared" ref="AB126:AB190" si="48">AB125+5</f>
        <v>2064</v>
      </c>
      <c r="AC126">
        <f t="shared" si="46"/>
        <v>763.0277050584657</v>
      </c>
      <c r="AD126">
        <f t="shared" ref="AD126:AD189" si="49">AD125+AC126</f>
        <v>53780.961673985257</v>
      </c>
      <c r="AE126">
        <f t="shared" si="47"/>
        <v>4.8914016984070265</v>
      </c>
    </row>
    <row r="127" spans="28:31" x14ac:dyDescent="0.3">
      <c r="AB127">
        <f t="shared" si="48"/>
        <v>2069</v>
      </c>
      <c r="AC127">
        <f t="shared" si="46"/>
        <v>761.50317468689718</v>
      </c>
      <c r="AD127">
        <f t="shared" si="49"/>
        <v>54542.464848672156</v>
      </c>
      <c r="AE127">
        <f t="shared" si="47"/>
        <v>4.9606607411252526</v>
      </c>
    </row>
    <row r="128" spans="28:31" x14ac:dyDescent="0.3">
      <c r="AB128">
        <f t="shared" si="48"/>
        <v>2074</v>
      </c>
      <c r="AC128">
        <f t="shared" si="46"/>
        <v>759.98169032904264</v>
      </c>
      <c r="AD128">
        <f t="shared" si="49"/>
        <v>55302.446539001197</v>
      </c>
      <c r="AE128">
        <f t="shared" si="47"/>
        <v>5.0297814041838285</v>
      </c>
    </row>
    <row r="129" spans="28:31" x14ac:dyDescent="0.3">
      <c r="AB129">
        <f t="shared" si="48"/>
        <v>2079</v>
      </c>
      <c r="AC129">
        <f t="shared" si="46"/>
        <v>758.46324589896267</v>
      </c>
      <c r="AD129">
        <f t="shared" si="49"/>
        <v>56060.909784900163</v>
      </c>
      <c r="AE129">
        <f t="shared" si="47"/>
        <v>5.0987639640654994</v>
      </c>
    </row>
    <row r="130" spans="28:31" x14ac:dyDescent="0.3">
      <c r="AB130">
        <f t="shared" si="48"/>
        <v>2084</v>
      </c>
      <c r="AC130">
        <f t="shared" si="46"/>
        <v>756.94783532287772</v>
      </c>
      <c r="AD130">
        <f t="shared" si="49"/>
        <v>56817.85762022304</v>
      </c>
      <c r="AE130">
        <f t="shared" si="47"/>
        <v>5.1676086967005954</v>
      </c>
    </row>
    <row r="131" spans="28:31" x14ac:dyDescent="0.3">
      <c r="AB131">
        <f t="shared" si="48"/>
        <v>2089</v>
      </c>
      <c r="AC131">
        <f t="shared" si="46"/>
        <v>755.43545253914328</v>
      </c>
      <c r="AD131">
        <f t="shared" si="49"/>
        <v>57573.293072762186</v>
      </c>
      <c r="AE131">
        <f t="shared" si="47"/>
        <v>5.2363158774681384</v>
      </c>
    </row>
    <row r="132" spans="28:31" x14ac:dyDescent="0.3">
      <c r="AB132">
        <f t="shared" si="48"/>
        <v>2094</v>
      </c>
      <c r="AC132">
        <f t="shared" ref="AC132:AC195" si="50" xml:space="preserve"> 1742.18324*EXP(-0.0004*AB132)</f>
        <v>753.92609149822613</v>
      </c>
      <c r="AD132">
        <f t="shared" si="49"/>
        <v>58327.219164260416</v>
      </c>
      <c r="AE132">
        <f t="shared" si="47"/>
        <v>5.304885781196945</v>
      </c>
    </row>
    <row r="133" spans="28:31" x14ac:dyDescent="0.3">
      <c r="AB133">
        <f t="shared" si="48"/>
        <v>2099</v>
      </c>
      <c r="AC133">
        <f t="shared" si="50"/>
        <v>752.41974616268033</v>
      </c>
      <c r="AD133">
        <f t="shared" si="49"/>
        <v>59079.638910423098</v>
      </c>
      <c r="AE133">
        <f t="shared" si="47"/>
        <v>5.3733186821667216</v>
      </c>
    </row>
    <row r="134" spans="28:31" x14ac:dyDescent="0.3">
      <c r="AB134">
        <f t="shared" si="48"/>
        <v>2104</v>
      </c>
      <c r="AC134">
        <f t="shared" si="50"/>
        <v>750.91641050712246</v>
      </c>
      <c r="AD134">
        <f t="shared" si="49"/>
        <v>59830.555320930223</v>
      </c>
      <c r="AE134">
        <f t="shared" si="47"/>
        <v>5.4416148541091607</v>
      </c>
    </row>
    <row r="135" spans="28:31" x14ac:dyDescent="0.3">
      <c r="AB135">
        <f t="shared" si="48"/>
        <v>2109</v>
      </c>
      <c r="AC135">
        <f t="shared" si="50"/>
        <v>749.41607851820766</v>
      </c>
      <c r="AD135">
        <f t="shared" si="49"/>
        <v>60579.971399448434</v>
      </c>
      <c r="AE135">
        <f t="shared" si="47"/>
        <v>5.5097745702090437</v>
      </c>
    </row>
    <row r="136" spans="28:31" x14ac:dyDescent="0.3">
      <c r="AB136">
        <f t="shared" si="48"/>
        <v>2114</v>
      </c>
      <c r="AC136">
        <f t="shared" si="50"/>
        <v>747.91874419460635</v>
      </c>
      <c r="AD136">
        <f t="shared" si="49"/>
        <v>61327.890143643039</v>
      </c>
      <c r="AE136">
        <f t="shared" si="47"/>
        <v>5.5777981031053248</v>
      </c>
    </row>
    <row r="137" spans="28:31" x14ac:dyDescent="0.3">
      <c r="AB137">
        <f t="shared" si="48"/>
        <v>2119</v>
      </c>
      <c r="AC137">
        <f t="shared" si="50"/>
        <v>746.42440154697897</v>
      </c>
      <c r="AD137">
        <f t="shared" si="49"/>
        <v>62074.31454519002</v>
      </c>
      <c r="AE137">
        <f t="shared" si="47"/>
        <v>5.6456857248922256</v>
      </c>
    </row>
    <row r="138" spans="28:31" x14ac:dyDescent="0.3">
      <c r="AB138">
        <f t="shared" si="48"/>
        <v>2124</v>
      </c>
      <c r="AC138">
        <f t="shared" si="50"/>
        <v>744.93304459795297</v>
      </c>
      <c r="AD138">
        <f t="shared" si="49"/>
        <v>62819.24758978797</v>
      </c>
      <c r="AE138">
        <f t="shared" si="47"/>
        <v>5.7134377071203248</v>
      </c>
    </row>
    <row r="139" spans="28:31" x14ac:dyDescent="0.3">
      <c r="AB139">
        <f t="shared" si="48"/>
        <v>2129</v>
      </c>
      <c r="AC139">
        <f t="shared" si="50"/>
        <v>743.4446673820986</v>
      </c>
      <c r="AD139">
        <f t="shared" si="49"/>
        <v>63562.692257170071</v>
      </c>
      <c r="AE139">
        <f t="shared" si="47"/>
        <v>5.7810543207976419</v>
      </c>
    </row>
    <row r="140" spans="28:31" x14ac:dyDescent="0.3">
      <c r="AB140">
        <f t="shared" si="48"/>
        <v>2134</v>
      </c>
      <c r="AC140">
        <f t="shared" si="50"/>
        <v>741.95926394590504</v>
      </c>
      <c r="AD140">
        <f t="shared" si="49"/>
        <v>64304.651521115979</v>
      </c>
      <c r="AE140">
        <f t="shared" si="47"/>
        <v>5.8485358363907212</v>
      </c>
    </row>
    <row r="141" spans="28:31" x14ac:dyDescent="0.3">
      <c r="AB141">
        <f t="shared" si="48"/>
        <v>2139</v>
      </c>
      <c r="AC141">
        <f t="shared" si="50"/>
        <v>740.47682834775651</v>
      </c>
      <c r="AD141">
        <f t="shared" si="49"/>
        <v>65045.128349463732</v>
      </c>
      <c r="AE141">
        <f t="shared" si="47"/>
        <v>5.9158825238257142</v>
      </c>
    </row>
    <row r="142" spans="28:31" x14ac:dyDescent="0.3">
      <c r="AB142">
        <f t="shared" si="48"/>
        <v>2144</v>
      </c>
      <c r="AC142">
        <f t="shared" si="50"/>
        <v>738.99735465790866</v>
      </c>
      <c r="AD142">
        <f t="shared" si="49"/>
        <v>65784.125704121645</v>
      </c>
      <c r="AE142">
        <f t="shared" si="47"/>
        <v>5.9830946524894637</v>
      </c>
    </row>
    <row r="143" spans="28:31" x14ac:dyDescent="0.3">
      <c r="AB143">
        <f t="shared" si="48"/>
        <v>2149</v>
      </c>
      <c r="AC143">
        <f t="shared" si="50"/>
        <v>737.52083695846488</v>
      </c>
      <c r="AD143">
        <f t="shared" si="49"/>
        <v>66521.646541080103</v>
      </c>
      <c r="AE143">
        <f t="shared" si="47"/>
        <v>6.0501724912305681</v>
      </c>
    </row>
    <row r="144" spans="28:31" x14ac:dyDescent="0.3">
      <c r="AB144">
        <f t="shared" si="48"/>
        <v>2154</v>
      </c>
      <c r="AC144">
        <f t="shared" si="50"/>
        <v>736.04726934335224</v>
      </c>
      <c r="AD144">
        <f t="shared" si="49"/>
        <v>67257.693810423458</v>
      </c>
      <c r="AE144">
        <f t="shared" ref="AE144:AE207" si="51">((AD144*100)*30)/$BV$33</f>
        <v>6.1171163083604778</v>
      </c>
    </row>
    <row r="145" spans="28:31" x14ac:dyDescent="0.3">
      <c r="AB145">
        <f t="shared" si="48"/>
        <v>2159</v>
      </c>
      <c r="AC145">
        <f t="shared" si="50"/>
        <v>734.57664591829837</v>
      </c>
      <c r="AD145">
        <f t="shared" si="49"/>
        <v>67992.27045634175</v>
      </c>
      <c r="AE145">
        <f t="shared" si="51"/>
        <v>6.1839263716545467</v>
      </c>
    </row>
    <row r="146" spans="28:31" x14ac:dyDescent="0.3">
      <c r="AB146">
        <f t="shared" si="48"/>
        <v>2164</v>
      </c>
      <c r="AC146">
        <f t="shared" si="50"/>
        <v>733.10896080080761</v>
      </c>
      <c r="AD146">
        <f t="shared" si="49"/>
        <v>68725.379417142554</v>
      </c>
      <c r="AE146">
        <f t="shared" si="51"/>
        <v>6.2506029483531194</v>
      </c>
    </row>
    <row r="147" spans="28:31" x14ac:dyDescent="0.3">
      <c r="AB147">
        <f t="shared" si="48"/>
        <v>2169</v>
      </c>
      <c r="AC147">
        <f t="shared" si="50"/>
        <v>731.64420812013748</v>
      </c>
      <c r="AD147">
        <f t="shared" si="49"/>
        <v>69457.023625262693</v>
      </c>
      <c r="AE147">
        <f t="shared" si="51"/>
        <v>6.3171463051625922</v>
      </c>
    </row>
    <row r="148" spans="28:31" x14ac:dyDescent="0.3">
      <c r="AB148">
        <f t="shared" si="48"/>
        <v>2174</v>
      </c>
      <c r="AC148">
        <f t="shared" si="50"/>
        <v>730.18238201727536</v>
      </c>
      <c r="AD148">
        <f t="shared" si="49"/>
        <v>70187.206007279965</v>
      </c>
      <c r="AE148">
        <f t="shared" si="51"/>
        <v>6.3835567082564779</v>
      </c>
    </row>
    <row r="149" spans="28:31" x14ac:dyDescent="0.3">
      <c r="AB149">
        <f t="shared" si="48"/>
        <v>2179</v>
      </c>
      <c r="AC149">
        <f t="shared" si="50"/>
        <v>728.72347664491497</v>
      </c>
      <c r="AD149">
        <f t="shared" si="49"/>
        <v>70915.929483924876</v>
      </c>
      <c r="AE149">
        <f t="shared" si="51"/>
        <v>6.4498344232764788</v>
      </c>
    </row>
    <row r="150" spans="28:31" x14ac:dyDescent="0.3">
      <c r="AB150">
        <f t="shared" si="48"/>
        <v>2184</v>
      </c>
      <c r="AC150">
        <f t="shared" si="50"/>
        <v>727.26748616743271</v>
      </c>
      <c r="AD150">
        <f t="shared" si="49"/>
        <v>71643.196970092307</v>
      </c>
      <c r="AE150">
        <f t="shared" si="51"/>
        <v>6.5159797153335433</v>
      </c>
    </row>
    <row r="151" spans="28:31" x14ac:dyDescent="0.3">
      <c r="AB151">
        <f t="shared" si="48"/>
        <v>2189</v>
      </c>
      <c r="AC151">
        <f t="shared" si="50"/>
        <v>725.81440476086482</v>
      </c>
      <c r="AD151">
        <f t="shared" si="49"/>
        <v>72369.011374853173</v>
      </c>
      <c r="AE151">
        <f t="shared" si="51"/>
        <v>6.5819928490089286</v>
      </c>
    </row>
    <row r="152" spans="28:31" x14ac:dyDescent="0.3">
      <c r="AB152">
        <f t="shared" si="48"/>
        <v>2194</v>
      </c>
      <c r="AC152">
        <f t="shared" si="50"/>
        <v>724.36422661288384</v>
      </c>
      <c r="AD152">
        <f t="shared" si="49"/>
        <v>73093.375601466061</v>
      </c>
      <c r="AE152">
        <f t="shared" si="51"/>
        <v>6.6478740883552589</v>
      </c>
    </row>
    <row r="153" spans="28:31" x14ac:dyDescent="0.3">
      <c r="AB153">
        <f t="shared" si="48"/>
        <v>2199</v>
      </c>
      <c r="AC153">
        <f t="shared" si="50"/>
        <v>722.91694592277508</v>
      </c>
      <c r="AD153">
        <f t="shared" si="49"/>
        <v>73816.292547388832</v>
      </c>
      <c r="AE153">
        <f t="shared" si="51"/>
        <v>6.7136236968975744</v>
      </c>
    </row>
    <row r="154" spans="28:31" x14ac:dyDescent="0.3">
      <c r="AB154">
        <f t="shared" si="48"/>
        <v>2204</v>
      </c>
      <c r="AC154">
        <f t="shared" si="50"/>
        <v>721.4725569014139</v>
      </c>
      <c r="AD154">
        <f t="shared" si="49"/>
        <v>74537.765104290243</v>
      </c>
      <c r="AE154">
        <f t="shared" si="51"/>
        <v>6.779241937634402</v>
      </c>
    </row>
    <row r="155" spans="28:31" x14ac:dyDescent="0.3">
      <c r="AB155">
        <f t="shared" si="48"/>
        <v>2209</v>
      </c>
      <c r="AC155">
        <f t="shared" si="50"/>
        <v>720.03105377124223</v>
      </c>
      <c r="AD155">
        <f t="shared" si="49"/>
        <v>75257.796158061479</v>
      </c>
      <c r="AE155">
        <f t="shared" si="51"/>
        <v>6.8447290730387884</v>
      </c>
    </row>
    <row r="156" spans="28:31" x14ac:dyDescent="0.3">
      <c r="AB156">
        <f t="shared" si="48"/>
        <v>2214</v>
      </c>
      <c r="AC156">
        <f t="shared" si="50"/>
        <v>718.59243076624568</v>
      </c>
      <c r="AD156">
        <f t="shared" si="49"/>
        <v>75976.388588827729</v>
      </c>
      <c r="AE156">
        <f t="shared" si="51"/>
        <v>6.9100853650593663</v>
      </c>
    </row>
    <row r="157" spans="28:31" x14ac:dyDescent="0.3">
      <c r="AB157">
        <f t="shared" si="48"/>
        <v>2219</v>
      </c>
      <c r="AC157">
        <f t="shared" si="50"/>
        <v>717.15668213193044</v>
      </c>
      <c r="AD157">
        <f t="shared" si="49"/>
        <v>76693.545270959658</v>
      </c>
      <c r="AE157">
        <f t="shared" si="51"/>
        <v>6.9753110751213878</v>
      </c>
    </row>
    <row r="158" spans="28:31" x14ac:dyDescent="0.3">
      <c r="AB158">
        <f t="shared" si="48"/>
        <v>2224</v>
      </c>
      <c r="AC158">
        <f t="shared" si="50"/>
        <v>715.7238021252997</v>
      </c>
      <c r="AD158">
        <f t="shared" si="49"/>
        <v>77409.269073084957</v>
      </c>
      <c r="AE158">
        <f t="shared" si="51"/>
        <v>7.0404064641277815</v>
      </c>
    </row>
    <row r="159" spans="28:31" x14ac:dyDescent="0.3">
      <c r="AB159">
        <f t="shared" si="48"/>
        <v>2229</v>
      </c>
      <c r="AC159">
        <f t="shared" si="50"/>
        <v>714.293785014832</v>
      </c>
      <c r="AD159">
        <f t="shared" si="49"/>
        <v>78123.562858099787</v>
      </c>
      <c r="AE159">
        <f t="shared" si="51"/>
        <v>7.1053717924601898</v>
      </c>
    </row>
    <row r="160" spans="28:31" x14ac:dyDescent="0.3">
      <c r="AB160">
        <f t="shared" si="48"/>
        <v>2234</v>
      </c>
      <c r="AC160">
        <f t="shared" si="50"/>
        <v>712.86662508045663</v>
      </c>
      <c r="AD160">
        <f t="shared" si="49"/>
        <v>78836.42948318024</v>
      </c>
      <c r="AE160">
        <f t="shared" si="51"/>
        <v>7.1702073199800136</v>
      </c>
    </row>
    <row r="161" spans="28:31" x14ac:dyDescent="0.3">
      <c r="AB161">
        <f t="shared" si="48"/>
        <v>2239</v>
      </c>
      <c r="AC161">
        <f t="shared" si="50"/>
        <v>711.44231661353206</v>
      </c>
      <c r="AD161">
        <f t="shared" si="49"/>
        <v>79547.871799793778</v>
      </c>
      <c r="AE161">
        <f t="shared" si="51"/>
        <v>7.2349133060294468</v>
      </c>
    </row>
    <row r="162" spans="28:31" x14ac:dyDescent="0.3">
      <c r="AB162">
        <f t="shared" si="48"/>
        <v>2244</v>
      </c>
      <c r="AC162">
        <f t="shared" si="50"/>
        <v>710.0208539168226</v>
      </c>
      <c r="AD162">
        <f t="shared" si="49"/>
        <v>80257.892653710602</v>
      </c>
      <c r="AE162">
        <f t="shared" si="51"/>
        <v>7.2994900094325246</v>
      </c>
    </row>
    <row r="163" spans="28:31" x14ac:dyDescent="0.3">
      <c r="AB163">
        <f t="shared" si="48"/>
        <v>2249</v>
      </c>
      <c r="AC163">
        <f t="shared" si="50"/>
        <v>708.60223130447548</v>
      </c>
      <c r="AD163">
        <f t="shared" si="49"/>
        <v>80966.494885015083</v>
      </c>
      <c r="AE163">
        <f t="shared" si="51"/>
        <v>7.3639376884961427</v>
      </c>
    </row>
    <row r="164" spans="28:31" x14ac:dyDescent="0.3">
      <c r="AB164">
        <f t="shared" si="48"/>
        <v>2254</v>
      </c>
      <c r="AC164">
        <f t="shared" si="50"/>
        <v>707.18644310199841</v>
      </c>
      <c r="AD164">
        <f t="shared" si="49"/>
        <v>81673.681328117076</v>
      </c>
      <c r="AE164">
        <f t="shared" si="51"/>
        <v>7.4282566010111024</v>
      </c>
    </row>
    <row r="165" spans="28:31" x14ac:dyDescent="0.3">
      <c r="AB165">
        <f t="shared" si="48"/>
        <v>2259</v>
      </c>
      <c r="AC165">
        <f t="shared" si="50"/>
        <v>705.77348364623651</v>
      </c>
      <c r="AD165">
        <f t="shared" si="49"/>
        <v>82379.454811763309</v>
      </c>
      <c r="AE165">
        <f t="shared" si="51"/>
        <v>7.492447004253143</v>
      </c>
    </row>
    <row r="166" spans="28:31" x14ac:dyDescent="0.3">
      <c r="AB166">
        <f t="shared" si="48"/>
        <v>2264</v>
      </c>
      <c r="AC166">
        <f t="shared" si="50"/>
        <v>704.36334728535041</v>
      </c>
      <c r="AD166">
        <f t="shared" si="49"/>
        <v>83083.818159048664</v>
      </c>
      <c r="AE166">
        <f t="shared" si="51"/>
        <v>7.5565091549839618</v>
      </c>
    </row>
    <row r="167" spans="28:31" x14ac:dyDescent="0.3">
      <c r="AB167">
        <f t="shared" si="48"/>
        <v>2269</v>
      </c>
      <c r="AC167">
        <f t="shared" si="50"/>
        <v>702.95602837879255</v>
      </c>
      <c r="AD167">
        <f t="shared" si="49"/>
        <v>83786.774187427451</v>
      </c>
      <c r="AE167">
        <f t="shared" si="51"/>
        <v>7.6204433094522468</v>
      </c>
    </row>
    <row r="168" spans="28:31" x14ac:dyDescent="0.3">
      <c r="AB168">
        <f t="shared" si="48"/>
        <v>2274</v>
      </c>
      <c r="AC168">
        <f t="shared" si="50"/>
        <v>701.55152129728549</v>
      </c>
      <c r="AD168">
        <f t="shared" si="49"/>
        <v>84488.325708724733</v>
      </c>
      <c r="AE168">
        <f t="shared" si="51"/>
        <v>7.6842497233947</v>
      </c>
    </row>
    <row r="169" spans="28:31" x14ac:dyDescent="0.3">
      <c r="AB169">
        <f t="shared" si="48"/>
        <v>2279</v>
      </c>
      <c r="AC169">
        <f t="shared" si="50"/>
        <v>700.14982042279894</v>
      </c>
      <c r="AD169">
        <f t="shared" si="49"/>
        <v>85188.47552914753</v>
      </c>
      <c r="AE169">
        <f t="shared" si="51"/>
        <v>7.7479286520370652</v>
      </c>
    </row>
    <row r="170" spans="28:31" x14ac:dyDescent="0.3">
      <c r="AB170">
        <f t="shared" si="48"/>
        <v>2284</v>
      </c>
      <c r="AC170">
        <f t="shared" si="50"/>
        <v>698.75092014852771</v>
      </c>
      <c r="AD170">
        <f t="shared" si="49"/>
        <v>85887.226449296053</v>
      </c>
      <c r="AE170">
        <f t="shared" si="51"/>
        <v>7.8114803500951382</v>
      </c>
    </row>
    <row r="171" spans="28:31" x14ac:dyDescent="0.3">
      <c r="AB171">
        <f t="shared" si="48"/>
        <v>2289</v>
      </c>
      <c r="AC171">
        <f t="shared" si="50"/>
        <v>697.35481487886875</v>
      </c>
      <c r="AD171">
        <f t="shared" si="49"/>
        <v>86584.581264174922</v>
      </c>
      <c r="AE171">
        <f t="shared" si="51"/>
        <v>7.8749050717757996</v>
      </c>
    </row>
    <row r="172" spans="28:31" x14ac:dyDescent="0.3">
      <c r="AB172">
        <f t="shared" si="48"/>
        <v>2294</v>
      </c>
      <c r="AC172">
        <f t="shared" si="50"/>
        <v>695.96149902939908</v>
      </c>
      <c r="AD172">
        <f t="shared" si="49"/>
        <v>87280.542763204314</v>
      </c>
      <c r="AE172">
        <f t="shared" si="51"/>
        <v>7.9382030707780187</v>
      </c>
    </row>
    <row r="173" spans="28:31" x14ac:dyDescent="0.3">
      <c r="AB173">
        <f t="shared" si="48"/>
        <v>2299</v>
      </c>
      <c r="AC173">
        <f t="shared" si="50"/>
        <v>694.5709670268534</v>
      </c>
      <c r="AD173">
        <f t="shared" si="49"/>
        <v>87975.113730231169</v>
      </c>
      <c r="AE173">
        <f t="shared" si="51"/>
        <v>8.0013746002938753</v>
      </c>
    </row>
    <row r="174" spans="28:31" x14ac:dyDescent="0.3">
      <c r="AB174">
        <f t="shared" si="48"/>
        <v>2304</v>
      </c>
      <c r="AC174">
        <f t="shared" si="50"/>
        <v>693.18321330910192</v>
      </c>
      <c r="AD174">
        <f t="shared" si="49"/>
        <v>88668.296943540277</v>
      </c>
      <c r="AE174">
        <f t="shared" si="51"/>
        <v>8.0644199130095746</v>
      </c>
    </row>
    <row r="175" spans="28:31" x14ac:dyDescent="0.3">
      <c r="AB175">
        <f t="shared" si="48"/>
        <v>2309</v>
      </c>
      <c r="AC175">
        <f t="shared" si="50"/>
        <v>691.79823232512797</v>
      </c>
      <c r="AD175">
        <f t="shared" si="49"/>
        <v>89360.095175865412</v>
      </c>
      <c r="AE175">
        <f t="shared" si="51"/>
        <v>8.1273392611064477</v>
      </c>
    </row>
    <row r="176" spans="28:31" x14ac:dyDescent="0.3">
      <c r="AB176">
        <f t="shared" si="48"/>
        <v>2314</v>
      </c>
      <c r="AC176">
        <f t="shared" si="50"/>
        <v>690.41601853500583</v>
      </c>
      <c r="AD176">
        <f t="shared" si="49"/>
        <v>90050.511194400417</v>
      </c>
      <c r="AE176">
        <f t="shared" si="51"/>
        <v>8.190132896261975</v>
      </c>
    </row>
    <row r="177" spans="28:31" x14ac:dyDescent="0.3">
      <c r="AB177">
        <f t="shared" si="48"/>
        <v>2319</v>
      </c>
      <c r="AC177">
        <f t="shared" si="50"/>
        <v>689.03656640987822</v>
      </c>
      <c r="AD177">
        <f t="shared" si="49"/>
        <v>90739.547760810296</v>
      </c>
      <c r="AE177">
        <f t="shared" si="51"/>
        <v>8.2528010696507774</v>
      </c>
    </row>
    <row r="178" spans="28:31" x14ac:dyDescent="0.3">
      <c r="AB178">
        <f t="shared" si="48"/>
        <v>2324</v>
      </c>
      <c r="AC178">
        <f t="shared" si="50"/>
        <v>687.65987043193513</v>
      </c>
      <c r="AD178">
        <f t="shared" si="49"/>
        <v>91427.207631242229</v>
      </c>
      <c r="AE178">
        <f t="shared" si="51"/>
        <v>8.3153440319456333</v>
      </c>
    </row>
    <row r="179" spans="28:31" x14ac:dyDescent="0.3">
      <c r="AB179">
        <f t="shared" si="48"/>
        <v>2329</v>
      </c>
      <c r="AC179">
        <f t="shared" si="50"/>
        <v>686.28592509439045</v>
      </c>
      <c r="AD179">
        <f t="shared" si="49"/>
        <v>92113.493556336616</v>
      </c>
      <c r="AE179">
        <f t="shared" si="51"/>
        <v>8.3777620333184721</v>
      </c>
    </row>
    <row r="180" spans="28:31" x14ac:dyDescent="0.3">
      <c r="AB180">
        <f t="shared" si="48"/>
        <v>2334</v>
      </c>
      <c r="AC180">
        <f t="shared" si="50"/>
        <v>684.91472490146134</v>
      </c>
      <c r="AD180">
        <f t="shared" si="49"/>
        <v>92798.40828123808</v>
      </c>
      <c r="AE180">
        <f t="shared" si="51"/>
        <v>8.4400553234413902</v>
      </c>
    </row>
    <row r="181" spans="28:31" x14ac:dyDescent="0.3">
      <c r="AB181">
        <f t="shared" si="48"/>
        <v>2339</v>
      </c>
      <c r="AC181">
        <f t="shared" si="50"/>
        <v>683.54626436834496</v>
      </c>
      <c r="AD181">
        <f t="shared" si="49"/>
        <v>93481.954545606422</v>
      </c>
      <c r="AE181">
        <f t="shared" si="51"/>
        <v>8.5022241514876242</v>
      </c>
    </row>
    <row r="182" spans="28:31" x14ac:dyDescent="0.3">
      <c r="AB182">
        <f t="shared" si="48"/>
        <v>2344</v>
      </c>
      <c r="AC182">
        <f t="shared" si="50"/>
        <v>682.18053802119755</v>
      </c>
      <c r="AD182">
        <f t="shared" si="49"/>
        <v>94164.135083627625</v>
      </c>
      <c r="AE182">
        <f t="shared" si="51"/>
        <v>8.5642687661325709</v>
      </c>
    </row>
    <row r="183" spans="28:31" x14ac:dyDescent="0.3">
      <c r="AB183">
        <f t="shared" si="48"/>
        <v>2349</v>
      </c>
      <c r="AC183">
        <f t="shared" si="50"/>
        <v>680.81754039711188</v>
      </c>
      <c r="AD183">
        <f t="shared" si="49"/>
        <v>94844.952624024736</v>
      </c>
      <c r="AE183">
        <f t="shared" si="51"/>
        <v>8.6261894155547729</v>
      </c>
    </row>
    <row r="184" spans="28:31" x14ac:dyDescent="0.3">
      <c r="AB184">
        <f t="shared" si="48"/>
        <v>2354</v>
      </c>
      <c r="AC184">
        <f t="shared" si="50"/>
        <v>679.45726604409538</v>
      </c>
      <c r="AD184">
        <f t="shared" si="49"/>
        <v>95524.409890068826</v>
      </c>
      <c r="AE184">
        <f t="shared" si="51"/>
        <v>8.6879863474369099</v>
      </c>
    </row>
    <row r="185" spans="28:31" x14ac:dyDescent="0.3">
      <c r="AB185">
        <f t="shared" si="48"/>
        <v>2359</v>
      </c>
      <c r="AC185">
        <f t="shared" si="50"/>
        <v>678.09970952104902</v>
      </c>
      <c r="AD185">
        <f t="shared" si="49"/>
        <v>96202.509599589874</v>
      </c>
      <c r="AE185">
        <f t="shared" si="51"/>
        <v>8.7496598089667916</v>
      </c>
    </row>
    <row r="186" spans="28:31" x14ac:dyDescent="0.3">
      <c r="AB186">
        <f t="shared" si="48"/>
        <v>2364</v>
      </c>
      <c r="AC186">
        <f t="shared" si="50"/>
        <v>676.74486539774489</v>
      </c>
      <c r="AD186">
        <f t="shared" si="49"/>
        <v>96879.254464987622</v>
      </c>
      <c r="AE186">
        <f t="shared" si="51"/>
        <v>8.8112100468383474</v>
      </c>
    </row>
    <row r="187" spans="28:31" x14ac:dyDescent="0.3">
      <c r="AB187">
        <f t="shared" si="48"/>
        <v>2369</v>
      </c>
      <c r="AC187">
        <f t="shared" si="50"/>
        <v>675.39272825480475</v>
      </c>
      <c r="AD187">
        <f t="shared" si="49"/>
        <v>97554.647193242432</v>
      </c>
      <c r="AE187">
        <f t="shared" si="51"/>
        <v>8.8726373072526084</v>
      </c>
    </row>
    <row r="188" spans="28:31" x14ac:dyDescent="0.3">
      <c r="AB188">
        <f t="shared" si="48"/>
        <v>2374</v>
      </c>
      <c r="AC188">
        <f t="shared" si="50"/>
        <v>674.04329268367815</v>
      </c>
      <c r="AD188">
        <f t="shared" si="49"/>
        <v>98228.690485926112</v>
      </c>
      <c r="AE188">
        <f t="shared" si="51"/>
        <v>8.9339418359187004</v>
      </c>
    </row>
    <row r="189" spans="28:31" x14ac:dyDescent="0.3">
      <c r="AB189">
        <f t="shared" si="48"/>
        <v>2379</v>
      </c>
      <c r="AC189">
        <f t="shared" si="50"/>
        <v>672.69655328662077</v>
      </c>
      <c r="AD189">
        <f t="shared" si="49"/>
        <v>98901.387039212728</v>
      </c>
      <c r="AE189">
        <f t="shared" si="51"/>
        <v>8.9951238780548195</v>
      </c>
    </row>
    <row r="190" spans="28:31" x14ac:dyDescent="0.3">
      <c r="AB190">
        <f t="shared" si="48"/>
        <v>2384</v>
      </c>
      <c r="AC190">
        <f t="shared" si="50"/>
        <v>671.35250467667379</v>
      </c>
      <c r="AD190">
        <f t="shared" ref="AD190:AD253" si="52">AD189+AC190</f>
        <v>99572.739543889402</v>
      </c>
      <c r="AE190">
        <f t="shared" si="51"/>
        <v>9.056183678389214</v>
      </c>
    </row>
    <row r="191" spans="28:31" x14ac:dyDescent="0.3">
      <c r="AB191">
        <f t="shared" ref="AB191:AB254" si="53">AB190+5</f>
        <v>2389</v>
      </c>
      <c r="AC191">
        <f t="shared" si="50"/>
        <v>670.01114147764054</v>
      </c>
      <c r="AD191">
        <f t="shared" si="52"/>
        <v>100242.75068536705</v>
      </c>
      <c r="AE191">
        <f t="shared" si="51"/>
        <v>9.1171214811611687</v>
      </c>
    </row>
    <row r="192" spans="28:31" x14ac:dyDescent="0.3">
      <c r="AB192">
        <f t="shared" si="53"/>
        <v>2394</v>
      </c>
      <c r="AC192">
        <f t="shared" si="50"/>
        <v>668.67245832406638</v>
      </c>
      <c r="AD192">
        <f t="shared" si="52"/>
        <v>100911.42314369112</v>
      </c>
      <c r="AE192">
        <f t="shared" si="51"/>
        <v>9.1779375301219766</v>
      </c>
    </row>
    <row r="193" spans="28:31" x14ac:dyDescent="0.3">
      <c r="AB193">
        <f t="shared" si="53"/>
        <v>2399</v>
      </c>
      <c r="AC193">
        <f t="shared" si="50"/>
        <v>667.33644986121726</v>
      </c>
      <c r="AD193">
        <f t="shared" si="52"/>
        <v>101578.75959355234</v>
      </c>
      <c r="AE193">
        <f t="shared" si="51"/>
        <v>9.238632068535912</v>
      </c>
    </row>
    <row r="194" spans="28:31" x14ac:dyDescent="0.3">
      <c r="AB194">
        <f t="shared" si="53"/>
        <v>2404</v>
      </c>
      <c r="AC194">
        <f t="shared" si="50"/>
        <v>666.00311074505737</v>
      </c>
      <c r="AD194">
        <f t="shared" si="52"/>
        <v>102244.76270429741</v>
      </c>
      <c r="AE194">
        <f t="shared" si="51"/>
        <v>9.29920533918121</v>
      </c>
    </row>
    <row r="195" spans="28:31" x14ac:dyDescent="0.3">
      <c r="AB195">
        <f t="shared" si="53"/>
        <v>2409</v>
      </c>
      <c r="AC195">
        <f t="shared" si="50"/>
        <v>664.67243564222838</v>
      </c>
      <c r="AD195">
        <f t="shared" si="52"/>
        <v>102909.43513993964</v>
      </c>
      <c r="AE195">
        <f t="shared" si="51"/>
        <v>9.3596575843510355</v>
      </c>
    </row>
    <row r="196" spans="28:31" x14ac:dyDescent="0.3">
      <c r="AB196">
        <f t="shared" si="53"/>
        <v>2414</v>
      </c>
      <c r="AC196">
        <f t="shared" ref="AC196:AC259" si="54" xml:space="preserve"> 1742.18324*EXP(-0.0004*AB196)</f>
        <v>663.34441923002828</v>
      </c>
      <c r="AD196">
        <f t="shared" si="52"/>
        <v>103572.77955916966</v>
      </c>
      <c r="AE196">
        <f t="shared" si="51"/>
        <v>9.4199890458544484</v>
      </c>
    </row>
    <row r="197" spans="28:31" x14ac:dyDescent="0.3">
      <c r="AB197">
        <f t="shared" si="53"/>
        <v>2419</v>
      </c>
      <c r="AC197">
        <f t="shared" si="54"/>
        <v>662.01905619638944</v>
      </c>
      <c r="AD197">
        <f t="shared" si="52"/>
        <v>104234.79861536605</v>
      </c>
      <c r="AE197">
        <f t="shared" si="51"/>
        <v>9.4801999650173769</v>
      </c>
    </row>
    <row r="198" spans="28:31" x14ac:dyDescent="0.3">
      <c r="AB198">
        <f t="shared" si="53"/>
        <v>2424</v>
      </c>
      <c r="AC198">
        <f t="shared" si="54"/>
        <v>660.69634123985816</v>
      </c>
      <c r="AD198">
        <f t="shared" si="52"/>
        <v>104895.49495660591</v>
      </c>
      <c r="AE198">
        <f t="shared" si="51"/>
        <v>9.5402905826835731</v>
      </c>
    </row>
    <row r="199" spans="28:31" x14ac:dyDescent="0.3">
      <c r="AB199">
        <f t="shared" si="53"/>
        <v>2429</v>
      </c>
      <c r="AC199">
        <f t="shared" si="54"/>
        <v>659.3762690695728</v>
      </c>
      <c r="AD199">
        <f t="shared" si="52"/>
        <v>105554.87122567548</v>
      </c>
      <c r="AE199">
        <f t="shared" si="51"/>
        <v>9.600261139215597</v>
      </c>
    </row>
    <row r="200" spans="28:31" x14ac:dyDescent="0.3">
      <c r="AB200">
        <f t="shared" si="53"/>
        <v>2434</v>
      </c>
      <c r="AC200">
        <f t="shared" si="54"/>
        <v>658.05883440524281</v>
      </c>
      <c r="AD200">
        <f t="shared" si="52"/>
        <v>106212.93006008072</v>
      </c>
      <c r="AE200">
        <f t="shared" si="51"/>
        <v>9.6601118744957457</v>
      </c>
    </row>
    <row r="201" spans="28:31" x14ac:dyDescent="0.3">
      <c r="AB201">
        <f t="shared" si="53"/>
        <v>2439</v>
      </c>
      <c r="AC201">
        <f t="shared" si="54"/>
        <v>656.74403197712786</v>
      </c>
      <c r="AD201">
        <f t="shared" si="52"/>
        <v>106869.67409205784</v>
      </c>
      <c r="AE201">
        <f t="shared" si="51"/>
        <v>9.7198430279270429</v>
      </c>
    </row>
    <row r="202" spans="28:31" x14ac:dyDescent="0.3">
      <c r="AB202">
        <f t="shared" si="53"/>
        <v>2444</v>
      </c>
      <c r="AC202">
        <f t="shared" si="54"/>
        <v>655.43185652601653</v>
      </c>
      <c r="AD202">
        <f t="shared" si="52"/>
        <v>107525.10594858386</v>
      </c>
      <c r="AE202">
        <f t="shared" si="51"/>
        <v>9.7794548384341855</v>
      </c>
    </row>
    <row r="203" spans="28:31" x14ac:dyDescent="0.3">
      <c r="AB203">
        <f t="shared" si="53"/>
        <v>2449</v>
      </c>
      <c r="AC203">
        <f t="shared" si="54"/>
        <v>654.12230280320523</v>
      </c>
      <c r="AD203">
        <f t="shared" si="52"/>
        <v>108179.22825138707</v>
      </c>
      <c r="AE203">
        <f t="shared" si="51"/>
        <v>9.8389475444644887</v>
      </c>
    </row>
    <row r="204" spans="28:31" x14ac:dyDescent="0.3">
      <c r="AB204">
        <f t="shared" si="53"/>
        <v>2454</v>
      </c>
      <c r="AC204">
        <f t="shared" si="54"/>
        <v>652.8153655704773</v>
      </c>
      <c r="AD204">
        <f t="shared" si="52"/>
        <v>108832.04361695756</v>
      </c>
      <c r="AE204">
        <f t="shared" si="51"/>
        <v>9.8983213839888631</v>
      </c>
    </row>
    <row r="205" spans="28:31" x14ac:dyDescent="0.3">
      <c r="AB205">
        <f t="shared" si="53"/>
        <v>2459</v>
      </c>
      <c r="AC205">
        <f t="shared" si="54"/>
        <v>651.51103960008197</v>
      </c>
      <c r="AD205">
        <f t="shared" si="52"/>
        <v>109483.55465655764</v>
      </c>
      <c r="AE205">
        <f t="shared" si="51"/>
        <v>9.9575765945027417</v>
      </c>
    </row>
    <row r="206" spans="28:31" x14ac:dyDescent="0.3">
      <c r="AB206">
        <f t="shared" si="53"/>
        <v>2464</v>
      </c>
      <c r="AC206">
        <f t="shared" si="54"/>
        <v>650.2093196747137</v>
      </c>
      <c r="AD206">
        <f t="shared" si="52"/>
        <v>110133.76397623235</v>
      </c>
      <c r="AE206">
        <f t="shared" si="51"/>
        <v>10.016713413027045</v>
      </c>
    </row>
    <row r="207" spans="28:31" x14ac:dyDescent="0.3">
      <c r="AB207">
        <f t="shared" si="53"/>
        <v>2469</v>
      </c>
      <c r="AC207">
        <f t="shared" si="54"/>
        <v>648.9102005874912</v>
      </c>
      <c r="AD207">
        <f t="shared" si="52"/>
        <v>110782.67417681984</v>
      </c>
      <c r="AE207">
        <f t="shared" si="51"/>
        <v>10.075732076109126</v>
      </c>
    </row>
    <row r="208" spans="28:31" x14ac:dyDescent="0.3">
      <c r="AB208">
        <f t="shared" si="53"/>
        <v>2474</v>
      </c>
      <c r="AC208">
        <f t="shared" si="54"/>
        <v>647.61367714193625</v>
      </c>
      <c r="AD208">
        <f t="shared" si="52"/>
        <v>111430.28785396178</v>
      </c>
      <c r="AE208">
        <f t="shared" ref="AE208:AE271" si="55">((AD208*100)*30)/$BV$33</f>
        <v>10.134632819823716</v>
      </c>
    </row>
    <row r="209" spans="28:31" x14ac:dyDescent="0.3">
      <c r="AB209">
        <f t="shared" si="53"/>
        <v>2479</v>
      </c>
      <c r="AC209">
        <f t="shared" si="54"/>
        <v>646.31974415195327</v>
      </c>
      <c r="AD209">
        <f t="shared" si="52"/>
        <v>112076.60759811374</v>
      </c>
      <c r="AE209">
        <f t="shared" si="55"/>
        <v>10.193415879773873</v>
      </c>
    </row>
    <row r="210" spans="28:31" x14ac:dyDescent="0.3">
      <c r="AB210">
        <f t="shared" si="53"/>
        <v>2484</v>
      </c>
      <c r="AC210">
        <f t="shared" si="54"/>
        <v>645.02839644180881</v>
      </c>
      <c r="AD210">
        <f t="shared" si="52"/>
        <v>112721.63599455555</v>
      </c>
      <c r="AE210">
        <f t="shared" si="55"/>
        <v>10.252081491091909</v>
      </c>
    </row>
    <row r="211" spans="28:31" x14ac:dyDescent="0.3">
      <c r="AB211">
        <f t="shared" si="53"/>
        <v>2489</v>
      </c>
      <c r="AC211">
        <f t="shared" si="54"/>
        <v>643.73962884611012</v>
      </c>
      <c r="AD211">
        <f t="shared" si="52"/>
        <v>113365.37562340166</v>
      </c>
      <c r="AE211">
        <f t="shared" si="55"/>
        <v>10.310629888440351</v>
      </c>
    </row>
    <row r="212" spans="28:31" x14ac:dyDescent="0.3">
      <c r="AB212">
        <f t="shared" si="53"/>
        <v>2494</v>
      </c>
      <c r="AC212">
        <f t="shared" si="54"/>
        <v>642.45343620978497</v>
      </c>
      <c r="AD212">
        <f t="shared" si="52"/>
        <v>114007.82905961145</v>
      </c>
      <c r="AE212">
        <f t="shared" si="55"/>
        <v>10.369061306012863</v>
      </c>
    </row>
    <row r="213" spans="28:31" x14ac:dyDescent="0.3">
      <c r="AB213">
        <f t="shared" si="53"/>
        <v>2499</v>
      </c>
      <c r="AC213">
        <f t="shared" si="54"/>
        <v>641.16981338806147</v>
      </c>
      <c r="AD213">
        <f t="shared" si="52"/>
        <v>114648.99887299951</v>
      </c>
      <c r="AE213">
        <f t="shared" si="55"/>
        <v>10.427375977535199</v>
      </c>
    </row>
    <row r="214" spans="28:31" x14ac:dyDescent="0.3">
      <c r="AB214">
        <f t="shared" si="53"/>
        <v>2504</v>
      </c>
      <c r="AC214">
        <f t="shared" si="54"/>
        <v>639.88875524644629</v>
      </c>
      <c r="AD214">
        <f t="shared" si="52"/>
        <v>115288.88762824595</v>
      </c>
      <c r="AE214">
        <f t="shared" si="55"/>
        <v>10.485574136266116</v>
      </c>
    </row>
    <row r="215" spans="28:31" x14ac:dyDescent="0.3">
      <c r="AB215">
        <f t="shared" si="53"/>
        <v>2509</v>
      </c>
      <c r="AC215">
        <f t="shared" si="54"/>
        <v>638.6102566607052</v>
      </c>
      <c r="AD215">
        <f t="shared" si="52"/>
        <v>115927.49788490665</v>
      </c>
      <c r="AE215">
        <f t="shared" si="55"/>
        <v>10.543656014998334</v>
      </c>
    </row>
    <row r="216" spans="28:31" x14ac:dyDescent="0.3">
      <c r="AB216">
        <f t="shared" si="53"/>
        <v>2514</v>
      </c>
      <c r="AC216">
        <f t="shared" si="54"/>
        <v>637.33431251684237</v>
      </c>
      <c r="AD216">
        <f t="shared" si="52"/>
        <v>116564.8321974235</v>
      </c>
      <c r="AE216">
        <f t="shared" si="55"/>
        <v>10.601621846059436</v>
      </c>
    </row>
    <row r="217" spans="28:31" x14ac:dyDescent="0.3">
      <c r="AB217">
        <f t="shared" si="53"/>
        <v>2519</v>
      </c>
      <c r="AC217">
        <f t="shared" si="54"/>
        <v>636.06091771107936</v>
      </c>
      <c r="AD217">
        <f t="shared" si="52"/>
        <v>117200.89311513458</v>
      </c>
      <c r="AE217">
        <f t="shared" si="55"/>
        <v>10.659471861312831</v>
      </c>
    </row>
    <row r="218" spans="28:31" x14ac:dyDescent="0.3">
      <c r="AB218">
        <f t="shared" si="53"/>
        <v>2524</v>
      </c>
      <c r="AC218">
        <f t="shared" si="54"/>
        <v>634.79006714983529</v>
      </c>
      <c r="AD218">
        <f t="shared" si="52"/>
        <v>117835.68318228441</v>
      </c>
      <c r="AE218">
        <f t="shared" si="55"/>
        <v>10.717206292158654</v>
      </c>
    </row>
    <row r="219" spans="28:31" x14ac:dyDescent="0.3">
      <c r="AB219">
        <f t="shared" si="53"/>
        <v>2529</v>
      </c>
      <c r="AC219">
        <f t="shared" si="54"/>
        <v>633.52175574970613</v>
      </c>
      <c r="AD219">
        <f t="shared" si="52"/>
        <v>118469.20493803412</v>
      </c>
      <c r="AE219">
        <f t="shared" si="55"/>
        <v>10.774825369534708</v>
      </c>
    </row>
    <row r="220" spans="28:31" x14ac:dyDescent="0.3">
      <c r="AB220">
        <f t="shared" si="53"/>
        <v>2534</v>
      </c>
      <c r="AC220">
        <f t="shared" si="54"/>
        <v>632.25597843744481</v>
      </c>
      <c r="AD220">
        <f t="shared" si="52"/>
        <v>119101.46091647157</v>
      </c>
      <c r="AE220">
        <f t="shared" si="55"/>
        <v>10.83232932391738</v>
      </c>
    </row>
    <row r="221" spans="28:31" x14ac:dyDescent="0.3">
      <c r="AB221">
        <f t="shared" si="53"/>
        <v>2539</v>
      </c>
      <c r="AC221">
        <f t="shared" si="54"/>
        <v>630.99273014994014</v>
      </c>
      <c r="AD221">
        <f t="shared" si="52"/>
        <v>119732.45364662151</v>
      </c>
      <c r="AE221">
        <f>((AD221*100)*30)/$BV$33</f>
        <v>10.889718385322556</v>
      </c>
    </row>
    <row r="222" spans="28:31" x14ac:dyDescent="0.3">
      <c r="AB222">
        <f t="shared" si="53"/>
        <v>2544</v>
      </c>
      <c r="AC222">
        <f t="shared" si="54"/>
        <v>629.73200583419737</v>
      </c>
      <c r="AD222">
        <f t="shared" si="52"/>
        <v>120362.18565245571</v>
      </c>
      <c r="AE222">
        <f t="shared" si="55"/>
        <v>10.946992783306568</v>
      </c>
    </row>
    <row r="223" spans="28:31" x14ac:dyDescent="0.3">
      <c r="AB223">
        <f t="shared" si="53"/>
        <v>2549</v>
      </c>
      <c r="AC223">
        <f t="shared" si="54"/>
        <v>628.47380044731767</v>
      </c>
      <c r="AD223">
        <f t="shared" si="52"/>
        <v>120990.65945290303</v>
      </c>
      <c r="AE223">
        <f t="shared" si="55"/>
        <v>11.00415274696708</v>
      </c>
    </row>
    <row r="224" spans="28:31" x14ac:dyDescent="0.3">
      <c r="AB224">
        <f t="shared" si="53"/>
        <v>2554</v>
      </c>
      <c r="AC224">
        <f t="shared" si="54"/>
        <v>627.21810895647764</v>
      </c>
      <c r="AD224">
        <f t="shared" si="52"/>
        <v>121617.87756185951</v>
      </c>
      <c r="AE224">
        <f t="shared" si="55"/>
        <v>11.06119850494402</v>
      </c>
    </row>
    <row r="225" spans="28:31" x14ac:dyDescent="0.3">
      <c r="AB225">
        <f t="shared" si="53"/>
        <v>2559</v>
      </c>
      <c r="AC225">
        <f t="shared" si="54"/>
        <v>625.96492633890978</v>
      </c>
      <c r="AD225">
        <f t="shared" si="52"/>
        <v>122243.84248819842</v>
      </c>
      <c r="AE225">
        <f t="shared" si="55"/>
        <v>11.118130285420504</v>
      </c>
    </row>
    <row r="226" spans="28:31" x14ac:dyDescent="0.3">
      <c r="AB226">
        <f t="shared" si="53"/>
        <v>2564</v>
      </c>
      <c r="AC226">
        <f t="shared" si="54"/>
        <v>624.71424758188186</v>
      </c>
      <c r="AD226">
        <f t="shared" si="52"/>
        <v>122868.55673578031</v>
      </c>
      <c r="AE226">
        <f t="shared" si="55"/>
        <v>11.174948316123722</v>
      </c>
    </row>
    <row r="227" spans="28:31" x14ac:dyDescent="0.3">
      <c r="AB227">
        <f t="shared" si="53"/>
        <v>2569</v>
      </c>
      <c r="AC227">
        <f t="shared" si="54"/>
        <v>623.46606768267725</v>
      </c>
      <c r="AD227">
        <f t="shared" si="52"/>
        <v>123492.02280346298</v>
      </c>
      <c r="AE227">
        <f t="shared" si="55"/>
        <v>11.231652824325874</v>
      </c>
    </row>
    <row r="228" spans="28:31" x14ac:dyDescent="0.3">
      <c r="AB228">
        <f t="shared" si="53"/>
        <v>2574</v>
      </c>
      <c r="AC228">
        <f t="shared" si="54"/>
        <v>622.22038164857463</v>
      </c>
      <c r="AD228">
        <f t="shared" si="52"/>
        <v>124114.24318511155</v>
      </c>
      <c r="AE228">
        <f t="shared" si="55"/>
        <v>11.28824403684507</v>
      </c>
    </row>
    <row r="229" spans="28:31" x14ac:dyDescent="0.3">
      <c r="AB229">
        <f t="shared" si="53"/>
        <v>2579</v>
      </c>
      <c r="AC229">
        <f t="shared" si="54"/>
        <v>620.97718449682816</v>
      </c>
      <c r="AD229">
        <f t="shared" si="52"/>
        <v>124735.22036960839</v>
      </c>
      <c r="AE229">
        <f t="shared" si="55"/>
        <v>11.344722180046238</v>
      </c>
    </row>
    <row r="230" spans="28:31" x14ac:dyDescent="0.3">
      <c r="AB230">
        <f t="shared" si="53"/>
        <v>2584</v>
      </c>
      <c r="AC230">
        <f t="shared" si="54"/>
        <v>619.73647125464777</v>
      </c>
      <c r="AD230">
        <f t="shared" si="52"/>
        <v>125354.95684086304</v>
      </c>
      <c r="AE230">
        <f t="shared" si="55"/>
        <v>11.401087479842024</v>
      </c>
    </row>
    <row r="231" spans="28:31" x14ac:dyDescent="0.3">
      <c r="AB231">
        <f t="shared" si="53"/>
        <v>2589</v>
      </c>
      <c r="AC231">
        <f t="shared" si="54"/>
        <v>618.49823695917871</v>
      </c>
      <c r="AD231">
        <f t="shared" si="52"/>
        <v>125973.45507782222</v>
      </c>
      <c r="AE231">
        <f t="shared" si="55"/>
        <v>11.457340161693701</v>
      </c>
    </row>
    <row r="232" spans="28:31" x14ac:dyDescent="0.3">
      <c r="AB232">
        <f t="shared" si="53"/>
        <v>2594</v>
      </c>
      <c r="AC232">
        <f t="shared" si="54"/>
        <v>617.26247665748213</v>
      </c>
      <c r="AD232">
        <f t="shared" si="52"/>
        <v>126590.71755447971</v>
      </c>
      <c r="AE232">
        <f t="shared" si="55"/>
        <v>11.51348045061207</v>
      </c>
    </row>
    <row r="233" spans="28:31" x14ac:dyDescent="0.3">
      <c r="AB233">
        <f t="shared" si="53"/>
        <v>2599</v>
      </c>
      <c r="AC233">
        <f t="shared" si="54"/>
        <v>616.02918540651513</v>
      </c>
      <c r="AD233">
        <f t="shared" si="52"/>
        <v>127206.74673988622</v>
      </c>
      <c r="AE233">
        <f t="shared" si="55"/>
        <v>11.569508571158366</v>
      </c>
    </row>
    <row r="234" spans="28:31" x14ac:dyDescent="0.3">
      <c r="AB234">
        <f t="shared" si="53"/>
        <v>2604</v>
      </c>
      <c r="AC234">
        <f t="shared" si="54"/>
        <v>614.79835827311126</v>
      </c>
      <c r="AD234">
        <f t="shared" si="52"/>
        <v>127821.54509815933</v>
      </c>
      <c r="AE234">
        <f t="shared" si="55"/>
        <v>11.625424747445141</v>
      </c>
    </row>
    <row r="235" spans="28:31" x14ac:dyDescent="0.3">
      <c r="AB235">
        <f t="shared" si="53"/>
        <v>2609</v>
      </c>
      <c r="AC235">
        <f t="shared" si="54"/>
        <v>613.56999033396016</v>
      </c>
      <c r="AD235">
        <f t="shared" si="52"/>
        <v>128435.11508849329</v>
      </c>
      <c r="AE235">
        <f t="shared" si="55"/>
        <v>11.68122920313718</v>
      </c>
    </row>
    <row r="236" spans="28:31" x14ac:dyDescent="0.3">
      <c r="AB236">
        <f t="shared" si="53"/>
        <v>2614</v>
      </c>
      <c r="AC236">
        <f t="shared" si="54"/>
        <v>612.34407667558844</v>
      </c>
      <c r="AD236">
        <f t="shared" si="52"/>
        <v>129047.45916516887</v>
      </c>
      <c r="AE236">
        <f t="shared" si="55"/>
        <v>11.736922161452375</v>
      </c>
    </row>
    <row r="237" spans="28:31" x14ac:dyDescent="0.3">
      <c r="AB237">
        <f t="shared" si="53"/>
        <v>2619</v>
      </c>
      <c r="AC237">
        <f t="shared" si="54"/>
        <v>611.12061239434001</v>
      </c>
      <c r="AD237">
        <f t="shared" si="52"/>
        <v>129658.57977756321</v>
      </c>
      <c r="AE237">
        <f t="shared" si="55"/>
        <v>11.792503845162638</v>
      </c>
    </row>
    <row r="238" spans="28:31" x14ac:dyDescent="0.3">
      <c r="AB238">
        <f t="shared" si="53"/>
        <v>2624</v>
      </c>
      <c r="AC238">
        <f t="shared" si="54"/>
        <v>609.89959259635589</v>
      </c>
      <c r="AD238">
        <f t="shared" si="52"/>
        <v>130268.47937015956</v>
      </c>
      <c r="AE238">
        <f t="shared" si="55"/>
        <v>11.847974476594777</v>
      </c>
    </row>
    <row r="239" spans="28:31" x14ac:dyDescent="0.3">
      <c r="AB239">
        <f t="shared" si="53"/>
        <v>2629</v>
      </c>
      <c r="AC239">
        <f t="shared" si="54"/>
        <v>608.68101239755526</v>
      </c>
      <c r="AD239">
        <f t="shared" si="52"/>
        <v>130877.16038255712</v>
      </c>
      <c r="AE239">
        <f t="shared" si="55"/>
        <v>11.903334277631389</v>
      </c>
    </row>
    <row r="240" spans="28:31" x14ac:dyDescent="0.3">
      <c r="AB240">
        <f t="shared" si="53"/>
        <v>2634</v>
      </c>
      <c r="AC240">
        <f t="shared" si="54"/>
        <v>607.46486692361589</v>
      </c>
      <c r="AD240">
        <f t="shared" si="52"/>
        <v>131484.62524948074</v>
      </c>
      <c r="AE240">
        <f t="shared" si="55"/>
        <v>11.958583469711755</v>
      </c>
    </row>
    <row r="241" spans="28:31" x14ac:dyDescent="0.3">
      <c r="AB241">
        <f t="shared" si="53"/>
        <v>2639</v>
      </c>
      <c r="AC241">
        <f t="shared" si="54"/>
        <v>606.25115130995425</v>
      </c>
      <c r="AD241">
        <f t="shared" si="52"/>
        <v>132090.8764007907</v>
      </c>
      <c r="AE241">
        <f t="shared" si="55"/>
        <v>12.013722273832714</v>
      </c>
    </row>
    <row r="242" spans="28:31" x14ac:dyDescent="0.3">
      <c r="AB242">
        <f t="shared" si="53"/>
        <v>2644</v>
      </c>
      <c r="AC242">
        <f t="shared" si="54"/>
        <v>605.03986070170595</v>
      </c>
      <c r="AD242">
        <f t="shared" si="52"/>
        <v>132695.91626149241</v>
      </c>
      <c r="AE242">
        <f t="shared" si="55"/>
        <v>12.068750910549561</v>
      </c>
    </row>
    <row r="243" spans="28:31" x14ac:dyDescent="0.3">
      <c r="AB243">
        <f t="shared" si="53"/>
        <v>2649</v>
      </c>
      <c r="AC243">
        <f t="shared" si="54"/>
        <v>603.83099025370745</v>
      </c>
      <c r="AD243">
        <f t="shared" si="52"/>
        <v>133299.74725174613</v>
      </c>
      <c r="AE243">
        <f t="shared" si="55"/>
        <v>12.12366959997691</v>
      </c>
    </row>
    <row r="244" spans="28:31" x14ac:dyDescent="0.3">
      <c r="AB244">
        <f t="shared" si="53"/>
        <v>2654</v>
      </c>
      <c r="AC244">
        <f t="shared" si="54"/>
        <v>602.6245351304749</v>
      </c>
      <c r="AD244">
        <f t="shared" si="52"/>
        <v>133902.37178687661</v>
      </c>
      <c r="AE244">
        <f t="shared" si="55"/>
        <v>12.178478561789596</v>
      </c>
    </row>
    <row r="245" spans="28:31" x14ac:dyDescent="0.3">
      <c r="AB245">
        <f t="shared" si="53"/>
        <v>2659</v>
      </c>
      <c r="AC245">
        <f t="shared" si="54"/>
        <v>601.42049050618641</v>
      </c>
      <c r="AD245">
        <f t="shared" si="52"/>
        <v>134503.7922773828</v>
      </c>
      <c r="AE245">
        <f t="shared" si="55"/>
        <v>12.233178015223537</v>
      </c>
    </row>
    <row r="246" spans="28:31" x14ac:dyDescent="0.3">
      <c r="AB246">
        <f t="shared" si="53"/>
        <v>2664</v>
      </c>
      <c r="AC246">
        <f t="shared" si="54"/>
        <v>600.21885156466192</v>
      </c>
      <c r="AD246">
        <f t="shared" si="52"/>
        <v>135104.01112894746</v>
      </c>
      <c r="AE246">
        <f t="shared" si="55"/>
        <v>12.287768179076622</v>
      </c>
    </row>
    <row r="247" spans="28:31" x14ac:dyDescent="0.3">
      <c r="AB247">
        <f t="shared" si="53"/>
        <v>2669</v>
      </c>
      <c r="AC247">
        <f t="shared" si="54"/>
        <v>599.01961349934379</v>
      </c>
      <c r="AD247">
        <f t="shared" si="52"/>
        <v>135703.0307424468</v>
      </c>
      <c r="AE247">
        <f t="shared" si="55"/>
        <v>12.342249271709576</v>
      </c>
    </row>
    <row r="248" spans="28:31" x14ac:dyDescent="0.3">
      <c r="AB248">
        <f t="shared" si="53"/>
        <v>2674</v>
      </c>
      <c r="AC248">
        <f t="shared" si="54"/>
        <v>597.82277151327855</v>
      </c>
      <c r="AD248">
        <f t="shared" si="52"/>
        <v>136300.85351396009</v>
      </c>
      <c r="AE248">
        <f t="shared" si="55"/>
        <v>12.396621511046847</v>
      </c>
    </row>
    <row r="249" spans="28:31" x14ac:dyDescent="0.3">
      <c r="AB249">
        <f t="shared" si="53"/>
        <v>2679</v>
      </c>
      <c r="AC249">
        <f t="shared" si="54"/>
        <v>596.6283208190963</v>
      </c>
      <c r="AD249">
        <f t="shared" si="52"/>
        <v>136897.48183477917</v>
      </c>
      <c r="AE249">
        <f t="shared" si="55"/>
        <v>12.450885114577462</v>
      </c>
    </row>
    <row r="250" spans="28:31" x14ac:dyDescent="0.3">
      <c r="AB250">
        <f t="shared" si="53"/>
        <v>2684</v>
      </c>
      <c r="AC250">
        <f t="shared" si="54"/>
        <v>595.43625663899297</v>
      </c>
      <c r="AD250">
        <f t="shared" si="52"/>
        <v>137492.91809141816</v>
      </c>
      <c r="AE250">
        <f t="shared" si="55"/>
        <v>12.505040299355905</v>
      </c>
    </row>
    <row r="251" spans="28:31" x14ac:dyDescent="0.3">
      <c r="AB251">
        <f t="shared" si="53"/>
        <v>2689</v>
      </c>
      <c r="AC251">
        <f t="shared" si="54"/>
        <v>594.24657420470999</v>
      </c>
      <c r="AD251">
        <f t="shared" si="52"/>
        <v>138087.16466562287</v>
      </c>
      <c r="AE251">
        <f t="shared" si="55"/>
        <v>12.55908728200299</v>
      </c>
    </row>
    <row r="252" spans="28:31" x14ac:dyDescent="0.3">
      <c r="AB252">
        <f t="shared" si="53"/>
        <v>2694</v>
      </c>
      <c r="AC252">
        <f t="shared" si="54"/>
        <v>593.05926875751629</v>
      </c>
      <c r="AD252">
        <f t="shared" si="52"/>
        <v>138680.2239343804</v>
      </c>
      <c r="AE252">
        <f t="shared" si="55"/>
        <v>12.613026278706721</v>
      </c>
    </row>
    <row r="253" spans="28:31" x14ac:dyDescent="0.3">
      <c r="AB253">
        <f t="shared" si="53"/>
        <v>2699</v>
      </c>
      <c r="AC253">
        <f t="shared" si="54"/>
        <v>591.87433554818824</v>
      </c>
      <c r="AD253">
        <f t="shared" si="52"/>
        <v>139272.0982699286</v>
      </c>
      <c r="AE253">
        <f t="shared" si="55"/>
        <v>12.666857505223156</v>
      </c>
    </row>
    <row r="254" spans="28:31" x14ac:dyDescent="0.3">
      <c r="AB254">
        <f t="shared" si="53"/>
        <v>2704</v>
      </c>
      <c r="AC254">
        <f t="shared" si="54"/>
        <v>590.69176983699163</v>
      </c>
      <c r="AD254">
        <f t="shared" ref="AD254:AD317" si="56">AD253+AC254</f>
        <v>139862.79003976559</v>
      </c>
      <c r="AE254">
        <f t="shared" si="55"/>
        <v>12.720581176877271</v>
      </c>
    </row>
    <row r="255" spans="28:31" x14ac:dyDescent="0.3">
      <c r="AB255">
        <f t="shared" ref="AB255:AB318" si="57">AB254+5</f>
        <v>2709</v>
      </c>
      <c r="AC255">
        <f t="shared" si="54"/>
        <v>589.51156689366189</v>
      </c>
      <c r="AD255">
        <f t="shared" si="56"/>
        <v>140452.30160665925</v>
      </c>
      <c r="AE255">
        <f t="shared" si="55"/>
        <v>12.774197508563825</v>
      </c>
    </row>
    <row r="256" spans="28:31" x14ac:dyDescent="0.3">
      <c r="AB256">
        <f t="shared" si="57"/>
        <v>2714</v>
      </c>
      <c r="AC256">
        <f t="shared" si="54"/>
        <v>588.33372199738585</v>
      </c>
      <c r="AD256">
        <f t="shared" si="56"/>
        <v>141040.63532865664</v>
      </c>
      <c r="AE256">
        <f t="shared" si="55"/>
        <v>12.827706714748215</v>
      </c>
    </row>
    <row r="257" spans="28:31" x14ac:dyDescent="0.3">
      <c r="AB257">
        <f t="shared" si="57"/>
        <v>2719</v>
      </c>
      <c r="AC257">
        <f t="shared" si="54"/>
        <v>587.15823043678211</v>
      </c>
      <c r="AD257">
        <f t="shared" si="56"/>
        <v>141627.79355909344</v>
      </c>
      <c r="AE257">
        <f t="shared" si="55"/>
        <v>12.881109009467343</v>
      </c>
    </row>
    <row r="258" spans="28:31" x14ac:dyDescent="0.3">
      <c r="AB258">
        <f t="shared" si="57"/>
        <v>2724</v>
      </c>
      <c r="AC258">
        <f t="shared" si="54"/>
        <v>585.9850875098831</v>
      </c>
      <c r="AD258">
        <f t="shared" si="56"/>
        <v>142213.77864660331</v>
      </c>
      <c r="AE258">
        <f t="shared" si="55"/>
        <v>12.934404606330453</v>
      </c>
    </row>
    <row r="259" spans="28:31" x14ac:dyDescent="0.3">
      <c r="AB259">
        <f t="shared" si="57"/>
        <v>2729</v>
      </c>
      <c r="AC259">
        <f t="shared" si="54"/>
        <v>584.81428852411534</v>
      </c>
      <c r="AD259">
        <f t="shared" si="56"/>
        <v>142798.59293512744</v>
      </c>
      <c r="AE259">
        <f t="shared" si="55"/>
        <v>12.987593718520003</v>
      </c>
    </row>
    <row r="260" spans="28:31" x14ac:dyDescent="0.3">
      <c r="AB260">
        <f t="shared" si="57"/>
        <v>2734</v>
      </c>
      <c r="AC260">
        <f t="shared" ref="AC260:AC323" si="58" xml:space="preserve"> 1742.18324*EXP(-0.0004*AB260)</f>
        <v>583.64582879628153</v>
      </c>
      <c r="AD260">
        <f t="shared" si="56"/>
        <v>143382.23876392373</v>
      </c>
      <c r="AE260">
        <f t="shared" si="55"/>
        <v>13.040676558792518</v>
      </c>
    </row>
    <row r="261" spans="28:31" x14ac:dyDescent="0.3">
      <c r="AB261">
        <f t="shared" si="57"/>
        <v>2739</v>
      </c>
      <c r="AC261">
        <f t="shared" si="58"/>
        <v>582.47970365254105</v>
      </c>
      <c r="AD261">
        <f t="shared" si="56"/>
        <v>143964.71846757625</v>
      </c>
      <c r="AE261">
        <f t="shared" si="55"/>
        <v>13.093653339479424</v>
      </c>
    </row>
    <row r="262" spans="28:31" x14ac:dyDescent="0.3">
      <c r="AB262">
        <f t="shared" si="57"/>
        <v>2744</v>
      </c>
      <c r="AC262">
        <f t="shared" si="58"/>
        <v>581.31590842839182</v>
      </c>
      <c r="AD262">
        <f t="shared" si="56"/>
        <v>144546.03437600465</v>
      </c>
      <c r="AE262">
        <f t="shared" si="55"/>
        <v>13.146524272487918</v>
      </c>
    </row>
    <row r="263" spans="28:31" x14ac:dyDescent="0.3">
      <c r="AB263">
        <f t="shared" si="57"/>
        <v>2749</v>
      </c>
      <c r="AC263">
        <f t="shared" si="58"/>
        <v>580.15443846865139</v>
      </c>
      <c r="AD263">
        <f t="shared" si="56"/>
        <v>145126.18881447331</v>
      </c>
      <c r="AE263">
        <f t="shared" si="55"/>
        <v>13.199289569301802</v>
      </c>
    </row>
    <row r="264" spans="28:31" x14ac:dyDescent="0.3">
      <c r="AB264">
        <f t="shared" si="57"/>
        <v>2754</v>
      </c>
      <c r="AC264">
        <f t="shared" si="58"/>
        <v>578.99528912743847</v>
      </c>
      <c r="AD264">
        <f t="shared" si="56"/>
        <v>145705.18410360074</v>
      </c>
      <c r="AE264">
        <f t="shared" si="55"/>
        <v>13.251949440982331</v>
      </c>
    </row>
    <row r="265" spans="28:31" x14ac:dyDescent="0.3">
      <c r="AB265">
        <f t="shared" si="57"/>
        <v>2759</v>
      </c>
      <c r="AC265">
        <f t="shared" si="58"/>
        <v>577.83845576815395</v>
      </c>
      <c r="AD265">
        <f t="shared" si="56"/>
        <v>146283.0225593689</v>
      </c>
      <c r="AE265">
        <f t="shared" si="55"/>
        <v>13.304504098169067</v>
      </c>
    </row>
    <row r="266" spans="28:31" x14ac:dyDescent="0.3">
      <c r="AB266">
        <f t="shared" si="57"/>
        <v>2764</v>
      </c>
      <c r="AC266">
        <f t="shared" si="58"/>
        <v>576.68393376346296</v>
      </c>
      <c r="AD266">
        <f t="shared" si="56"/>
        <v>146859.70649313237</v>
      </c>
      <c r="AE266">
        <f t="shared" si="55"/>
        <v>13.356953751080708</v>
      </c>
    </row>
    <row r="267" spans="28:31" x14ac:dyDescent="0.3">
      <c r="AB267">
        <f t="shared" si="57"/>
        <v>2769</v>
      </c>
      <c r="AC267">
        <f t="shared" si="58"/>
        <v>575.53171849527587</v>
      </c>
      <c r="AD267">
        <f t="shared" si="56"/>
        <v>147435.23821162764</v>
      </c>
      <c r="AE267">
        <f t="shared" si="55"/>
        <v>13.409298609515929</v>
      </c>
    </row>
    <row r="268" spans="28:31" x14ac:dyDescent="0.3">
      <c r="AB268">
        <f t="shared" si="57"/>
        <v>2774</v>
      </c>
      <c r="AC268">
        <f t="shared" si="58"/>
        <v>574.38180535473032</v>
      </c>
      <c r="AD268">
        <f t="shared" si="56"/>
        <v>148009.62001698237</v>
      </c>
      <c r="AE268">
        <f t="shared" si="55"/>
        <v>13.46153888285424</v>
      </c>
    </row>
    <row r="269" spans="28:31" x14ac:dyDescent="0.3">
      <c r="AB269">
        <f t="shared" si="57"/>
        <v>2779</v>
      </c>
      <c r="AC269">
        <f t="shared" si="58"/>
        <v>573.23418974217191</v>
      </c>
      <c r="AD269">
        <f t="shared" si="56"/>
        <v>148582.85420672453</v>
      </c>
      <c r="AE269">
        <f t="shared" si="55"/>
        <v>13.513674780056801</v>
      </c>
    </row>
    <row r="270" spans="28:31" x14ac:dyDescent="0.3">
      <c r="AB270">
        <f t="shared" si="57"/>
        <v>2784</v>
      </c>
      <c r="AC270">
        <f t="shared" si="58"/>
        <v>572.08886706713679</v>
      </c>
      <c r="AD270">
        <f t="shared" si="56"/>
        <v>149154.94307379166</v>
      </c>
      <c r="AE270">
        <f t="shared" si="55"/>
        <v>13.565706509667272</v>
      </c>
    </row>
    <row r="271" spans="28:31" x14ac:dyDescent="0.3">
      <c r="AB271">
        <f t="shared" si="57"/>
        <v>2789</v>
      </c>
      <c r="AC271">
        <f t="shared" si="58"/>
        <v>570.94583274833269</v>
      </c>
      <c r="AD271">
        <f t="shared" si="56"/>
        <v>149725.88890654</v>
      </c>
      <c r="AE271">
        <f t="shared" si="55"/>
        <v>13.617634279812641</v>
      </c>
    </row>
    <row r="272" spans="28:31" x14ac:dyDescent="0.3">
      <c r="AB272">
        <f t="shared" si="57"/>
        <v>2794</v>
      </c>
      <c r="AC272">
        <f t="shared" si="58"/>
        <v>569.80508221362095</v>
      </c>
      <c r="AD272">
        <f t="shared" si="56"/>
        <v>150295.69398875363</v>
      </c>
      <c r="AE272">
        <f t="shared" ref="AE272:AE335" si="59">((AD272*100)*30)/$BV$33</f>
        <v>13.669458298204059</v>
      </c>
    </row>
    <row r="273" spans="28:31" x14ac:dyDescent="0.3">
      <c r="AB273">
        <f t="shared" si="57"/>
        <v>2799</v>
      </c>
      <c r="AC273">
        <f t="shared" si="58"/>
        <v>568.66661089999775</v>
      </c>
      <c r="AD273">
        <f t="shared" si="56"/>
        <v>150864.36059965362</v>
      </c>
      <c r="AE273">
        <f t="shared" si="59"/>
        <v>13.721178772137664</v>
      </c>
    </row>
    <row r="274" spans="28:31" x14ac:dyDescent="0.3">
      <c r="AB274">
        <f t="shared" si="57"/>
        <v>2804</v>
      </c>
      <c r="AC274">
        <f t="shared" si="58"/>
        <v>567.53041425357628</v>
      </c>
      <c r="AD274">
        <f t="shared" si="56"/>
        <v>151431.89101390721</v>
      </c>
      <c r="AE274">
        <f t="shared" si="59"/>
        <v>13.772795908495427</v>
      </c>
    </row>
    <row r="275" spans="28:31" x14ac:dyDescent="0.3">
      <c r="AB275">
        <f t="shared" si="57"/>
        <v>2809</v>
      </c>
      <c r="AC275">
        <f t="shared" si="58"/>
        <v>566.39648772956866</v>
      </c>
      <c r="AD275">
        <f t="shared" si="56"/>
        <v>151998.28750163678</v>
      </c>
      <c r="AE275">
        <f t="shared" si="59"/>
        <v>13.824309913745955</v>
      </c>
    </row>
    <row r="276" spans="28:31" x14ac:dyDescent="0.3">
      <c r="AB276">
        <f t="shared" si="57"/>
        <v>2814</v>
      </c>
      <c r="AC276">
        <f t="shared" si="58"/>
        <v>565.26482679226717</v>
      </c>
      <c r="AD276">
        <f t="shared" si="56"/>
        <v>152563.55232842904</v>
      </c>
      <c r="AE276">
        <f t="shared" si="59"/>
        <v>13.875720993945343</v>
      </c>
    </row>
    <row r="277" spans="28:31" x14ac:dyDescent="0.3">
      <c r="AB277">
        <f t="shared" si="57"/>
        <v>2819</v>
      </c>
      <c r="AC277">
        <f t="shared" si="58"/>
        <v>564.13542691502641</v>
      </c>
      <c r="AD277">
        <f t="shared" si="56"/>
        <v>153127.68775534406</v>
      </c>
      <c r="AE277">
        <f t="shared" si="59"/>
        <v>13.927029354737979</v>
      </c>
    </row>
    <row r="278" spans="28:31" x14ac:dyDescent="0.3">
      <c r="AB278">
        <f t="shared" si="57"/>
        <v>2824</v>
      </c>
      <c r="AC278">
        <f t="shared" si="58"/>
        <v>563.00828358024569</v>
      </c>
      <c r="AD278">
        <f t="shared" si="56"/>
        <v>153690.6960389243</v>
      </c>
      <c r="AE278">
        <f t="shared" si="59"/>
        <v>13.978235201357371</v>
      </c>
    </row>
    <row r="279" spans="28:31" x14ac:dyDescent="0.3">
      <c r="AB279">
        <f t="shared" si="57"/>
        <v>2829</v>
      </c>
      <c r="AC279">
        <f t="shared" si="58"/>
        <v>561.88339227934966</v>
      </c>
      <c r="AD279">
        <f t="shared" si="56"/>
        <v>154252.57943120366</v>
      </c>
      <c r="AE279">
        <f t="shared" si="59"/>
        <v>14.029338738626981</v>
      </c>
    </row>
    <row r="280" spans="28:31" x14ac:dyDescent="0.3">
      <c r="AB280">
        <f t="shared" si="57"/>
        <v>2834</v>
      </c>
      <c r="AC280">
        <f t="shared" si="58"/>
        <v>560.76074851277224</v>
      </c>
      <c r="AD280">
        <f t="shared" si="56"/>
        <v>154813.34017971644</v>
      </c>
      <c r="AE280">
        <f t="shared" si="59"/>
        <v>14.080340170961023</v>
      </c>
    </row>
    <row r="281" spans="28:31" x14ac:dyDescent="0.3">
      <c r="AB281">
        <f t="shared" si="57"/>
        <v>2839</v>
      </c>
      <c r="AC281">
        <f t="shared" si="58"/>
        <v>559.64034778993641</v>
      </c>
      <c r="AD281">
        <f t="shared" si="56"/>
        <v>155372.98052750638</v>
      </c>
      <c r="AE281">
        <f t="shared" si="59"/>
        <v>14.13123970236529</v>
      </c>
    </row>
    <row r="282" spans="28:31" x14ac:dyDescent="0.3">
      <c r="AB282">
        <f t="shared" si="57"/>
        <v>2844</v>
      </c>
      <c r="AC282">
        <f t="shared" si="58"/>
        <v>558.52218562923792</v>
      </c>
      <c r="AD282">
        <f t="shared" si="56"/>
        <v>155931.50271313562</v>
      </c>
      <c r="AE282">
        <f t="shared" si="59"/>
        <v>14.182037536437983</v>
      </c>
    </row>
    <row r="283" spans="28:31" x14ac:dyDescent="0.3">
      <c r="AB283">
        <f t="shared" si="57"/>
        <v>2849</v>
      </c>
      <c r="AC283">
        <f t="shared" si="58"/>
        <v>557.40625755802671</v>
      </c>
      <c r="AD283">
        <f t="shared" si="56"/>
        <v>156488.90897069365</v>
      </c>
      <c r="AE283">
        <f t="shared" si="59"/>
        <v>14.232733876370499</v>
      </c>
    </row>
    <row r="284" spans="28:31" x14ac:dyDescent="0.3">
      <c r="AB284">
        <f t="shared" si="57"/>
        <v>2854</v>
      </c>
      <c r="AC284">
        <f t="shared" si="58"/>
        <v>556.29255911258883</v>
      </c>
      <c r="AD284">
        <f t="shared" si="56"/>
        <v>157045.20152980625</v>
      </c>
      <c r="AE284">
        <f t="shared" si="59"/>
        <v>14.283328924948272</v>
      </c>
    </row>
    <row r="285" spans="28:31" x14ac:dyDescent="0.3">
      <c r="AB285">
        <f t="shared" si="57"/>
        <v>2859</v>
      </c>
      <c r="AC285">
        <f t="shared" si="58"/>
        <v>555.18108583812921</v>
      </c>
      <c r="AD285">
        <f t="shared" si="56"/>
        <v>157600.38261564437</v>
      </c>
      <c r="AE285">
        <f t="shared" si="59"/>
        <v>14.333822884551557</v>
      </c>
    </row>
    <row r="286" spans="28:31" x14ac:dyDescent="0.3">
      <c r="AB286">
        <f t="shared" si="57"/>
        <v>2864</v>
      </c>
      <c r="AC286">
        <f t="shared" si="58"/>
        <v>554.07183328875317</v>
      </c>
      <c r="AD286">
        <f t="shared" si="56"/>
        <v>158154.45444893313</v>
      </c>
      <c r="AE286">
        <f t="shared" si="59"/>
        <v>14.384215957156266</v>
      </c>
    </row>
    <row r="287" spans="28:31" x14ac:dyDescent="0.3">
      <c r="AB287">
        <f t="shared" si="57"/>
        <v>2869</v>
      </c>
      <c r="AC287">
        <f t="shared" si="58"/>
        <v>552.96479702744898</v>
      </c>
      <c r="AD287">
        <f t="shared" si="56"/>
        <v>158707.41924596057</v>
      </c>
      <c r="AE287">
        <f t="shared" si="59"/>
        <v>14.434508344334748</v>
      </c>
    </row>
    <row r="288" spans="28:31" x14ac:dyDescent="0.3">
      <c r="AB288">
        <f t="shared" si="57"/>
        <v>2874</v>
      </c>
      <c r="AC288">
        <f t="shared" si="58"/>
        <v>551.85997262607032</v>
      </c>
      <c r="AD288">
        <f t="shared" si="56"/>
        <v>159259.27921858663</v>
      </c>
      <c r="AE288">
        <f t="shared" si="59"/>
        <v>14.484700247256628</v>
      </c>
    </row>
    <row r="289" spans="28:31" x14ac:dyDescent="0.3">
      <c r="AB289">
        <f t="shared" si="57"/>
        <v>2879</v>
      </c>
      <c r="AC289">
        <f t="shared" si="58"/>
        <v>550.75735566531785</v>
      </c>
      <c r="AD289">
        <f t="shared" si="56"/>
        <v>159810.03657425195</v>
      </c>
      <c r="AE289">
        <f t="shared" si="59"/>
        <v>14.534791866689581</v>
      </c>
    </row>
    <row r="290" spans="28:31" x14ac:dyDescent="0.3">
      <c r="AB290">
        <f t="shared" si="57"/>
        <v>2884</v>
      </c>
      <c r="AC290">
        <f t="shared" si="58"/>
        <v>549.65694173472252</v>
      </c>
      <c r="AD290">
        <f t="shared" si="56"/>
        <v>160359.69351598667</v>
      </c>
      <c r="AE290">
        <f t="shared" si="59"/>
        <v>14.58478340300015</v>
      </c>
    </row>
    <row r="291" spans="28:31" x14ac:dyDescent="0.3">
      <c r="AB291">
        <f t="shared" si="57"/>
        <v>2889</v>
      </c>
      <c r="AC291">
        <f t="shared" si="58"/>
        <v>548.55872643262694</v>
      </c>
      <c r="AD291">
        <f t="shared" si="56"/>
        <v>160908.25224241929</v>
      </c>
      <c r="AE291">
        <f t="shared" si="59"/>
        <v>14.634675056154551</v>
      </c>
    </row>
    <row r="292" spans="28:31" x14ac:dyDescent="0.3">
      <c r="AB292">
        <f t="shared" si="57"/>
        <v>2894</v>
      </c>
      <c r="AC292">
        <f t="shared" si="58"/>
        <v>547.46270536616839</v>
      </c>
      <c r="AD292">
        <f t="shared" si="56"/>
        <v>161455.71494778545</v>
      </c>
      <c r="AE292">
        <f t="shared" si="59"/>
        <v>14.68446702571946</v>
      </c>
    </row>
    <row r="293" spans="28:31" x14ac:dyDescent="0.3">
      <c r="AB293">
        <f t="shared" si="57"/>
        <v>2899</v>
      </c>
      <c r="AC293">
        <f t="shared" si="58"/>
        <v>546.36887415126125</v>
      </c>
      <c r="AD293">
        <f t="shared" si="56"/>
        <v>162002.08382193671</v>
      </c>
      <c r="AE293">
        <f t="shared" si="59"/>
        <v>14.73415951086282</v>
      </c>
    </row>
    <row r="294" spans="28:31" x14ac:dyDescent="0.3">
      <c r="AB294">
        <f t="shared" si="57"/>
        <v>2904</v>
      </c>
      <c r="AC294">
        <f t="shared" si="58"/>
        <v>545.27722841257935</v>
      </c>
      <c r="AD294">
        <f t="shared" si="56"/>
        <v>162547.36105034928</v>
      </c>
      <c r="AE294">
        <f t="shared" si="59"/>
        <v>14.783752710354642</v>
      </c>
    </row>
    <row r="295" spans="28:31" x14ac:dyDescent="0.3">
      <c r="AB295">
        <f t="shared" si="57"/>
        <v>2909</v>
      </c>
      <c r="AC295">
        <f t="shared" si="58"/>
        <v>544.18776378353812</v>
      </c>
      <c r="AD295">
        <f t="shared" si="56"/>
        <v>163091.54881413281</v>
      </c>
      <c r="AE295">
        <f t="shared" si="59"/>
        <v>14.833246822567785</v>
      </c>
    </row>
    <row r="296" spans="28:31" x14ac:dyDescent="0.3">
      <c r="AB296">
        <f t="shared" si="57"/>
        <v>2914</v>
      </c>
      <c r="AC296">
        <f t="shared" si="58"/>
        <v>543.10047590627755</v>
      </c>
      <c r="AD296">
        <f t="shared" si="56"/>
        <v>163634.64929003909</v>
      </c>
      <c r="AE296">
        <f t="shared" si="59"/>
        <v>14.882642045478772</v>
      </c>
    </row>
    <row r="297" spans="28:31" x14ac:dyDescent="0.3">
      <c r="AB297">
        <f t="shared" si="57"/>
        <v>2919</v>
      </c>
      <c r="AC297">
        <f t="shared" si="58"/>
        <v>542.01536043164481</v>
      </c>
      <c r="AD297">
        <f t="shared" si="56"/>
        <v>164176.66465047075</v>
      </c>
      <c r="AE297">
        <f t="shared" si="59"/>
        <v>14.931938576668554</v>
      </c>
    </row>
    <row r="298" spans="28:31" x14ac:dyDescent="0.3">
      <c r="AB298">
        <f t="shared" si="57"/>
        <v>2924</v>
      </c>
      <c r="AC298">
        <f t="shared" si="58"/>
        <v>540.93241301917635</v>
      </c>
      <c r="AD298">
        <f t="shared" si="56"/>
        <v>164717.59706348993</v>
      </c>
      <c r="AE298">
        <f t="shared" si="59"/>
        <v>14.981136613323322</v>
      </c>
    </row>
    <row r="299" spans="28:31" x14ac:dyDescent="0.3">
      <c r="AB299">
        <f t="shared" si="57"/>
        <v>2929</v>
      </c>
      <c r="AC299">
        <f t="shared" si="58"/>
        <v>539.85162933708136</v>
      </c>
      <c r="AD299">
        <f t="shared" si="56"/>
        <v>165257.44869282702</v>
      </c>
      <c r="AE299">
        <f t="shared" si="59"/>
        <v>15.030236352235292</v>
      </c>
    </row>
    <row r="300" spans="28:31" x14ac:dyDescent="0.3">
      <c r="AB300">
        <f t="shared" si="57"/>
        <v>2934</v>
      </c>
      <c r="AC300">
        <f t="shared" si="58"/>
        <v>538.77300506222343</v>
      </c>
      <c r="AD300">
        <f t="shared" si="56"/>
        <v>165796.22169788924</v>
      </c>
      <c r="AE300">
        <f t="shared" si="59"/>
        <v>15.079237989803477</v>
      </c>
    </row>
    <row r="301" spans="28:31" x14ac:dyDescent="0.3">
      <c r="AB301">
        <f t="shared" si="57"/>
        <v>2939</v>
      </c>
      <c r="AC301">
        <f t="shared" si="58"/>
        <v>537.69653588010408</v>
      </c>
      <c r="AD301">
        <f t="shared" si="56"/>
        <v>166333.91823376933</v>
      </c>
      <c r="AE301">
        <f t="shared" si="59"/>
        <v>15.128141722034501</v>
      </c>
    </row>
    <row r="302" spans="28:31" x14ac:dyDescent="0.3">
      <c r="AB302">
        <f t="shared" si="57"/>
        <v>2944</v>
      </c>
      <c r="AC302">
        <f t="shared" si="58"/>
        <v>536.62221748484524</v>
      </c>
      <c r="AD302">
        <f t="shared" si="56"/>
        <v>166870.54045125417</v>
      </c>
      <c r="AE302">
        <f t="shared" si="59"/>
        <v>15.176947744543353</v>
      </c>
    </row>
    <row r="303" spans="28:31" x14ac:dyDescent="0.3">
      <c r="AB303">
        <f t="shared" si="57"/>
        <v>2949</v>
      </c>
      <c r="AC303">
        <f t="shared" si="58"/>
        <v>535.55004557917187</v>
      </c>
      <c r="AD303">
        <f t="shared" si="56"/>
        <v>167406.09049683335</v>
      </c>
      <c r="AE303">
        <f t="shared" si="59"/>
        <v>15.225656252554192</v>
      </c>
    </row>
    <row r="304" spans="28:31" x14ac:dyDescent="0.3">
      <c r="AB304">
        <f t="shared" si="57"/>
        <v>2954</v>
      </c>
      <c r="AC304">
        <f t="shared" si="58"/>
        <v>534.48001587439478</v>
      </c>
      <c r="AD304">
        <f t="shared" si="56"/>
        <v>167940.57051270775</v>
      </c>
      <c r="AE304">
        <f t="shared" si="59"/>
        <v>15.274267440901115</v>
      </c>
    </row>
    <row r="305" spans="28:31" x14ac:dyDescent="0.3">
      <c r="AB305">
        <f t="shared" si="57"/>
        <v>2959</v>
      </c>
      <c r="AC305">
        <f t="shared" si="58"/>
        <v>533.41212409039395</v>
      </c>
      <c r="AD305">
        <f t="shared" si="56"/>
        <v>168473.98263679814</v>
      </c>
      <c r="AE305">
        <f t="shared" si="59"/>
        <v>15.322781504028935</v>
      </c>
    </row>
    <row r="306" spans="28:31" x14ac:dyDescent="0.3">
      <c r="AB306">
        <f t="shared" si="57"/>
        <v>2964</v>
      </c>
      <c r="AC306">
        <f t="shared" si="58"/>
        <v>532.34636595560073</v>
      </c>
      <c r="AD306">
        <f t="shared" si="56"/>
        <v>169006.32900275374</v>
      </c>
      <c r="AE306">
        <f t="shared" si="59"/>
        <v>15.371198635993975</v>
      </c>
    </row>
    <row r="307" spans="28:31" x14ac:dyDescent="0.3">
      <c r="AB307">
        <f t="shared" si="57"/>
        <v>2969</v>
      </c>
      <c r="AC307">
        <f t="shared" si="58"/>
        <v>531.28273720698098</v>
      </c>
      <c r="AD307">
        <f t="shared" si="56"/>
        <v>169537.61173996073</v>
      </c>
      <c r="AE307">
        <f t="shared" si="59"/>
        <v>15.419519030464823</v>
      </c>
    </row>
    <row r="308" spans="28:31" x14ac:dyDescent="0.3">
      <c r="AB308">
        <f t="shared" si="57"/>
        <v>2974</v>
      </c>
      <c r="AC308">
        <f t="shared" si="58"/>
        <v>530.22123359001853</v>
      </c>
      <c r="AD308">
        <f t="shared" si="56"/>
        <v>170067.83297355074</v>
      </c>
      <c r="AE308">
        <f t="shared" si="59"/>
        <v>15.467742880723122</v>
      </c>
    </row>
    <row r="309" spans="28:31" x14ac:dyDescent="0.3">
      <c r="AB309">
        <f t="shared" si="57"/>
        <v>2979</v>
      </c>
      <c r="AC309">
        <f t="shared" si="58"/>
        <v>529.16185085869733</v>
      </c>
      <c r="AD309">
        <f t="shared" si="56"/>
        <v>170596.99482440943</v>
      </c>
      <c r="AE309">
        <f t="shared" si="59"/>
        <v>15.515870379664339</v>
      </c>
    </row>
    <row r="310" spans="28:31" x14ac:dyDescent="0.3">
      <c r="AB310">
        <f t="shared" si="57"/>
        <v>2984</v>
      </c>
      <c r="AC310">
        <f t="shared" si="58"/>
        <v>528.10458477548514</v>
      </c>
      <c r="AD310">
        <f t="shared" si="56"/>
        <v>171125.09940918491</v>
      </c>
      <c r="AE310">
        <f t="shared" si="59"/>
        <v>15.563901719798535</v>
      </c>
    </row>
    <row r="311" spans="28:31" x14ac:dyDescent="0.3">
      <c r="AB311">
        <f t="shared" si="57"/>
        <v>2989</v>
      </c>
      <c r="AC311">
        <f t="shared" si="58"/>
        <v>527.04943111131627</v>
      </c>
      <c r="AD311">
        <f t="shared" si="56"/>
        <v>171652.14884029623</v>
      </c>
      <c r="AE311">
        <f t="shared" si="59"/>
        <v>15.611837093251134</v>
      </c>
    </row>
    <row r="312" spans="28:31" x14ac:dyDescent="0.3">
      <c r="AB312">
        <f t="shared" si="57"/>
        <v>2994</v>
      </c>
      <c r="AC312">
        <f t="shared" si="58"/>
        <v>525.99638564557449</v>
      </c>
      <c r="AD312">
        <f t="shared" si="56"/>
        <v>172178.14522594181</v>
      </c>
      <c r="AE312">
        <f t="shared" si="59"/>
        <v>15.659676691763693</v>
      </c>
    </row>
    <row r="313" spans="28:31" x14ac:dyDescent="0.3">
      <c r="AB313">
        <f t="shared" si="57"/>
        <v>2999</v>
      </c>
      <c r="AC313">
        <f t="shared" si="58"/>
        <v>524.94544416607664</v>
      </c>
      <c r="AD313">
        <f t="shared" si="56"/>
        <v>172703.09067010789</v>
      </c>
      <c r="AE313">
        <f t="shared" si="59"/>
        <v>15.70742070669467</v>
      </c>
    </row>
    <row r="314" spans="28:31" x14ac:dyDescent="0.3">
      <c r="AB314">
        <f t="shared" si="57"/>
        <v>3004</v>
      </c>
      <c r="AC314">
        <f t="shared" si="58"/>
        <v>523.89660246905544</v>
      </c>
      <c r="AD314">
        <f t="shared" si="56"/>
        <v>173226.98727257695</v>
      </c>
      <c r="AE314">
        <f t="shared" si="59"/>
        <v>15.755069329020186</v>
      </c>
    </row>
    <row r="315" spans="28:31" x14ac:dyDescent="0.3">
      <c r="AB315">
        <f t="shared" si="57"/>
        <v>3009</v>
      </c>
      <c r="AC315">
        <f t="shared" si="58"/>
        <v>522.84985635914256</v>
      </c>
      <c r="AD315">
        <f t="shared" si="56"/>
        <v>173749.83712893611</v>
      </c>
      <c r="AE315">
        <f t="shared" si="59"/>
        <v>15.8026227493348</v>
      </c>
    </row>
    <row r="316" spans="28:31" x14ac:dyDescent="0.3">
      <c r="AB316">
        <f t="shared" si="57"/>
        <v>3014</v>
      </c>
      <c r="AC316">
        <f t="shared" si="58"/>
        <v>521.80520164935217</v>
      </c>
      <c r="AD316">
        <f t="shared" si="56"/>
        <v>174271.64233058546</v>
      </c>
      <c r="AE316">
        <f t="shared" si="59"/>
        <v>15.850081157852248</v>
      </c>
    </row>
    <row r="317" spans="28:31" x14ac:dyDescent="0.3">
      <c r="AB317">
        <f t="shared" si="57"/>
        <v>3019</v>
      </c>
      <c r="AC317">
        <f t="shared" si="58"/>
        <v>520.76263416106428</v>
      </c>
      <c r="AD317">
        <f t="shared" si="56"/>
        <v>174792.40496474653</v>
      </c>
      <c r="AE317">
        <f t="shared" si="59"/>
        <v>15.897444744406233</v>
      </c>
    </row>
    <row r="318" spans="28:31" x14ac:dyDescent="0.3">
      <c r="AB318">
        <f t="shared" si="57"/>
        <v>3024</v>
      </c>
      <c r="AC318">
        <f t="shared" si="58"/>
        <v>519.72214972400741</v>
      </c>
      <c r="AD318">
        <f t="shared" ref="AD318:AD381" si="60">AD317+AC318</f>
        <v>175312.12711447052</v>
      </c>
      <c r="AE318">
        <f t="shared" si="59"/>
        <v>15.944713698451162</v>
      </c>
    </row>
    <row r="319" spans="28:31" x14ac:dyDescent="0.3">
      <c r="AB319">
        <f t="shared" ref="AB319:AB382" si="61">AB318+5</f>
        <v>3029</v>
      </c>
      <c r="AC319">
        <f t="shared" si="58"/>
        <v>518.68374417624227</v>
      </c>
      <c r="AD319">
        <f t="shared" si="60"/>
        <v>175830.81085864676</v>
      </c>
      <c r="AE319">
        <f t="shared" si="59"/>
        <v>15.991888209062916</v>
      </c>
    </row>
    <row r="320" spans="28:31" x14ac:dyDescent="0.3">
      <c r="AB320">
        <f t="shared" si="61"/>
        <v>3034</v>
      </c>
      <c r="AC320">
        <f t="shared" si="58"/>
        <v>517.64741336414545</v>
      </c>
      <c r="AD320">
        <f t="shared" si="60"/>
        <v>176348.4582720109</v>
      </c>
      <c r="AE320">
        <f t="shared" si="59"/>
        <v>16.0389684649396</v>
      </c>
    </row>
    <row r="321" spans="28:31" x14ac:dyDescent="0.3">
      <c r="AB321">
        <f t="shared" si="61"/>
        <v>3039</v>
      </c>
      <c r="AC321">
        <f t="shared" si="58"/>
        <v>516.61315314239221</v>
      </c>
      <c r="AD321">
        <f t="shared" si="60"/>
        <v>176865.07142515329</v>
      </c>
      <c r="AE321">
        <f t="shared" si="59"/>
        <v>16.0859546544023</v>
      </c>
    </row>
    <row r="322" spans="28:31" x14ac:dyDescent="0.3">
      <c r="AB322">
        <f t="shared" si="61"/>
        <v>3044</v>
      </c>
      <c r="AC322">
        <f t="shared" si="58"/>
        <v>515.58095937394057</v>
      </c>
      <c r="AD322">
        <f t="shared" si="60"/>
        <v>177380.65238452723</v>
      </c>
      <c r="AE322">
        <f t="shared" si="59"/>
        <v>16.132846965395835</v>
      </c>
    </row>
    <row r="323" spans="28:31" x14ac:dyDescent="0.3">
      <c r="AB323">
        <f t="shared" si="61"/>
        <v>3049</v>
      </c>
      <c r="AC323">
        <f t="shared" si="58"/>
        <v>514.55082793001361</v>
      </c>
      <c r="AD323">
        <f t="shared" si="60"/>
        <v>177895.20321245724</v>
      </c>
      <c r="AE323">
        <f t="shared" si="59"/>
        <v>16.179645585489514</v>
      </c>
    </row>
    <row r="324" spans="28:31" x14ac:dyDescent="0.3">
      <c r="AB324">
        <f t="shared" si="61"/>
        <v>3054</v>
      </c>
      <c r="AC324">
        <f t="shared" ref="AC324:AC387" si="62" xml:space="preserve"> 1742.18324*EXP(-0.0004*AB324)</f>
        <v>513.52275469008464</v>
      </c>
      <c r="AD324">
        <f t="shared" si="60"/>
        <v>178408.72596714733</v>
      </c>
      <c r="AE324">
        <f t="shared" si="59"/>
        <v>16.22635070187788</v>
      </c>
    </row>
    <row r="325" spans="28:31" x14ac:dyDescent="0.3">
      <c r="AB325">
        <f t="shared" si="61"/>
        <v>3059</v>
      </c>
      <c r="AC325">
        <f t="shared" si="62"/>
        <v>512.49673554185904</v>
      </c>
      <c r="AD325">
        <f t="shared" si="60"/>
        <v>178921.22270268918</v>
      </c>
      <c r="AE325">
        <f t="shared" si="59"/>
        <v>16.27296250138146</v>
      </c>
    </row>
    <row r="326" spans="28:31" x14ac:dyDescent="0.3">
      <c r="AB326">
        <f t="shared" si="61"/>
        <v>3064</v>
      </c>
      <c r="AC326">
        <f t="shared" si="62"/>
        <v>511.47276638125896</v>
      </c>
      <c r="AD326">
        <f t="shared" si="60"/>
        <v>179432.69546907043</v>
      </c>
      <c r="AE326">
        <f t="shared" si="59"/>
        <v>16.319481170447514</v>
      </c>
    </row>
    <row r="327" spans="28:31" x14ac:dyDescent="0.3">
      <c r="AB327">
        <f t="shared" si="61"/>
        <v>3069</v>
      </c>
      <c r="AC327">
        <f t="shared" si="62"/>
        <v>510.45084311240635</v>
      </c>
      <c r="AD327">
        <f t="shared" si="60"/>
        <v>179943.14631218283</v>
      </c>
      <c r="AE327">
        <f t="shared" si="59"/>
        <v>16.365906895150779</v>
      </c>
    </row>
    <row r="328" spans="28:31" x14ac:dyDescent="0.3">
      <c r="AB328">
        <f t="shared" si="61"/>
        <v>3074</v>
      </c>
      <c r="AC328">
        <f t="shared" si="62"/>
        <v>509.43096164760681</v>
      </c>
      <c r="AD328">
        <f t="shared" si="60"/>
        <v>180452.57727383042</v>
      </c>
      <c r="AE328">
        <f t="shared" si="59"/>
        <v>16.41223986119422</v>
      </c>
    </row>
    <row r="329" spans="28:31" x14ac:dyDescent="0.3">
      <c r="AB329">
        <f t="shared" si="61"/>
        <v>3079</v>
      </c>
      <c r="AC329">
        <f t="shared" si="62"/>
        <v>508.41311790733312</v>
      </c>
      <c r="AD329">
        <f t="shared" si="60"/>
        <v>180960.99039173775</v>
      </c>
      <c r="AE329">
        <f t="shared" si="59"/>
        <v>16.458480253909755</v>
      </c>
    </row>
    <row r="330" spans="28:31" x14ac:dyDescent="0.3">
      <c r="AB330">
        <f t="shared" si="61"/>
        <v>3084</v>
      </c>
      <c r="AC330">
        <f t="shared" si="62"/>
        <v>507.39730782020894</v>
      </c>
      <c r="AD330">
        <f t="shared" si="60"/>
        <v>181468.38769955796</v>
      </c>
      <c r="AE330">
        <f t="shared" si="59"/>
        <v>16.504628258259022</v>
      </c>
    </row>
    <row r="331" spans="28:31" x14ac:dyDescent="0.3">
      <c r="AB331">
        <f t="shared" si="61"/>
        <v>3089</v>
      </c>
      <c r="AC331">
        <f t="shared" si="62"/>
        <v>506.38352732299251</v>
      </c>
      <c r="AD331">
        <f t="shared" si="60"/>
        <v>181974.77122688096</v>
      </c>
      <c r="AE331">
        <f t="shared" si="59"/>
        <v>16.550684058834101</v>
      </c>
    </row>
    <row r="332" spans="28:31" x14ac:dyDescent="0.3">
      <c r="AB332">
        <f t="shared" si="61"/>
        <v>3094</v>
      </c>
      <c r="AC332">
        <f t="shared" si="62"/>
        <v>505.37177236056061</v>
      </c>
      <c r="AD332">
        <f t="shared" si="60"/>
        <v>182480.14299924151</v>
      </c>
      <c r="AE332">
        <f t="shared" si="59"/>
        <v>16.596647839858253</v>
      </c>
    </row>
    <row r="333" spans="28:31" x14ac:dyDescent="0.3">
      <c r="AB333">
        <f t="shared" si="61"/>
        <v>3099</v>
      </c>
      <c r="AC333">
        <f t="shared" si="62"/>
        <v>504.36203888589199</v>
      </c>
      <c r="AD333">
        <f t="shared" si="60"/>
        <v>182984.50503812739</v>
      </c>
      <c r="AE333">
        <f t="shared" si="59"/>
        <v>16.642519785186664</v>
      </c>
    </row>
    <row r="334" spans="28:31" x14ac:dyDescent="0.3">
      <c r="AB334">
        <f t="shared" si="61"/>
        <v>3104</v>
      </c>
      <c r="AC334">
        <f t="shared" si="62"/>
        <v>503.35432286005135</v>
      </c>
      <c r="AD334">
        <f t="shared" si="60"/>
        <v>183487.85936098744</v>
      </c>
      <c r="AE334">
        <f t="shared" si="59"/>
        <v>16.688300078307179</v>
      </c>
    </row>
    <row r="335" spans="28:31" x14ac:dyDescent="0.3">
      <c r="AB335">
        <f t="shared" si="61"/>
        <v>3109</v>
      </c>
      <c r="AC335">
        <f t="shared" si="62"/>
        <v>502.34862025217325</v>
      </c>
      <c r="AD335">
        <f t="shared" si="60"/>
        <v>183990.2079812396</v>
      </c>
      <c r="AE335">
        <f t="shared" si="59"/>
        <v>16.733988902341029</v>
      </c>
    </row>
    <row r="336" spans="28:31" x14ac:dyDescent="0.3">
      <c r="AB336">
        <f t="shared" si="61"/>
        <v>3114</v>
      </c>
      <c r="AC336">
        <f t="shared" si="62"/>
        <v>501.34492703944608</v>
      </c>
      <c r="AD336">
        <f t="shared" si="60"/>
        <v>184491.55290827903</v>
      </c>
      <c r="AE336">
        <f t="shared" ref="AE336:AE399" si="63">((AD336*100)*30)/$BV$33</f>
        <v>16.779586440043566</v>
      </c>
    </row>
    <row r="337" spans="28:31" x14ac:dyDescent="0.3">
      <c r="AB337">
        <f t="shared" si="61"/>
        <v>3119</v>
      </c>
      <c r="AC337">
        <f t="shared" si="62"/>
        <v>500.34323920709539</v>
      </c>
      <c r="AD337">
        <f t="shared" si="60"/>
        <v>184991.89614748611</v>
      </c>
      <c r="AE337">
        <f t="shared" si="63"/>
        <v>16.825092873805016</v>
      </c>
    </row>
    <row r="338" spans="28:31" x14ac:dyDescent="0.3">
      <c r="AB338">
        <f t="shared" si="61"/>
        <v>3124</v>
      </c>
      <c r="AC338">
        <f t="shared" si="62"/>
        <v>499.34355274836872</v>
      </c>
      <c r="AD338">
        <f t="shared" si="60"/>
        <v>185491.2397002345</v>
      </c>
      <c r="AE338">
        <f t="shared" si="63"/>
        <v>16.87050838565116</v>
      </c>
    </row>
    <row r="339" spans="28:31" x14ac:dyDescent="0.3">
      <c r="AB339">
        <f t="shared" si="61"/>
        <v>3129</v>
      </c>
      <c r="AC339">
        <f t="shared" si="62"/>
        <v>498.34586366451884</v>
      </c>
      <c r="AD339">
        <f t="shared" si="60"/>
        <v>185989.58556389902</v>
      </c>
      <c r="AE339">
        <f t="shared" si="63"/>
        <v>16.915833157244112</v>
      </c>
    </row>
    <row r="340" spans="28:31" x14ac:dyDescent="0.3">
      <c r="AB340">
        <f t="shared" si="61"/>
        <v>3134</v>
      </c>
      <c r="AC340">
        <f t="shared" si="62"/>
        <v>497.35016796478806</v>
      </c>
      <c r="AD340">
        <f t="shared" si="60"/>
        <v>186486.93573186381</v>
      </c>
      <c r="AE340">
        <f t="shared" si="63"/>
        <v>16.961067369883018</v>
      </c>
    </row>
    <row r="341" spans="28:31" x14ac:dyDescent="0.3">
      <c r="AB341">
        <f t="shared" si="61"/>
        <v>3139</v>
      </c>
      <c r="AC341">
        <f t="shared" si="62"/>
        <v>496.35646166639231</v>
      </c>
      <c r="AD341">
        <f t="shared" si="60"/>
        <v>186983.29219353019</v>
      </c>
      <c r="AE341">
        <f t="shared" si="63"/>
        <v>17.006211204504794</v>
      </c>
    </row>
    <row r="342" spans="28:31" x14ac:dyDescent="0.3">
      <c r="AB342">
        <f t="shared" si="61"/>
        <v>3144</v>
      </c>
      <c r="AC342">
        <f t="shared" si="62"/>
        <v>495.36474079450505</v>
      </c>
      <c r="AD342">
        <f t="shared" si="60"/>
        <v>187478.65693432468</v>
      </c>
      <c r="AE342">
        <f t="shared" si="63"/>
        <v>17.05126484168483</v>
      </c>
    </row>
    <row r="343" spans="28:31" x14ac:dyDescent="0.3">
      <c r="AB343">
        <f t="shared" si="61"/>
        <v>3149</v>
      </c>
      <c r="AC343">
        <f t="shared" si="62"/>
        <v>494.37500138224141</v>
      </c>
      <c r="AD343">
        <f t="shared" si="60"/>
        <v>187973.03193570691</v>
      </c>
      <c r="AE343">
        <f t="shared" si="63"/>
        <v>17.09622846163774</v>
      </c>
    </row>
    <row r="344" spans="28:31" x14ac:dyDescent="0.3">
      <c r="AB344">
        <f t="shared" si="61"/>
        <v>3154</v>
      </c>
      <c r="AC344">
        <f t="shared" si="62"/>
        <v>493.38723947064244</v>
      </c>
      <c r="AD344">
        <f t="shared" si="60"/>
        <v>188466.41917517755</v>
      </c>
      <c r="AE344">
        <f t="shared" si="63"/>
        <v>17.141102244218057</v>
      </c>
    </row>
    <row r="345" spans="28:31" x14ac:dyDescent="0.3">
      <c r="AB345">
        <f t="shared" si="61"/>
        <v>3159</v>
      </c>
      <c r="AC345">
        <f t="shared" si="62"/>
        <v>492.40145110865927</v>
      </c>
      <c r="AD345">
        <f t="shared" si="60"/>
        <v>188958.82062628621</v>
      </c>
      <c r="AE345">
        <f t="shared" si="63"/>
        <v>17.185886368920983</v>
      </c>
    </row>
    <row r="346" spans="28:31" x14ac:dyDescent="0.3">
      <c r="AB346">
        <f t="shared" si="61"/>
        <v>3164</v>
      </c>
      <c r="AC346">
        <f t="shared" si="62"/>
        <v>491.41763235313704</v>
      </c>
      <c r="AD346">
        <f t="shared" si="60"/>
        <v>189450.23825863935</v>
      </c>
      <c r="AE346">
        <f t="shared" si="63"/>
        <v>17.230581014883068</v>
      </c>
    </row>
    <row r="347" spans="28:31" x14ac:dyDescent="0.3">
      <c r="AB347">
        <f t="shared" si="61"/>
        <v>3169</v>
      </c>
      <c r="AC347">
        <f t="shared" si="62"/>
        <v>490.43577926879942</v>
      </c>
      <c r="AD347">
        <f t="shared" si="60"/>
        <v>189940.67403790815</v>
      </c>
      <c r="AE347">
        <f t="shared" si="63"/>
        <v>17.275186360882959</v>
      </c>
    </row>
    <row r="348" spans="28:31" x14ac:dyDescent="0.3">
      <c r="AB348">
        <f t="shared" si="61"/>
        <v>3174</v>
      </c>
      <c r="AC348">
        <f t="shared" si="62"/>
        <v>489.45588792823287</v>
      </c>
      <c r="AD348">
        <f t="shared" si="60"/>
        <v>190430.12992583637</v>
      </c>
      <c r="AE348">
        <f t="shared" si="63"/>
        <v>17.319702585342096</v>
      </c>
    </row>
    <row r="349" spans="28:31" x14ac:dyDescent="0.3">
      <c r="AB349">
        <f t="shared" si="61"/>
        <v>3179</v>
      </c>
      <c r="AC349">
        <f t="shared" si="62"/>
        <v>488.47795441187054</v>
      </c>
      <c r="AD349">
        <f t="shared" si="60"/>
        <v>190918.60788024825</v>
      </c>
      <c r="AE349">
        <f t="shared" si="63"/>
        <v>17.364129866325442</v>
      </c>
    </row>
    <row r="350" spans="28:31" x14ac:dyDescent="0.3">
      <c r="AB350">
        <f t="shared" si="61"/>
        <v>3184</v>
      </c>
      <c r="AC350">
        <f t="shared" si="62"/>
        <v>487.50197480797715</v>
      </c>
      <c r="AD350">
        <f t="shared" si="60"/>
        <v>191406.10985505622</v>
      </c>
      <c r="AE350">
        <f t="shared" si="63"/>
        <v>17.408468381542175</v>
      </c>
    </row>
    <row r="351" spans="28:31" x14ac:dyDescent="0.3">
      <c r="AB351">
        <f t="shared" si="61"/>
        <v>3189</v>
      </c>
      <c r="AC351">
        <f t="shared" si="62"/>
        <v>486.52794521263309</v>
      </c>
      <c r="AD351">
        <f t="shared" si="60"/>
        <v>191892.63780026886</v>
      </c>
      <c r="AE351">
        <f t="shared" si="63"/>
        <v>17.452718308346416</v>
      </c>
    </row>
    <row r="352" spans="28:31" x14ac:dyDescent="0.3">
      <c r="AB352">
        <f t="shared" si="61"/>
        <v>3194</v>
      </c>
      <c r="AC352">
        <f t="shared" si="62"/>
        <v>485.55586172971857</v>
      </c>
      <c r="AD352">
        <f t="shared" si="60"/>
        <v>192378.19366199858</v>
      </c>
      <c r="AE352">
        <f t="shared" si="63"/>
        <v>17.496879823737935</v>
      </c>
    </row>
    <row r="353" spans="28:31" x14ac:dyDescent="0.3">
      <c r="AB353">
        <f t="shared" si="61"/>
        <v>3199</v>
      </c>
      <c r="AC353">
        <f t="shared" si="62"/>
        <v>484.58572047089831</v>
      </c>
      <c r="AD353">
        <f t="shared" si="60"/>
        <v>192862.77938246948</v>
      </c>
      <c r="AE353">
        <f t="shared" si="63"/>
        <v>17.540953104362842</v>
      </c>
    </row>
    <row r="354" spans="28:31" x14ac:dyDescent="0.3">
      <c r="AB354">
        <f t="shared" si="61"/>
        <v>3204</v>
      </c>
      <c r="AC354">
        <f t="shared" si="62"/>
        <v>483.61751755560613</v>
      </c>
      <c r="AD354">
        <f t="shared" si="60"/>
        <v>193346.39690002508</v>
      </c>
      <c r="AE354">
        <f t="shared" si="63"/>
        <v>17.584938326514333</v>
      </c>
    </row>
    <row r="355" spans="28:31" x14ac:dyDescent="0.3">
      <c r="AB355">
        <f t="shared" si="61"/>
        <v>3209</v>
      </c>
      <c r="AC355">
        <f t="shared" si="62"/>
        <v>482.6512491110289</v>
      </c>
      <c r="AD355">
        <f t="shared" si="60"/>
        <v>193829.0481491361</v>
      </c>
      <c r="AE355">
        <f t="shared" si="63"/>
        <v>17.628835666133341</v>
      </c>
    </row>
    <row r="356" spans="28:31" x14ac:dyDescent="0.3">
      <c r="AB356">
        <f t="shared" si="61"/>
        <v>3214</v>
      </c>
      <c r="AC356">
        <f t="shared" si="62"/>
        <v>481.68691127209178</v>
      </c>
      <c r="AD356">
        <f t="shared" si="60"/>
        <v>194310.73506040819</v>
      </c>
      <c r="AE356">
        <f t="shared" si="63"/>
        <v>17.672645298809293</v>
      </c>
    </row>
    <row r="357" spans="28:31" x14ac:dyDescent="0.3">
      <c r="AB357">
        <f t="shared" si="61"/>
        <v>3219</v>
      </c>
      <c r="AC357">
        <f t="shared" si="62"/>
        <v>480.7245001814419</v>
      </c>
      <c r="AD357">
        <f t="shared" si="60"/>
        <v>194791.45956058963</v>
      </c>
      <c r="AE357">
        <f t="shared" si="63"/>
        <v>17.716367399780776</v>
      </c>
    </row>
    <row r="358" spans="28:31" x14ac:dyDescent="0.3">
      <c r="AB358">
        <f t="shared" si="61"/>
        <v>3224</v>
      </c>
      <c r="AC358">
        <f t="shared" si="62"/>
        <v>479.7640119894337</v>
      </c>
      <c r="AD358">
        <f t="shared" si="60"/>
        <v>195271.22357257907</v>
      </c>
      <c r="AE358">
        <f t="shared" si="63"/>
        <v>17.760002143936251</v>
      </c>
    </row>
    <row r="359" spans="28:31" x14ac:dyDescent="0.3">
      <c r="AB359">
        <f t="shared" si="61"/>
        <v>3229</v>
      </c>
      <c r="AC359">
        <f t="shared" si="62"/>
        <v>478.80544285411321</v>
      </c>
      <c r="AD359">
        <f t="shared" si="60"/>
        <v>195750.02901543319</v>
      </c>
      <c r="AE359">
        <f t="shared" si="63"/>
        <v>17.803549705814753</v>
      </c>
    </row>
    <row r="360" spans="28:31" x14ac:dyDescent="0.3">
      <c r="AB360">
        <f t="shared" si="61"/>
        <v>3234</v>
      </c>
      <c r="AC360">
        <f t="shared" si="62"/>
        <v>477.84878894120249</v>
      </c>
      <c r="AD360">
        <f t="shared" si="60"/>
        <v>196227.87780437438</v>
      </c>
      <c r="AE360">
        <f t="shared" si="63"/>
        <v>17.847010259606584</v>
      </c>
    </row>
    <row r="361" spans="28:31" x14ac:dyDescent="0.3">
      <c r="AB361">
        <f t="shared" si="61"/>
        <v>3239</v>
      </c>
      <c r="AC361">
        <f t="shared" si="62"/>
        <v>476.89404642408471</v>
      </c>
      <c r="AD361">
        <f t="shared" si="60"/>
        <v>196704.77185079845</v>
      </c>
      <c r="AE361">
        <f t="shared" si="63"/>
        <v>17.89038397915402</v>
      </c>
    </row>
    <row r="362" spans="28:31" x14ac:dyDescent="0.3">
      <c r="AB362">
        <f t="shared" si="61"/>
        <v>3244</v>
      </c>
      <c r="AC362">
        <f t="shared" si="62"/>
        <v>475.94121148378844</v>
      </c>
      <c r="AD362">
        <f t="shared" si="60"/>
        <v>197180.71306228224</v>
      </c>
      <c r="AE362">
        <f t="shared" si="63"/>
        <v>17.933671037951999</v>
      </c>
    </row>
    <row r="363" spans="28:31" x14ac:dyDescent="0.3">
      <c r="AB363">
        <f t="shared" si="61"/>
        <v>3249</v>
      </c>
      <c r="AC363">
        <f t="shared" si="62"/>
        <v>474.99028030897267</v>
      </c>
      <c r="AD363">
        <f t="shared" si="60"/>
        <v>197655.70334259121</v>
      </c>
      <c r="AE363">
        <f t="shared" si="63"/>
        <v>17.976871609148812</v>
      </c>
    </row>
    <row r="364" spans="28:31" x14ac:dyDescent="0.3">
      <c r="AB364">
        <f t="shared" si="61"/>
        <v>3254</v>
      </c>
      <c r="AC364">
        <f t="shared" si="62"/>
        <v>474.04124909591155</v>
      </c>
      <c r="AD364">
        <f t="shared" si="60"/>
        <v>198129.74459168711</v>
      </c>
      <c r="AE364">
        <f t="shared" si="63"/>
        <v>18.019985865546801</v>
      </c>
    </row>
    <row r="365" spans="28:31" x14ac:dyDescent="0.3">
      <c r="AB365">
        <f t="shared" si="61"/>
        <v>3259</v>
      </c>
      <c r="AC365">
        <f t="shared" si="62"/>
        <v>473.09411404847879</v>
      </c>
      <c r="AD365">
        <f t="shared" si="60"/>
        <v>198602.83870573557</v>
      </c>
      <c r="AE365">
        <f t="shared" si="63"/>
        <v>18.063013979603053</v>
      </c>
    </row>
    <row r="366" spans="28:31" x14ac:dyDescent="0.3">
      <c r="AB366">
        <f t="shared" si="61"/>
        <v>3264</v>
      </c>
      <c r="AC366">
        <f t="shared" si="62"/>
        <v>472.14887137813304</v>
      </c>
      <c r="AD366">
        <f t="shared" si="60"/>
        <v>199074.9875771137</v>
      </c>
      <c r="AE366">
        <f t="shared" si="63"/>
        <v>18.105956123430079</v>
      </c>
    </row>
    <row r="367" spans="28:31" x14ac:dyDescent="0.3">
      <c r="AB367">
        <f t="shared" si="61"/>
        <v>3269</v>
      </c>
      <c r="AC367">
        <f t="shared" si="62"/>
        <v>471.20551730390241</v>
      </c>
      <c r="AD367">
        <f t="shared" si="60"/>
        <v>199546.1930944176</v>
      </c>
      <c r="AE367">
        <f t="shared" si="63"/>
        <v>18.148812468796507</v>
      </c>
    </row>
    <row r="368" spans="28:31" x14ac:dyDescent="0.3">
      <c r="AB368">
        <f t="shared" si="61"/>
        <v>3274</v>
      </c>
      <c r="AC368">
        <f t="shared" si="62"/>
        <v>470.26404805236916</v>
      </c>
      <c r="AD368">
        <f t="shared" si="60"/>
        <v>200016.45714246997</v>
      </c>
      <c r="AE368">
        <f t="shared" si="63"/>
        <v>18.191583187127783</v>
      </c>
    </row>
    <row r="369" spans="28:31" x14ac:dyDescent="0.3">
      <c r="AB369">
        <f t="shared" si="61"/>
        <v>3279</v>
      </c>
      <c r="AC369">
        <f t="shared" si="62"/>
        <v>469.32445985765514</v>
      </c>
      <c r="AD369">
        <f t="shared" si="60"/>
        <v>200485.78160232762</v>
      </c>
      <c r="AE369">
        <f t="shared" si="63"/>
        <v>18.234268449506832</v>
      </c>
    </row>
    <row r="370" spans="28:31" x14ac:dyDescent="0.3">
      <c r="AB370">
        <f t="shared" si="61"/>
        <v>3284</v>
      </c>
      <c r="AC370">
        <f t="shared" si="62"/>
        <v>468.3867489614064</v>
      </c>
      <c r="AD370">
        <f t="shared" si="60"/>
        <v>200954.16835128903</v>
      </c>
      <c r="AE370">
        <f t="shared" si="63"/>
        <v>18.276868426674763</v>
      </c>
    </row>
    <row r="371" spans="28:31" x14ac:dyDescent="0.3">
      <c r="AB371">
        <f t="shared" si="61"/>
        <v>3289</v>
      </c>
      <c r="AC371">
        <f t="shared" si="62"/>
        <v>467.45091161277799</v>
      </c>
      <c r="AD371">
        <f t="shared" si="60"/>
        <v>201421.6192629018</v>
      </c>
      <c r="AE371">
        <f t="shared" si="63"/>
        <v>18.319383289031542</v>
      </c>
    </row>
    <row r="372" spans="28:31" x14ac:dyDescent="0.3">
      <c r="AB372">
        <f t="shared" si="61"/>
        <v>3294</v>
      </c>
      <c r="AC372">
        <f t="shared" si="62"/>
        <v>466.51694406841926</v>
      </c>
      <c r="AD372">
        <f t="shared" si="60"/>
        <v>201888.13620697023</v>
      </c>
      <c r="AE372">
        <f t="shared" si="63"/>
        <v>18.361813206636672</v>
      </c>
    </row>
    <row r="373" spans="28:31" x14ac:dyDescent="0.3">
      <c r="AB373">
        <f t="shared" si="61"/>
        <v>3299</v>
      </c>
      <c r="AC373">
        <f t="shared" si="62"/>
        <v>465.58484259245893</v>
      </c>
      <c r="AD373">
        <f t="shared" si="60"/>
        <v>202353.72104956268</v>
      </c>
      <c r="AE373">
        <f t="shared" si="63"/>
        <v>18.404158349209887</v>
      </c>
    </row>
    <row r="374" spans="28:31" x14ac:dyDescent="0.3">
      <c r="AB374">
        <f t="shared" si="61"/>
        <v>3304</v>
      </c>
      <c r="AC374">
        <f t="shared" si="62"/>
        <v>464.65460345648961</v>
      </c>
      <c r="AD374">
        <f t="shared" si="60"/>
        <v>202818.37565301917</v>
      </c>
      <c r="AE374">
        <f t="shared" si="63"/>
        <v>18.446418886131806</v>
      </c>
    </row>
    <row r="375" spans="28:31" x14ac:dyDescent="0.3">
      <c r="AB375">
        <f t="shared" si="61"/>
        <v>3309</v>
      </c>
      <c r="AC375">
        <f t="shared" si="62"/>
        <v>463.72622293955368</v>
      </c>
      <c r="AD375">
        <f t="shared" si="60"/>
        <v>203282.10187595873</v>
      </c>
      <c r="AE375">
        <f t="shared" si="63"/>
        <v>18.488594986444635</v>
      </c>
    </row>
    <row r="376" spans="28:31" x14ac:dyDescent="0.3">
      <c r="AB376">
        <f t="shared" si="61"/>
        <v>3314</v>
      </c>
      <c r="AC376">
        <f t="shared" si="62"/>
        <v>462.79969732812782</v>
      </c>
      <c r="AD376">
        <f t="shared" si="60"/>
        <v>203744.90157328686</v>
      </c>
      <c r="AE376">
        <f t="shared" si="63"/>
        <v>18.530686818852832</v>
      </c>
    </row>
    <row r="377" spans="28:31" x14ac:dyDescent="0.3">
      <c r="AB377">
        <f t="shared" si="61"/>
        <v>3319</v>
      </c>
      <c r="AC377">
        <f t="shared" si="62"/>
        <v>461.87502291610843</v>
      </c>
      <c r="AD377">
        <f t="shared" si="60"/>
        <v>204206.77659620295</v>
      </c>
      <c r="AE377">
        <f t="shared" si="63"/>
        <v>18.572694551723782</v>
      </c>
    </row>
    <row r="378" spans="28:31" x14ac:dyDescent="0.3">
      <c r="AB378" s="88">
        <f t="shared" si="61"/>
        <v>3324</v>
      </c>
      <c r="AC378">
        <f t="shared" si="62"/>
        <v>460.95219600479646</v>
      </c>
      <c r="AD378">
        <f t="shared" si="60"/>
        <v>204667.72879220775</v>
      </c>
      <c r="AE378">
        <f t="shared" si="63"/>
        <v>18.614618353088474</v>
      </c>
    </row>
    <row r="379" spans="28:31" x14ac:dyDescent="0.3">
      <c r="AB379" s="88">
        <f t="shared" si="61"/>
        <v>3329</v>
      </c>
      <c r="AC379">
        <f t="shared" si="62"/>
        <v>460.03121290288311</v>
      </c>
      <c r="AD379">
        <f t="shared" si="60"/>
        <v>205127.76000511064</v>
      </c>
      <c r="AE379">
        <f t="shared" si="63"/>
        <v>18.656458390642172</v>
      </c>
    </row>
    <row r="380" spans="28:31" x14ac:dyDescent="0.3">
      <c r="AB380" s="88">
        <f t="shared" si="61"/>
        <v>3334</v>
      </c>
      <c r="AC380">
        <f t="shared" si="62"/>
        <v>459.11206992643474</v>
      </c>
      <c r="AD380">
        <f t="shared" si="60"/>
        <v>205586.87207503707</v>
      </c>
      <c r="AE380">
        <f t="shared" si="63"/>
        <v>18.698214831745073</v>
      </c>
    </row>
    <row r="381" spans="28:31" x14ac:dyDescent="0.3">
      <c r="AB381" s="88">
        <f t="shared" si="61"/>
        <v>3339</v>
      </c>
      <c r="AC381">
        <f t="shared" si="62"/>
        <v>458.19476339887831</v>
      </c>
      <c r="AD381">
        <f t="shared" si="60"/>
        <v>206045.06683843595</v>
      </c>
      <c r="AE381">
        <f t="shared" si="63"/>
        <v>18.739887843423006</v>
      </c>
    </row>
    <row r="382" spans="28:31" x14ac:dyDescent="0.3">
      <c r="AB382" s="88">
        <f t="shared" si="61"/>
        <v>3344</v>
      </c>
      <c r="AC382">
        <f t="shared" si="62"/>
        <v>457.27928965098636</v>
      </c>
      <c r="AD382">
        <f t="shared" ref="AD382:AD445" si="64">AD381+AC382</f>
        <v>206502.34612808694</v>
      </c>
      <c r="AE382">
        <f t="shared" si="63"/>
        <v>18.78147759236807</v>
      </c>
    </row>
    <row r="383" spans="28:31" x14ac:dyDescent="0.3">
      <c r="AB383" s="88">
        <f t="shared" ref="AB383:AB446" si="65">AB382+5</f>
        <v>3349</v>
      </c>
      <c r="AC383">
        <f t="shared" si="62"/>
        <v>456.36564502086264</v>
      </c>
      <c r="AD383">
        <f t="shared" si="64"/>
        <v>206958.71177310779</v>
      </c>
      <c r="AE383">
        <f t="shared" si="63"/>
        <v>18.822984244939317</v>
      </c>
    </row>
    <row r="384" spans="28:31" x14ac:dyDescent="0.3">
      <c r="AB384" s="88">
        <f t="shared" si="65"/>
        <v>3354</v>
      </c>
      <c r="AC384">
        <f t="shared" si="62"/>
        <v>455.45382585392753</v>
      </c>
      <c r="AD384">
        <f t="shared" si="64"/>
        <v>207414.16559896173</v>
      </c>
      <c r="AE384">
        <f t="shared" si="63"/>
        <v>18.864407967163412</v>
      </c>
    </row>
    <row r="385" spans="28:31" x14ac:dyDescent="0.3">
      <c r="AB385" s="88">
        <f t="shared" si="65"/>
        <v>3359</v>
      </c>
      <c r="AC385">
        <f t="shared" si="62"/>
        <v>454.54382850290318</v>
      </c>
      <c r="AD385">
        <f t="shared" si="64"/>
        <v>207868.70942746464</v>
      </c>
      <c r="AE385">
        <f t="shared" si="63"/>
        <v>18.905748924735303</v>
      </c>
    </row>
    <row r="386" spans="28:31" x14ac:dyDescent="0.3">
      <c r="AB386" s="88">
        <f t="shared" si="65"/>
        <v>3364</v>
      </c>
      <c r="AC386">
        <f t="shared" si="62"/>
        <v>453.63564932779877</v>
      </c>
      <c r="AD386">
        <f t="shared" si="64"/>
        <v>208322.34507679244</v>
      </c>
      <c r="AE386">
        <f t="shared" si="63"/>
        <v>18.947007283018866</v>
      </c>
    </row>
    <row r="387" spans="28:31" x14ac:dyDescent="0.3">
      <c r="AB387" s="88">
        <f t="shared" si="65"/>
        <v>3369</v>
      </c>
      <c r="AC387">
        <f t="shared" si="62"/>
        <v>452.72928469589669</v>
      </c>
      <c r="AD387">
        <f t="shared" si="64"/>
        <v>208775.07436148834</v>
      </c>
      <c r="AE387">
        <f t="shared" si="63"/>
        <v>18.988183207047598</v>
      </c>
    </row>
    <row r="388" spans="28:31" x14ac:dyDescent="0.3">
      <c r="AB388" s="88">
        <f t="shared" si="65"/>
        <v>3374</v>
      </c>
      <c r="AC388">
        <f t="shared" ref="AC388:AC451" si="66" xml:space="preserve"> 1742.18324*EXP(-0.0004*AB388)</f>
        <v>451.82473098173688</v>
      </c>
      <c r="AD388">
        <f t="shared" si="64"/>
        <v>209226.89909247006</v>
      </c>
      <c r="AE388">
        <f t="shared" si="63"/>
        <v>19.029276861525247</v>
      </c>
    </row>
    <row r="389" spans="28:31" x14ac:dyDescent="0.3">
      <c r="AB389" s="88">
        <f t="shared" si="65"/>
        <v>3379</v>
      </c>
      <c r="AC389">
        <f t="shared" si="66"/>
        <v>450.92198456710355</v>
      </c>
      <c r="AD389">
        <f t="shared" si="64"/>
        <v>209677.82107703717</v>
      </c>
      <c r="AE389">
        <f t="shared" si="63"/>
        <v>19.070288410826482</v>
      </c>
    </row>
    <row r="390" spans="28:31" x14ac:dyDescent="0.3">
      <c r="AB390" s="88">
        <f t="shared" si="65"/>
        <v>3384</v>
      </c>
      <c r="AC390">
        <f t="shared" si="66"/>
        <v>450.02104184100961</v>
      </c>
      <c r="AD390">
        <f t="shared" si="64"/>
        <v>210127.84211887818</v>
      </c>
      <c r="AE390">
        <f t="shared" si="63"/>
        <v>19.111218018997558</v>
      </c>
    </row>
    <row r="391" spans="28:31" x14ac:dyDescent="0.3">
      <c r="AB391" s="88">
        <f t="shared" si="65"/>
        <v>3389</v>
      </c>
      <c r="AC391">
        <f t="shared" si="66"/>
        <v>449.12189919968313</v>
      </c>
      <c r="AD391">
        <f t="shared" si="64"/>
        <v>210576.96401807785</v>
      </c>
      <c r="AE391">
        <f t="shared" si="63"/>
        <v>19.152065849756966</v>
      </c>
    </row>
    <row r="392" spans="28:31" x14ac:dyDescent="0.3">
      <c r="AB392" s="88">
        <f t="shared" si="65"/>
        <v>3394</v>
      </c>
      <c r="AC392">
        <f t="shared" si="66"/>
        <v>448.22455304655227</v>
      </c>
      <c r="AD392">
        <f t="shared" si="64"/>
        <v>211025.1885711244</v>
      </c>
      <c r="AE392">
        <f t="shared" si="63"/>
        <v>19.192832066496081</v>
      </c>
    </row>
    <row r="393" spans="28:31" x14ac:dyDescent="0.3">
      <c r="AB393" s="88">
        <f t="shared" si="65"/>
        <v>3399</v>
      </c>
      <c r="AC393">
        <f t="shared" si="66"/>
        <v>447.32899979223123</v>
      </c>
      <c r="AD393">
        <f t="shared" si="64"/>
        <v>211472.51757091662</v>
      </c>
      <c r="AE393">
        <f t="shared" si="63"/>
        <v>19.233516832279822</v>
      </c>
    </row>
    <row r="394" spans="28:31" x14ac:dyDescent="0.3">
      <c r="AB394" s="88">
        <f t="shared" si="65"/>
        <v>3404</v>
      </c>
      <c r="AC394">
        <f t="shared" si="66"/>
        <v>446.43523585450572</v>
      </c>
      <c r="AD394">
        <f t="shared" si="64"/>
        <v>211918.95280677112</v>
      </c>
      <c r="AE394">
        <f t="shared" si="63"/>
        <v>19.274120309847305</v>
      </c>
    </row>
    <row r="395" spans="28:31" x14ac:dyDescent="0.3">
      <c r="AB395" s="88">
        <f t="shared" si="65"/>
        <v>3409</v>
      </c>
      <c r="AC395">
        <f t="shared" si="66"/>
        <v>445.54325765831896</v>
      </c>
      <c r="AD395">
        <f t="shared" si="64"/>
        <v>212364.49606442943</v>
      </c>
      <c r="AE395">
        <f t="shared" si="63"/>
        <v>19.314642661612499</v>
      </c>
    </row>
    <row r="396" spans="28:31" x14ac:dyDescent="0.3">
      <c r="AB396" s="88">
        <f t="shared" si="65"/>
        <v>3414</v>
      </c>
      <c r="AC396">
        <f t="shared" si="66"/>
        <v>444.6530616357569</v>
      </c>
      <c r="AD396">
        <f t="shared" si="64"/>
        <v>212809.1491260652</v>
      </c>
      <c r="AE396">
        <f t="shared" si="63"/>
        <v>19.355084049664864</v>
      </c>
    </row>
    <row r="397" spans="28:31" x14ac:dyDescent="0.3">
      <c r="AB397" s="88">
        <f t="shared" si="65"/>
        <v>3419</v>
      </c>
      <c r="AC397">
        <f t="shared" si="66"/>
        <v>443.76464422603425</v>
      </c>
      <c r="AD397">
        <f t="shared" si="64"/>
        <v>213252.91377029123</v>
      </c>
      <c r="AE397">
        <f t="shared" si="63"/>
        <v>19.395444635770005</v>
      </c>
    </row>
    <row r="398" spans="28:31" x14ac:dyDescent="0.3">
      <c r="AB398" s="88">
        <f t="shared" si="65"/>
        <v>3424</v>
      </c>
      <c r="AC398">
        <f t="shared" si="66"/>
        <v>442.87800187548015</v>
      </c>
      <c r="AD398">
        <f t="shared" si="64"/>
        <v>213695.7917721667</v>
      </c>
      <c r="AE398">
        <f t="shared" si="63"/>
        <v>19.435724581370327</v>
      </c>
    </row>
    <row r="399" spans="28:31" x14ac:dyDescent="0.3">
      <c r="AB399" s="88">
        <f t="shared" si="65"/>
        <v>3429</v>
      </c>
      <c r="AC399">
        <f t="shared" si="66"/>
        <v>441.99313103752405</v>
      </c>
      <c r="AD399">
        <f t="shared" si="64"/>
        <v>214137.78490320421</v>
      </c>
      <c r="AE399">
        <f t="shared" si="63"/>
        <v>19.475924047585647</v>
      </c>
    </row>
    <row r="400" spans="28:31" x14ac:dyDescent="0.3">
      <c r="AB400" s="88">
        <f t="shared" si="65"/>
        <v>3434</v>
      </c>
      <c r="AC400">
        <f t="shared" si="66"/>
        <v>441.1100281726815</v>
      </c>
      <c r="AD400">
        <f t="shared" si="64"/>
        <v>214578.89493137688</v>
      </c>
      <c r="AE400">
        <f t="shared" ref="AE400:AE463" si="67">((AD400*100)*30)/$BV$33</f>
        <v>19.516043195213904</v>
      </c>
    </row>
    <row r="401" spans="28:31" x14ac:dyDescent="0.3">
      <c r="AB401" s="88">
        <f t="shared" si="65"/>
        <v>3439</v>
      </c>
      <c r="AC401">
        <f t="shared" si="66"/>
        <v>440.22868974853969</v>
      </c>
      <c r="AD401">
        <f t="shared" si="64"/>
        <v>215019.12362112541</v>
      </c>
      <c r="AE401">
        <f t="shared" si="67"/>
        <v>19.556082184731736</v>
      </c>
    </row>
    <row r="402" spans="28:31" x14ac:dyDescent="0.3">
      <c r="AB402" s="88">
        <f t="shared" si="65"/>
        <v>3444</v>
      </c>
      <c r="AC402">
        <f t="shared" si="66"/>
        <v>439.34911223974387</v>
      </c>
      <c r="AD402">
        <f t="shared" si="64"/>
        <v>215458.47273336517</v>
      </c>
      <c r="AE402">
        <f t="shared" si="67"/>
        <v>19.596041176295149</v>
      </c>
    </row>
    <row r="403" spans="28:31" x14ac:dyDescent="0.3">
      <c r="AB403" s="88">
        <f t="shared" si="65"/>
        <v>3449</v>
      </c>
      <c r="AC403">
        <f t="shared" si="66"/>
        <v>438.47129212798291</v>
      </c>
      <c r="AD403">
        <f t="shared" si="64"/>
        <v>215896.94402549314</v>
      </c>
      <c r="AE403">
        <f t="shared" si="67"/>
        <v>19.635920329740166</v>
      </c>
    </row>
    <row r="404" spans="28:31" x14ac:dyDescent="0.3">
      <c r="AB404" s="88">
        <f t="shared" si="65"/>
        <v>3454</v>
      </c>
      <c r="AC404">
        <f t="shared" si="66"/>
        <v>437.59522590197497</v>
      </c>
      <c r="AD404">
        <f t="shared" si="64"/>
        <v>216334.53925139512</v>
      </c>
      <c r="AE404">
        <f t="shared" si="67"/>
        <v>19.675719804583462</v>
      </c>
    </row>
    <row r="405" spans="28:31" x14ac:dyDescent="0.3">
      <c r="AB405" s="88">
        <f t="shared" si="65"/>
        <v>3459</v>
      </c>
      <c r="AC405">
        <f t="shared" si="66"/>
        <v>436.72091005745415</v>
      </c>
      <c r="AD405">
        <f t="shared" si="64"/>
        <v>216771.26016145258</v>
      </c>
      <c r="AE405">
        <f t="shared" si="67"/>
        <v>19.715439760022974</v>
      </c>
    </row>
    <row r="406" spans="28:31" x14ac:dyDescent="0.3">
      <c r="AB406" s="88">
        <f t="shared" si="65"/>
        <v>3464</v>
      </c>
      <c r="AC406">
        <f t="shared" si="66"/>
        <v>435.84834109715581</v>
      </c>
      <c r="AD406">
        <f t="shared" si="64"/>
        <v>217207.10850254973</v>
      </c>
      <c r="AE406">
        <f t="shared" si="67"/>
        <v>19.755080354938585</v>
      </c>
    </row>
    <row r="407" spans="28:31" x14ac:dyDescent="0.3">
      <c r="AB407" s="88">
        <f t="shared" si="65"/>
        <v>3469</v>
      </c>
      <c r="AC407">
        <f t="shared" si="66"/>
        <v>434.97751553080303</v>
      </c>
      <c r="AD407">
        <f t="shared" si="64"/>
        <v>217642.08601808053</v>
      </c>
      <c r="AE407">
        <f t="shared" si="67"/>
        <v>19.794641747892726</v>
      </c>
    </row>
    <row r="408" spans="28:31" x14ac:dyDescent="0.3">
      <c r="AB408" s="88">
        <f t="shared" si="65"/>
        <v>3474</v>
      </c>
      <c r="AC408">
        <f t="shared" si="66"/>
        <v>434.10842987509227</v>
      </c>
      <c r="AD408">
        <f t="shared" si="64"/>
        <v>218076.19444795561</v>
      </c>
      <c r="AE408">
        <f t="shared" si="67"/>
        <v>19.834124097131024</v>
      </c>
    </row>
    <row r="409" spans="28:31" x14ac:dyDescent="0.3">
      <c r="AB409" s="88">
        <f t="shared" si="65"/>
        <v>3479</v>
      </c>
      <c r="AC409">
        <f t="shared" si="66"/>
        <v>433.24108065367989</v>
      </c>
      <c r="AD409">
        <f t="shared" si="64"/>
        <v>218509.43552860929</v>
      </c>
      <c r="AE409">
        <f t="shared" si="67"/>
        <v>19.873527560582929</v>
      </c>
    </row>
    <row r="410" spans="28:31" x14ac:dyDescent="0.3">
      <c r="AB410" s="88">
        <f t="shared" si="65"/>
        <v>3484</v>
      </c>
      <c r="AC410">
        <f t="shared" si="66"/>
        <v>432.37546439716778</v>
      </c>
      <c r="AD410">
        <f t="shared" si="64"/>
        <v>218941.81099300645</v>
      </c>
      <c r="AE410">
        <f t="shared" si="67"/>
        <v>19.912852295862344</v>
      </c>
    </row>
    <row r="411" spans="28:31" x14ac:dyDescent="0.3">
      <c r="AB411" s="88">
        <f t="shared" si="65"/>
        <v>3489</v>
      </c>
      <c r="AC411">
        <f t="shared" si="66"/>
        <v>431.51157764308977</v>
      </c>
      <c r="AD411">
        <f t="shared" si="64"/>
        <v>219373.32257064953</v>
      </c>
      <c r="AE411">
        <f t="shared" si="67"/>
        <v>19.952098460268264</v>
      </c>
    </row>
    <row r="412" spans="28:31" x14ac:dyDescent="0.3">
      <c r="AB412" s="88">
        <f t="shared" si="65"/>
        <v>3494</v>
      </c>
      <c r="AC412">
        <f t="shared" si="66"/>
        <v>430.6494169358977</v>
      </c>
      <c r="AD412">
        <f t="shared" si="64"/>
        <v>219803.97198758542</v>
      </c>
      <c r="AE412">
        <f t="shared" si="67"/>
        <v>19.991266210785394</v>
      </c>
    </row>
    <row r="413" spans="28:31" x14ac:dyDescent="0.3">
      <c r="AB413" s="88">
        <f t="shared" si="65"/>
        <v>3499</v>
      </c>
      <c r="AC413">
        <f t="shared" si="66"/>
        <v>429.78897882694753</v>
      </c>
      <c r="AD413">
        <f t="shared" si="64"/>
        <v>220233.76096641237</v>
      </c>
      <c r="AE413">
        <f t="shared" si="67"/>
        <v>20.030355704084801</v>
      </c>
    </row>
    <row r="414" spans="28:31" x14ac:dyDescent="0.3">
      <c r="AB414" s="88">
        <f t="shared" si="65"/>
        <v>3504</v>
      </c>
      <c r="AC414">
        <f t="shared" si="66"/>
        <v>428.93025987448584</v>
      </c>
      <c r="AD414">
        <f t="shared" si="64"/>
        <v>220662.69122628687</v>
      </c>
      <c r="AE414">
        <f t="shared" si="67"/>
        <v>20.069367096524502</v>
      </c>
    </row>
    <row r="415" spans="28:31" x14ac:dyDescent="0.3">
      <c r="AB415" s="88">
        <f t="shared" si="65"/>
        <v>3509</v>
      </c>
      <c r="AC415">
        <f t="shared" si="66"/>
        <v>428.07325664363543</v>
      </c>
      <c r="AD415">
        <f t="shared" si="64"/>
        <v>221090.76448293051</v>
      </c>
      <c r="AE415">
        <f t="shared" si="67"/>
        <v>20.108300544150115</v>
      </c>
    </row>
    <row r="416" spans="28:31" x14ac:dyDescent="0.3">
      <c r="AB416" s="88">
        <f t="shared" si="65"/>
        <v>3514</v>
      </c>
      <c r="AC416">
        <f t="shared" si="66"/>
        <v>427.2179657063823</v>
      </c>
      <c r="AD416">
        <f t="shared" si="64"/>
        <v>221517.98244863687</v>
      </c>
      <c r="AE416">
        <f t="shared" si="67"/>
        <v>20.147156202695488</v>
      </c>
    </row>
    <row r="417" spans="28:31" x14ac:dyDescent="0.3">
      <c r="AB417" s="88">
        <f t="shared" si="65"/>
        <v>3519</v>
      </c>
      <c r="AC417">
        <f t="shared" si="66"/>
        <v>426.36438364156174</v>
      </c>
      <c r="AD417">
        <f t="shared" si="64"/>
        <v>221944.34683227845</v>
      </c>
      <c r="AE417">
        <f t="shared" si="67"/>
        <v>20.185934227583306</v>
      </c>
    </row>
    <row r="418" spans="28:31" x14ac:dyDescent="0.3">
      <c r="AB418" s="88">
        <f t="shared" si="65"/>
        <v>3524</v>
      </c>
      <c r="AC418">
        <f t="shared" si="66"/>
        <v>425.51250703484419</v>
      </c>
      <c r="AD418">
        <f t="shared" si="64"/>
        <v>222369.85933931329</v>
      </c>
      <c r="AE418">
        <f t="shared" si="67"/>
        <v>20.224634773925718</v>
      </c>
    </row>
    <row r="419" spans="28:31" x14ac:dyDescent="0.3">
      <c r="AB419" s="88">
        <f t="shared" si="65"/>
        <v>3529</v>
      </c>
      <c r="AC419">
        <f t="shared" si="66"/>
        <v>424.66233247872213</v>
      </c>
      <c r="AD419">
        <f t="shared" si="64"/>
        <v>222794.52167179203</v>
      </c>
      <c r="AE419">
        <f t="shared" si="67"/>
        <v>20.26325799652497</v>
      </c>
    </row>
    <row r="420" spans="28:31" x14ac:dyDescent="0.3">
      <c r="AB420" s="88">
        <f t="shared" si="65"/>
        <v>3534</v>
      </c>
      <c r="AC420">
        <f t="shared" si="66"/>
        <v>423.81385657249621</v>
      </c>
      <c r="AD420">
        <f t="shared" si="64"/>
        <v>223218.33552836452</v>
      </c>
      <c r="AE420">
        <f t="shared" si="67"/>
        <v>20.301804049873986</v>
      </c>
    </row>
    <row r="421" spans="28:31" x14ac:dyDescent="0.3">
      <c r="AB421" s="88">
        <f t="shared" si="65"/>
        <v>3539</v>
      </c>
      <c r="AC421">
        <f t="shared" si="66"/>
        <v>422.96707592226164</v>
      </c>
      <c r="AD421">
        <f t="shared" si="64"/>
        <v>223641.30260428679</v>
      </c>
      <c r="AE421">
        <f t="shared" si="67"/>
        <v>20.340273088157051</v>
      </c>
    </row>
    <row r="422" spans="28:31" x14ac:dyDescent="0.3">
      <c r="AB422" s="88">
        <f t="shared" si="65"/>
        <v>3544</v>
      </c>
      <c r="AC422">
        <f t="shared" si="66"/>
        <v>422.1219871408947</v>
      </c>
      <c r="AD422">
        <f t="shared" si="64"/>
        <v>224063.42459142767</v>
      </c>
      <c r="AE422">
        <f t="shared" si="67"/>
        <v>20.378665265250358</v>
      </c>
    </row>
    <row r="423" spans="28:31" x14ac:dyDescent="0.3">
      <c r="AB423" s="88">
        <f t="shared" si="65"/>
        <v>3549</v>
      </c>
      <c r="AC423">
        <f t="shared" si="66"/>
        <v>421.2785868480392</v>
      </c>
      <c r="AD423">
        <f t="shared" si="64"/>
        <v>224484.7031782757</v>
      </c>
      <c r="AE423">
        <f t="shared" si="67"/>
        <v>20.416980734722664</v>
      </c>
    </row>
    <row r="424" spans="28:31" x14ac:dyDescent="0.3">
      <c r="AB424" s="88">
        <f t="shared" si="65"/>
        <v>3554</v>
      </c>
      <c r="AC424">
        <f t="shared" si="66"/>
        <v>420.43687167009278</v>
      </c>
      <c r="AD424">
        <f t="shared" si="64"/>
        <v>224905.1400499458</v>
      </c>
      <c r="AE424">
        <f t="shared" si="67"/>
        <v>20.455219649835907</v>
      </c>
    </row>
    <row r="425" spans="28:31" x14ac:dyDescent="0.3">
      <c r="AB425" s="88">
        <f t="shared" si="65"/>
        <v>3559</v>
      </c>
      <c r="AC425">
        <f t="shared" si="66"/>
        <v>419.59683824019362</v>
      </c>
      <c r="AD425">
        <f t="shared" si="64"/>
        <v>225324.73688818599</v>
      </c>
      <c r="AE425">
        <f t="shared" si="67"/>
        <v>20.493382163545796</v>
      </c>
    </row>
    <row r="426" spans="28:31" x14ac:dyDescent="0.3">
      <c r="AB426" s="88">
        <f t="shared" si="65"/>
        <v>3564</v>
      </c>
      <c r="AC426">
        <f t="shared" si="66"/>
        <v>418.75848319820687</v>
      </c>
      <c r="AD426">
        <f t="shared" si="64"/>
        <v>225743.4953713842</v>
      </c>
      <c r="AE426">
        <f t="shared" si="67"/>
        <v>20.531468428502432</v>
      </c>
    </row>
    <row r="427" spans="28:31" x14ac:dyDescent="0.3">
      <c r="AB427" s="88">
        <f t="shared" si="65"/>
        <v>3569</v>
      </c>
      <c r="AC427">
        <f t="shared" si="66"/>
        <v>417.92180319071127</v>
      </c>
      <c r="AD427">
        <f t="shared" si="64"/>
        <v>226161.41717457492</v>
      </c>
      <c r="AE427">
        <f t="shared" si="67"/>
        <v>20.569478597050924</v>
      </c>
    </row>
    <row r="428" spans="28:31" x14ac:dyDescent="0.3">
      <c r="AB428" s="88">
        <f t="shared" si="65"/>
        <v>3574</v>
      </c>
      <c r="AC428">
        <f t="shared" si="66"/>
        <v>417.08679487098561</v>
      </c>
      <c r="AD428">
        <f t="shared" si="64"/>
        <v>226578.50396944591</v>
      </c>
      <c r="AE428">
        <f t="shared" si="67"/>
        <v>20.607412821232007</v>
      </c>
    </row>
    <row r="429" spans="28:31" x14ac:dyDescent="0.3">
      <c r="AB429" s="88">
        <f t="shared" si="65"/>
        <v>3579</v>
      </c>
      <c r="AC429">
        <f t="shared" si="66"/>
        <v>416.25345489899564</v>
      </c>
      <c r="AD429">
        <f t="shared" si="64"/>
        <v>226994.75742434492</v>
      </c>
      <c r="AE429">
        <f t="shared" si="67"/>
        <v>20.645271252782621</v>
      </c>
    </row>
    <row r="430" spans="28:31" x14ac:dyDescent="0.3">
      <c r="AB430" s="88">
        <f t="shared" si="65"/>
        <v>3584</v>
      </c>
      <c r="AC430">
        <f t="shared" si="66"/>
        <v>415.42177994138024</v>
      </c>
      <c r="AD430">
        <f t="shared" si="64"/>
        <v>227410.17920428631</v>
      </c>
      <c r="AE430">
        <f t="shared" si="67"/>
        <v>20.683054043136543</v>
      </c>
    </row>
    <row r="431" spans="28:31" x14ac:dyDescent="0.3">
      <c r="AB431" s="88">
        <f t="shared" si="65"/>
        <v>3589</v>
      </c>
      <c r="AC431">
        <f t="shared" si="66"/>
        <v>414.59176667143845</v>
      </c>
      <c r="AD431">
        <f t="shared" si="64"/>
        <v>227824.77097095776</v>
      </c>
      <c r="AE431">
        <f t="shared" si="67"/>
        <v>20.720761343424989</v>
      </c>
    </row>
    <row r="432" spans="28:31" x14ac:dyDescent="0.3">
      <c r="AB432" s="88">
        <f t="shared" si="65"/>
        <v>3594</v>
      </c>
      <c r="AC432">
        <f t="shared" si="66"/>
        <v>413.7634117691162</v>
      </c>
      <c r="AD432">
        <f t="shared" si="64"/>
        <v>228238.53438272688</v>
      </c>
      <c r="AE432">
        <f t="shared" si="67"/>
        <v>20.758393304477206</v>
      </c>
    </row>
    <row r="433" spans="28:31" x14ac:dyDescent="0.3">
      <c r="AB433" s="88">
        <f t="shared" si="65"/>
        <v>3599</v>
      </c>
      <c r="AC433">
        <f t="shared" si="66"/>
        <v>412.93671192099271</v>
      </c>
      <c r="AD433">
        <f t="shared" si="64"/>
        <v>228651.47109464786</v>
      </c>
      <c r="AE433">
        <f t="shared" si="67"/>
        <v>20.795950076821089</v>
      </c>
    </row>
    <row r="434" spans="28:31" x14ac:dyDescent="0.3">
      <c r="AB434" s="88">
        <f t="shared" si="65"/>
        <v>3604</v>
      </c>
      <c r="AC434">
        <f t="shared" si="66"/>
        <v>412.11166382026744</v>
      </c>
      <c r="AD434">
        <f t="shared" si="64"/>
        <v>229063.58275846814</v>
      </c>
      <c r="AE434">
        <f t="shared" si="67"/>
        <v>20.833431810683777</v>
      </c>
    </row>
    <row r="435" spans="28:31" x14ac:dyDescent="0.3">
      <c r="AB435" s="88">
        <f t="shared" si="65"/>
        <v>3609</v>
      </c>
      <c r="AC435">
        <f t="shared" si="66"/>
        <v>411.28826416674701</v>
      </c>
      <c r="AD435">
        <f t="shared" si="64"/>
        <v>229474.87102263488</v>
      </c>
      <c r="AE435">
        <f t="shared" si="67"/>
        <v>20.870838655992255</v>
      </c>
    </row>
    <row r="436" spans="28:31" x14ac:dyDescent="0.3">
      <c r="AB436" s="88">
        <f t="shared" si="65"/>
        <v>3614</v>
      </c>
      <c r="AC436">
        <f t="shared" si="66"/>
        <v>410.46650966683154</v>
      </c>
      <c r="AD436">
        <f t="shared" si="64"/>
        <v>229885.3375323017</v>
      </c>
      <c r="AE436">
        <f t="shared" si="67"/>
        <v>20.90817076237396</v>
      </c>
    </row>
    <row r="437" spans="28:31" x14ac:dyDescent="0.3">
      <c r="AB437" s="88">
        <f t="shared" si="65"/>
        <v>3619</v>
      </c>
      <c r="AC437">
        <f t="shared" si="66"/>
        <v>409.64639703350207</v>
      </c>
      <c r="AD437">
        <f t="shared" si="64"/>
        <v>230294.9839293352</v>
      </c>
      <c r="AE437">
        <f t="shared" si="67"/>
        <v>20.945428279157362</v>
      </c>
    </row>
    <row r="438" spans="28:31" x14ac:dyDescent="0.3">
      <c r="AB438" s="88">
        <f t="shared" si="65"/>
        <v>3624</v>
      </c>
      <c r="AC438">
        <f t="shared" si="66"/>
        <v>408.82792298630687</v>
      </c>
      <c r="AD438">
        <f t="shared" si="64"/>
        <v>230703.81185232149</v>
      </c>
      <c r="AE438">
        <f t="shared" si="67"/>
        <v>20.982611355372576</v>
      </c>
    </row>
    <row r="439" spans="28:31" x14ac:dyDescent="0.3">
      <c r="AB439" s="88">
        <f t="shared" si="65"/>
        <v>3629</v>
      </c>
      <c r="AC439">
        <f t="shared" si="66"/>
        <v>408.01108425134885</v>
      </c>
      <c r="AD439">
        <f t="shared" si="64"/>
        <v>231111.82293657283</v>
      </c>
      <c r="AE439">
        <f t="shared" si="67"/>
        <v>21.019720139751964</v>
      </c>
    </row>
    <row r="440" spans="28:31" x14ac:dyDescent="0.3">
      <c r="AB440" s="88">
        <f t="shared" si="65"/>
        <v>3634</v>
      </c>
      <c r="AC440">
        <f t="shared" si="66"/>
        <v>407.19587756127174</v>
      </c>
      <c r="AD440">
        <f t="shared" si="64"/>
        <v>231519.01881413409</v>
      </c>
      <c r="AE440">
        <f t="shared" si="67"/>
        <v>21.056754780730703</v>
      </c>
    </row>
    <row r="441" spans="28:31" x14ac:dyDescent="0.3">
      <c r="AB441" s="88">
        <f t="shared" si="65"/>
        <v>3639</v>
      </c>
      <c r="AC441">
        <f t="shared" si="66"/>
        <v>406.38229965524783</v>
      </c>
      <c r="AD441">
        <f t="shared" si="64"/>
        <v>231925.40111378932</v>
      </c>
      <c r="AE441">
        <f t="shared" si="67"/>
        <v>21.093715426447417</v>
      </c>
    </row>
    <row r="442" spans="28:31" x14ac:dyDescent="0.3">
      <c r="AB442" s="88">
        <f t="shared" si="65"/>
        <v>3644</v>
      </c>
      <c r="AC442">
        <f t="shared" si="66"/>
        <v>405.57034727896439</v>
      </c>
      <c r="AD442">
        <f t="shared" si="64"/>
        <v>232330.97146106829</v>
      </c>
      <c r="AE442">
        <f t="shared" si="67"/>
        <v>21.130602224744727</v>
      </c>
    </row>
    <row r="443" spans="28:31" x14ac:dyDescent="0.3">
      <c r="AB443" s="88">
        <f t="shared" si="65"/>
        <v>3649</v>
      </c>
      <c r="AC443">
        <f t="shared" si="66"/>
        <v>404.76001718461083</v>
      </c>
      <c r="AD443">
        <f t="shared" si="64"/>
        <v>232735.73147825288</v>
      </c>
      <c r="AE443">
        <f t="shared" si="67"/>
        <v>21.167415323169884</v>
      </c>
    </row>
    <row r="444" spans="28:31" x14ac:dyDescent="0.3">
      <c r="AB444" s="88">
        <f t="shared" si="65"/>
        <v>3654</v>
      </c>
      <c r="AC444">
        <f t="shared" si="66"/>
        <v>403.9513061308657</v>
      </c>
      <c r="AD444">
        <f t="shared" si="64"/>
        <v>233139.68278438374</v>
      </c>
      <c r="AE444">
        <f t="shared" si="67"/>
        <v>21.20415486897533</v>
      </c>
    </row>
    <row r="445" spans="28:31" x14ac:dyDescent="0.3">
      <c r="AB445" s="88">
        <f t="shared" si="65"/>
        <v>3659</v>
      </c>
      <c r="AC445">
        <f t="shared" si="66"/>
        <v>403.14421088288367</v>
      </c>
      <c r="AD445">
        <f t="shared" si="64"/>
        <v>233542.82699526663</v>
      </c>
      <c r="AE445">
        <f t="shared" si="67"/>
        <v>21.240821009119294</v>
      </c>
    </row>
    <row r="446" spans="28:31" x14ac:dyDescent="0.3">
      <c r="AB446" s="88">
        <f t="shared" si="65"/>
        <v>3664</v>
      </c>
      <c r="AC446">
        <f t="shared" si="66"/>
        <v>402.33872821228272</v>
      </c>
      <c r="AD446">
        <f t="shared" ref="AD446:AD509" si="68">AD445+AC446</f>
        <v>233945.16572347892</v>
      </c>
      <c r="AE446">
        <f t="shared" si="67"/>
        <v>21.277413890266384</v>
      </c>
    </row>
    <row r="447" spans="28:31" x14ac:dyDescent="0.3">
      <c r="AB447" s="88">
        <f t="shared" ref="AB447:AB510" si="69">AB446+5</f>
        <v>3669</v>
      </c>
      <c r="AC447">
        <f t="shared" si="66"/>
        <v>401.53485489713103</v>
      </c>
      <c r="AD447">
        <f t="shared" si="68"/>
        <v>234346.70057837604</v>
      </c>
      <c r="AE447">
        <f t="shared" si="67"/>
        <v>21.31393365878818</v>
      </c>
    </row>
    <row r="448" spans="28:31" x14ac:dyDescent="0.3">
      <c r="AB448" s="88">
        <f t="shared" si="69"/>
        <v>3674</v>
      </c>
      <c r="AC448">
        <f t="shared" si="66"/>
        <v>400.73258772193435</v>
      </c>
      <c r="AD448">
        <f t="shared" si="68"/>
        <v>234747.43316609797</v>
      </c>
      <c r="AE448">
        <f t="shared" si="67"/>
        <v>21.350380460763798</v>
      </c>
    </row>
    <row r="449" spans="28:31" x14ac:dyDescent="0.3">
      <c r="AB449" s="88">
        <f t="shared" si="69"/>
        <v>3679</v>
      </c>
      <c r="AC449">
        <f t="shared" si="66"/>
        <v>399.93192347762289</v>
      </c>
      <c r="AD449">
        <f t="shared" si="68"/>
        <v>235147.36508957559</v>
      </c>
      <c r="AE449">
        <f t="shared" si="67"/>
        <v>21.386754441980496</v>
      </c>
    </row>
    <row r="450" spans="28:31" x14ac:dyDescent="0.3">
      <c r="AB450" s="88">
        <f t="shared" si="69"/>
        <v>3684</v>
      </c>
      <c r="AC450">
        <f t="shared" si="66"/>
        <v>399.13285896153855</v>
      </c>
      <c r="AD450">
        <f t="shared" si="68"/>
        <v>235546.49794853712</v>
      </c>
      <c r="AE450">
        <f t="shared" si="67"/>
        <v>21.423055747934253</v>
      </c>
    </row>
    <row r="451" spans="28:31" x14ac:dyDescent="0.3">
      <c r="AB451" s="88">
        <f t="shared" si="69"/>
        <v>3689</v>
      </c>
      <c r="AC451">
        <f t="shared" si="66"/>
        <v>398.33539097742221</v>
      </c>
      <c r="AD451">
        <f t="shared" si="68"/>
        <v>235944.83333951453</v>
      </c>
      <c r="AE451">
        <f t="shared" si="67"/>
        <v>21.459284523830334</v>
      </c>
    </row>
    <row r="452" spans="28:31" x14ac:dyDescent="0.3">
      <c r="AB452" s="88">
        <f t="shared" si="69"/>
        <v>3694</v>
      </c>
      <c r="AC452">
        <f t="shared" ref="AC452:AC515" si="70" xml:space="preserve"> 1742.18324*EXP(-0.0004*AB452)</f>
        <v>397.53951633540089</v>
      </c>
      <c r="AD452">
        <f t="shared" si="68"/>
        <v>236342.37285584994</v>
      </c>
      <c r="AE452">
        <f t="shared" si="67"/>
        <v>21.495440914583895</v>
      </c>
    </row>
    <row r="453" spans="28:31" x14ac:dyDescent="0.3">
      <c r="AB453" s="88">
        <f t="shared" si="69"/>
        <v>3699</v>
      </c>
      <c r="AC453">
        <f t="shared" si="70"/>
        <v>396.74523185197506</v>
      </c>
      <c r="AD453">
        <f t="shared" si="68"/>
        <v>236739.11808770191</v>
      </c>
      <c r="AE453">
        <f t="shared" si="67"/>
        <v>21.531525064820546</v>
      </c>
    </row>
    <row r="454" spans="28:31" x14ac:dyDescent="0.3">
      <c r="AB454" s="88">
        <f t="shared" si="69"/>
        <v>3704</v>
      </c>
      <c r="AC454">
        <f t="shared" si="70"/>
        <v>395.95253435000552</v>
      </c>
      <c r="AD454">
        <f t="shared" si="68"/>
        <v>237135.07062205192</v>
      </c>
      <c r="AE454">
        <f t="shared" si="67"/>
        <v>21.567537118876935</v>
      </c>
    </row>
    <row r="455" spans="28:31" x14ac:dyDescent="0.3">
      <c r="AB455" s="88">
        <f t="shared" si="69"/>
        <v>3709</v>
      </c>
      <c r="AC455">
        <f t="shared" si="70"/>
        <v>395.16142065870133</v>
      </c>
      <c r="AD455">
        <f t="shared" si="68"/>
        <v>237530.23204271062</v>
      </c>
      <c r="AE455">
        <f t="shared" si="67"/>
        <v>21.603477220801331</v>
      </c>
    </row>
    <row r="456" spans="28:31" x14ac:dyDescent="0.3">
      <c r="AB456" s="88">
        <f t="shared" si="69"/>
        <v>3714</v>
      </c>
      <c r="AC456">
        <f t="shared" si="70"/>
        <v>394.3718876136067</v>
      </c>
      <c r="AD456">
        <f t="shared" si="68"/>
        <v>237924.60393032423</v>
      </c>
      <c r="AE456">
        <f t="shared" si="67"/>
        <v>21.639345514354183</v>
      </c>
    </row>
    <row r="457" spans="28:31" x14ac:dyDescent="0.3">
      <c r="AB457" s="88">
        <f t="shared" si="69"/>
        <v>3719</v>
      </c>
      <c r="AC457">
        <f t="shared" si="70"/>
        <v>393.58393205658837</v>
      </c>
      <c r="AD457">
        <f t="shared" si="68"/>
        <v>238318.18786238082</v>
      </c>
      <c r="AE457">
        <f t="shared" si="67"/>
        <v>21.675142143008713</v>
      </c>
    </row>
    <row r="458" spans="28:31" x14ac:dyDescent="0.3">
      <c r="AB458" s="88">
        <f t="shared" si="69"/>
        <v>3724</v>
      </c>
      <c r="AC458">
        <f t="shared" si="70"/>
        <v>392.79755083582302</v>
      </c>
      <c r="AD458">
        <f t="shared" si="68"/>
        <v>238710.98541321664</v>
      </c>
      <c r="AE458">
        <f t="shared" si="67"/>
        <v>21.710867249951495</v>
      </c>
    </row>
    <row r="459" spans="28:31" x14ac:dyDescent="0.3">
      <c r="AB459" s="88">
        <f t="shared" si="69"/>
        <v>3729</v>
      </c>
      <c r="AC459">
        <f t="shared" si="70"/>
        <v>392.01274080578474</v>
      </c>
      <c r="AD459">
        <f t="shared" si="68"/>
        <v>239102.99815402241</v>
      </c>
      <c r="AE459">
        <f t="shared" si="67"/>
        <v>21.74652097808298</v>
      </c>
    </row>
    <row r="460" spans="28:31" x14ac:dyDescent="0.3">
      <c r="AB460" s="88">
        <f t="shared" si="69"/>
        <v>3734</v>
      </c>
      <c r="AC460">
        <f t="shared" si="70"/>
        <v>391.22949882723236</v>
      </c>
      <c r="AD460">
        <f t="shared" si="68"/>
        <v>239494.22765284963</v>
      </c>
      <c r="AE460">
        <f t="shared" si="67"/>
        <v>21.782103470018157</v>
      </c>
    </row>
    <row r="461" spans="28:31" x14ac:dyDescent="0.3">
      <c r="AB461" s="88">
        <f t="shared" si="69"/>
        <v>3739</v>
      </c>
      <c r="AC461">
        <f t="shared" si="70"/>
        <v>390.4478217671969</v>
      </c>
      <c r="AD461">
        <f t="shared" si="68"/>
        <v>239884.67547461682</v>
      </c>
      <c r="AE461">
        <f t="shared" si="67"/>
        <v>21.817614868087023</v>
      </c>
    </row>
    <row r="462" spans="28:31" x14ac:dyDescent="0.3">
      <c r="AB462" s="88">
        <f t="shared" si="69"/>
        <v>3744</v>
      </c>
      <c r="AC462">
        <f t="shared" si="70"/>
        <v>389.66770649896915</v>
      </c>
      <c r="AD462">
        <f t="shared" si="68"/>
        <v>240274.34318111578</v>
      </c>
      <c r="AE462">
        <f t="shared" si="67"/>
        <v>21.853055314335219</v>
      </c>
    </row>
    <row r="463" spans="28:31" x14ac:dyDescent="0.3">
      <c r="AB463" s="88">
        <f t="shared" si="69"/>
        <v>3749</v>
      </c>
      <c r="AC463">
        <f t="shared" si="70"/>
        <v>388.88914990208696</v>
      </c>
      <c r="AD463">
        <f t="shared" si="68"/>
        <v>240663.23233101788</v>
      </c>
      <c r="AE463">
        <f t="shared" si="67"/>
        <v>21.888424950524591</v>
      </c>
    </row>
    <row r="464" spans="28:31" x14ac:dyDescent="0.3">
      <c r="AB464" s="88">
        <f t="shared" si="69"/>
        <v>3754</v>
      </c>
      <c r="AC464">
        <f t="shared" si="70"/>
        <v>388.11214886232284</v>
      </c>
      <c r="AD464">
        <f t="shared" si="68"/>
        <v>241051.34447988021</v>
      </c>
      <c r="AE464">
        <f t="shared" ref="AE464:AE527" si="71">((AD464*100)*30)/$BV$33</f>
        <v>21.923723918133717</v>
      </c>
    </row>
    <row r="465" spans="28:31" x14ac:dyDescent="0.3">
      <c r="AB465" s="88">
        <f t="shared" si="69"/>
        <v>3759</v>
      </c>
      <c r="AC465">
        <f t="shared" si="70"/>
        <v>387.3367002716717</v>
      </c>
      <c r="AD465">
        <f t="shared" si="68"/>
        <v>241438.68118015188</v>
      </c>
      <c r="AE465">
        <f t="shared" si="71"/>
        <v>21.958952358358516</v>
      </c>
    </row>
    <row r="466" spans="28:31" x14ac:dyDescent="0.3">
      <c r="AB466" s="88">
        <f t="shared" si="69"/>
        <v>3764</v>
      </c>
      <c r="AC466">
        <f t="shared" si="70"/>
        <v>386.56280102833807</v>
      </c>
      <c r="AD466">
        <f t="shared" si="68"/>
        <v>241825.24398118022</v>
      </c>
      <c r="AE466">
        <f t="shared" si="71"/>
        <v>21.9941104121128</v>
      </c>
    </row>
    <row r="467" spans="28:31" x14ac:dyDescent="0.3">
      <c r="AB467" s="88">
        <f t="shared" si="69"/>
        <v>3769</v>
      </c>
      <c r="AC467">
        <f t="shared" si="70"/>
        <v>385.79044803672406</v>
      </c>
      <c r="AD467">
        <f t="shared" si="68"/>
        <v>242211.03442921693</v>
      </c>
      <c r="AE467">
        <f t="shared" si="71"/>
        <v>22.029198220028825</v>
      </c>
    </row>
    <row r="468" spans="28:31" x14ac:dyDescent="0.3">
      <c r="AB468" s="88">
        <f t="shared" si="69"/>
        <v>3774</v>
      </c>
      <c r="AC468">
        <f t="shared" si="70"/>
        <v>385.01963820741651</v>
      </c>
      <c r="AD468">
        <f t="shared" si="68"/>
        <v>242596.05406742435</v>
      </c>
      <c r="AE468">
        <f t="shared" si="71"/>
        <v>22.064215922457876</v>
      </c>
    </row>
    <row r="469" spans="28:31" x14ac:dyDescent="0.3">
      <c r="AB469" s="88">
        <f t="shared" si="69"/>
        <v>3779</v>
      </c>
      <c r="AC469">
        <f t="shared" si="70"/>
        <v>384.25036845717511</v>
      </c>
      <c r="AD469">
        <f t="shared" si="68"/>
        <v>242980.30443588152</v>
      </c>
      <c r="AE469">
        <f t="shared" si="71"/>
        <v>22.099163659470808</v>
      </c>
    </row>
    <row r="470" spans="28:31" x14ac:dyDescent="0.3">
      <c r="AB470" s="88">
        <f t="shared" si="69"/>
        <v>3784</v>
      </c>
      <c r="AC470">
        <f t="shared" si="70"/>
        <v>383.48263570891987</v>
      </c>
      <c r="AD470">
        <f t="shared" si="68"/>
        <v>243363.78707159046</v>
      </c>
      <c r="AE470">
        <f t="shared" si="71"/>
        <v>22.134041570858614</v>
      </c>
    </row>
    <row r="471" spans="28:31" x14ac:dyDescent="0.3">
      <c r="AB471" s="88">
        <f t="shared" si="69"/>
        <v>3789</v>
      </c>
      <c r="AC471">
        <f t="shared" si="70"/>
        <v>382.71643689171884</v>
      </c>
      <c r="AD471">
        <f t="shared" si="68"/>
        <v>243746.50350848219</v>
      </c>
      <c r="AE471">
        <f t="shared" si="71"/>
        <v>22.168849796132989</v>
      </c>
    </row>
    <row r="472" spans="28:31" x14ac:dyDescent="0.3">
      <c r="AB472" s="88">
        <f t="shared" si="69"/>
        <v>3794</v>
      </c>
      <c r="AC472">
        <f t="shared" si="70"/>
        <v>381.95176894077565</v>
      </c>
      <c r="AD472">
        <f t="shared" si="68"/>
        <v>244128.45527742297</v>
      </c>
      <c r="AE472">
        <f t="shared" si="71"/>
        <v>22.203588474526875</v>
      </c>
    </row>
    <row r="473" spans="28:31" x14ac:dyDescent="0.3">
      <c r="AB473" s="88">
        <f t="shared" si="69"/>
        <v>3799</v>
      </c>
      <c r="AC473">
        <f t="shared" si="70"/>
        <v>381.18862879741749</v>
      </c>
      <c r="AD473">
        <f t="shared" si="68"/>
        <v>244509.64390622039</v>
      </c>
      <c r="AE473">
        <f t="shared" si="71"/>
        <v>22.238257744995035</v>
      </c>
    </row>
    <row r="474" spans="28:31" x14ac:dyDescent="0.3">
      <c r="AB474" s="88">
        <f t="shared" si="69"/>
        <v>3804</v>
      </c>
      <c r="AC474">
        <f t="shared" si="70"/>
        <v>380.4270134090828</v>
      </c>
      <c r="AD474">
        <f t="shared" si="68"/>
        <v>244890.07091962948</v>
      </c>
      <c r="AE474">
        <f t="shared" si="71"/>
        <v>22.272857746214598</v>
      </c>
    </row>
    <row r="475" spans="28:31" x14ac:dyDescent="0.3">
      <c r="AB475" s="88">
        <f t="shared" si="69"/>
        <v>3809</v>
      </c>
      <c r="AC475">
        <f t="shared" si="70"/>
        <v>379.66691972930892</v>
      </c>
      <c r="AD475">
        <f t="shared" si="68"/>
        <v>245269.7378393588</v>
      </c>
      <c r="AE475">
        <f t="shared" si="71"/>
        <v>22.307388616585609</v>
      </c>
    </row>
    <row r="476" spans="28:31" x14ac:dyDescent="0.3">
      <c r="AB476" s="88">
        <f t="shared" si="69"/>
        <v>3814</v>
      </c>
      <c r="AC476">
        <f t="shared" si="70"/>
        <v>378.90834471772024</v>
      </c>
      <c r="AD476">
        <f t="shared" si="68"/>
        <v>245648.64618407653</v>
      </c>
      <c r="AE476">
        <f t="shared" si="71"/>
        <v>22.341850494231608</v>
      </c>
    </row>
    <row r="477" spans="28:31" x14ac:dyDescent="0.3">
      <c r="AB477" s="88">
        <f t="shared" si="69"/>
        <v>3819</v>
      </c>
      <c r="AC477">
        <f t="shared" si="70"/>
        <v>378.15128534001559</v>
      </c>
      <c r="AD477">
        <f t="shared" si="68"/>
        <v>246026.79746941655</v>
      </c>
      <c r="AE477">
        <f t="shared" si="71"/>
        <v>22.376243517000141</v>
      </c>
    </row>
    <row r="478" spans="28:31" x14ac:dyDescent="0.3">
      <c r="AB478" s="88">
        <f t="shared" si="69"/>
        <v>3824</v>
      </c>
      <c r="AC478">
        <f t="shared" si="70"/>
        <v>377.39573856795653</v>
      </c>
      <c r="AD478">
        <f t="shared" si="68"/>
        <v>246404.1932079845</v>
      </c>
      <c r="AE478">
        <f t="shared" si="71"/>
        <v>22.410567822463346</v>
      </c>
    </row>
    <row r="479" spans="28:31" x14ac:dyDescent="0.3">
      <c r="AB479" s="88">
        <f t="shared" si="69"/>
        <v>3829</v>
      </c>
      <c r="AC479">
        <f t="shared" si="70"/>
        <v>376.64170137935491</v>
      </c>
      <c r="AD479">
        <f t="shared" si="68"/>
        <v>246780.83490936385</v>
      </c>
      <c r="AE479">
        <f t="shared" si="71"/>
        <v>22.444823547918492</v>
      </c>
    </row>
    <row r="480" spans="28:31" x14ac:dyDescent="0.3">
      <c r="AB480" s="88">
        <f t="shared" si="69"/>
        <v>3834</v>
      </c>
      <c r="AC480">
        <f t="shared" si="70"/>
        <v>375.88917075806103</v>
      </c>
      <c r="AD480">
        <f t="shared" si="68"/>
        <v>247156.7240801219</v>
      </c>
      <c r="AE480">
        <f t="shared" si="71"/>
        <v>22.479010830388528</v>
      </c>
    </row>
    <row r="481" spans="28:31" x14ac:dyDescent="0.3">
      <c r="AB481" s="88">
        <f t="shared" si="69"/>
        <v>3839</v>
      </c>
      <c r="AC481">
        <f t="shared" si="70"/>
        <v>375.13814369395135</v>
      </c>
      <c r="AD481">
        <f t="shared" si="68"/>
        <v>247531.86222381584</v>
      </c>
      <c r="AE481">
        <f t="shared" si="71"/>
        <v>22.513129806622633</v>
      </c>
    </row>
    <row r="482" spans="28:31" x14ac:dyDescent="0.3">
      <c r="AB482" s="88">
        <f t="shared" si="69"/>
        <v>3844</v>
      </c>
      <c r="AC482">
        <f t="shared" si="70"/>
        <v>374.38861718291668</v>
      </c>
      <c r="AD482">
        <f t="shared" si="68"/>
        <v>247906.25084099875</v>
      </c>
      <c r="AE482">
        <f t="shared" si="71"/>
        <v>22.547180613096746</v>
      </c>
    </row>
    <row r="483" spans="28:31" x14ac:dyDescent="0.3">
      <c r="AB483" s="88">
        <f t="shared" si="69"/>
        <v>3849</v>
      </c>
      <c r="AC483">
        <f t="shared" si="70"/>
        <v>373.64058822684984</v>
      </c>
      <c r="AD483">
        <f t="shared" si="68"/>
        <v>248279.89142922559</v>
      </c>
      <c r="AE483">
        <f t="shared" si="71"/>
        <v>22.581163386014147</v>
      </c>
    </row>
    <row r="484" spans="28:31" x14ac:dyDescent="0.3">
      <c r="AB484" s="88">
        <f t="shared" si="69"/>
        <v>3854</v>
      </c>
      <c r="AC484">
        <f t="shared" si="70"/>
        <v>372.89405383363413</v>
      </c>
      <c r="AD484">
        <f t="shared" si="68"/>
        <v>248652.78548305924</v>
      </c>
      <c r="AE484">
        <f t="shared" si="71"/>
        <v>22.615078261305978</v>
      </c>
    </row>
    <row r="485" spans="28:31" x14ac:dyDescent="0.3">
      <c r="AB485" s="88">
        <f t="shared" si="69"/>
        <v>3859</v>
      </c>
      <c r="AC485">
        <f t="shared" si="70"/>
        <v>372.14901101713093</v>
      </c>
      <c r="AD485">
        <f t="shared" si="68"/>
        <v>249024.93449407638</v>
      </c>
      <c r="AE485">
        <f t="shared" si="71"/>
        <v>22.648925374631776</v>
      </c>
    </row>
    <row r="486" spans="28:31" x14ac:dyDescent="0.3">
      <c r="AB486" s="88">
        <f t="shared" si="69"/>
        <v>3864</v>
      </c>
      <c r="AC486">
        <f t="shared" si="70"/>
        <v>371.40545679716803</v>
      </c>
      <c r="AD486">
        <f t="shared" si="68"/>
        <v>249396.33995087355</v>
      </c>
      <c r="AE486">
        <f t="shared" si="71"/>
        <v>22.682704861380039</v>
      </c>
    </row>
    <row r="487" spans="28:31" x14ac:dyDescent="0.3">
      <c r="AB487" s="88">
        <f t="shared" si="69"/>
        <v>3869</v>
      </c>
      <c r="AC487">
        <f t="shared" si="70"/>
        <v>370.66338819952756</v>
      </c>
      <c r="AD487">
        <f t="shared" si="68"/>
        <v>249767.00333907307</v>
      </c>
      <c r="AE487">
        <f t="shared" si="71"/>
        <v>22.716416856668765</v>
      </c>
    </row>
    <row r="488" spans="28:31" x14ac:dyDescent="0.3">
      <c r="AB488" s="88">
        <f t="shared" si="69"/>
        <v>3874</v>
      </c>
      <c r="AC488">
        <f t="shared" si="70"/>
        <v>369.92280225593407</v>
      </c>
      <c r="AD488">
        <f t="shared" si="68"/>
        <v>250136.92614132899</v>
      </c>
      <c r="AE488">
        <f t="shared" si="71"/>
        <v>22.750061495345978</v>
      </c>
    </row>
    <row r="489" spans="28:31" x14ac:dyDescent="0.3">
      <c r="AB489" s="88">
        <f t="shared" si="69"/>
        <v>3879</v>
      </c>
      <c r="AC489">
        <f t="shared" si="70"/>
        <v>369.18369600404282</v>
      </c>
      <c r="AD489">
        <f t="shared" si="68"/>
        <v>250506.10983733303</v>
      </c>
      <c r="AE489">
        <f t="shared" si="71"/>
        <v>22.783638911990273</v>
      </c>
    </row>
    <row r="490" spans="28:31" x14ac:dyDescent="0.3">
      <c r="AB490" s="88">
        <f t="shared" si="69"/>
        <v>3884</v>
      </c>
      <c r="AC490">
        <f t="shared" si="70"/>
        <v>368.44606648742786</v>
      </c>
      <c r="AD490">
        <f t="shared" si="68"/>
        <v>250874.55590382047</v>
      </c>
      <c r="AE490">
        <f t="shared" si="71"/>
        <v>22.817149240911366</v>
      </c>
    </row>
    <row r="491" spans="28:31" x14ac:dyDescent="0.3">
      <c r="AB491" s="88">
        <f t="shared" si="69"/>
        <v>3889</v>
      </c>
      <c r="AC491">
        <f t="shared" si="70"/>
        <v>367.70991075557004</v>
      </c>
      <c r="AD491">
        <f t="shared" si="68"/>
        <v>251242.26581457604</v>
      </c>
      <c r="AE491">
        <f t="shared" si="71"/>
        <v>22.850592616150617</v>
      </c>
    </row>
    <row r="492" spans="28:31" x14ac:dyDescent="0.3">
      <c r="AB492" s="88">
        <f t="shared" si="69"/>
        <v>3894</v>
      </c>
      <c r="AC492">
        <f t="shared" si="70"/>
        <v>366.97522586384559</v>
      </c>
      <c r="AD492">
        <f t="shared" si="68"/>
        <v>251609.24104043987</v>
      </c>
      <c r="AE492">
        <f t="shared" si="71"/>
        <v>22.883969171481571</v>
      </c>
    </row>
    <row r="493" spans="28:31" x14ac:dyDescent="0.3">
      <c r="AB493" s="88">
        <f t="shared" si="69"/>
        <v>3899</v>
      </c>
      <c r="AC493">
        <f t="shared" si="70"/>
        <v>366.24200887351384</v>
      </c>
      <c r="AD493">
        <f t="shared" si="68"/>
        <v>251975.48304931339</v>
      </c>
      <c r="AE493">
        <f t="shared" si="71"/>
        <v>22.917279040410495</v>
      </c>
    </row>
    <row r="494" spans="28:31" x14ac:dyDescent="0.3">
      <c r="AB494" s="88">
        <f t="shared" si="69"/>
        <v>3904</v>
      </c>
      <c r="AC494">
        <f t="shared" si="70"/>
        <v>365.51025685170595</v>
      </c>
      <c r="AD494">
        <f t="shared" si="68"/>
        <v>252340.9933061651</v>
      </c>
      <c r="AE494">
        <f t="shared" si="71"/>
        <v>22.950522356176908</v>
      </c>
    </row>
    <row r="495" spans="28:31" x14ac:dyDescent="0.3">
      <c r="AB495" s="88">
        <f t="shared" si="69"/>
        <v>3909</v>
      </c>
      <c r="AC495">
        <f t="shared" si="70"/>
        <v>364.7799668714128</v>
      </c>
      <c r="AD495">
        <f t="shared" si="68"/>
        <v>252705.7732730365</v>
      </c>
      <c r="AE495">
        <f t="shared" si="71"/>
        <v>22.983699251754114</v>
      </c>
    </row>
    <row r="496" spans="28:31" x14ac:dyDescent="0.3">
      <c r="AB496" s="88">
        <f t="shared" si="69"/>
        <v>3914</v>
      </c>
      <c r="AC496">
        <f t="shared" si="70"/>
        <v>364.05113601147355</v>
      </c>
      <c r="AD496">
        <f t="shared" si="68"/>
        <v>253069.82440904796</v>
      </c>
      <c r="AE496">
        <f t="shared" si="71"/>
        <v>23.016809859849747</v>
      </c>
    </row>
    <row r="497" spans="28:31" x14ac:dyDescent="0.3">
      <c r="AB497" s="88">
        <f t="shared" si="69"/>
        <v>3919</v>
      </c>
      <c r="AC497">
        <f t="shared" si="70"/>
        <v>363.32376135656369</v>
      </c>
      <c r="AD497">
        <f t="shared" si="68"/>
        <v>253433.14817040451</v>
      </c>
      <c r="AE497">
        <f t="shared" si="71"/>
        <v>23.049854312906277</v>
      </c>
    </row>
    <row r="498" spans="28:31" x14ac:dyDescent="0.3">
      <c r="AB498" s="88">
        <f t="shared" si="69"/>
        <v>3924</v>
      </c>
      <c r="AC498">
        <f t="shared" si="70"/>
        <v>362.59783999718371</v>
      </c>
      <c r="AD498">
        <f t="shared" si="68"/>
        <v>253795.74601040169</v>
      </c>
      <c r="AE498">
        <f t="shared" si="71"/>
        <v>23.082832743101562</v>
      </c>
    </row>
    <row r="499" spans="28:31" x14ac:dyDescent="0.3">
      <c r="AB499" s="88">
        <f t="shared" si="69"/>
        <v>3929</v>
      </c>
      <c r="AC499">
        <f t="shared" si="70"/>
        <v>361.87336902964722</v>
      </c>
      <c r="AD499">
        <f t="shared" si="68"/>
        <v>254157.61937943133</v>
      </c>
      <c r="AE499">
        <f t="shared" si="71"/>
        <v>23.115745282349369</v>
      </c>
    </row>
    <row r="500" spans="28:31" x14ac:dyDescent="0.3">
      <c r="AB500" s="88">
        <f t="shared" si="69"/>
        <v>3934</v>
      </c>
      <c r="AC500">
        <f t="shared" si="70"/>
        <v>361.15034555606934</v>
      </c>
      <c r="AD500">
        <f t="shared" si="68"/>
        <v>254518.76972498739</v>
      </c>
      <c r="AE500">
        <f t="shared" si="71"/>
        <v>23.148592062299898</v>
      </c>
    </row>
    <row r="501" spans="28:31" x14ac:dyDescent="0.3">
      <c r="AB501" s="88">
        <f t="shared" si="69"/>
        <v>3939</v>
      </c>
      <c r="AC501">
        <f t="shared" si="70"/>
        <v>360.42876668435514</v>
      </c>
      <c r="AD501">
        <f t="shared" si="68"/>
        <v>254879.19849167173</v>
      </c>
      <c r="AE501">
        <f t="shared" si="71"/>
        <v>23.181373214340312</v>
      </c>
    </row>
    <row r="502" spans="28:31" x14ac:dyDescent="0.3">
      <c r="AB502" s="88">
        <f t="shared" si="69"/>
        <v>3944</v>
      </c>
      <c r="AC502">
        <f t="shared" si="70"/>
        <v>359.70862952818828</v>
      </c>
      <c r="AD502">
        <f t="shared" si="68"/>
        <v>255238.90712119991</v>
      </c>
      <c r="AE502">
        <f t="shared" si="71"/>
        <v>23.214088869595265</v>
      </c>
    </row>
    <row r="503" spans="28:31" x14ac:dyDescent="0.3">
      <c r="AB503" s="88">
        <f t="shared" si="69"/>
        <v>3949</v>
      </c>
      <c r="AC503">
        <f t="shared" si="70"/>
        <v>358.9899312070192</v>
      </c>
      <c r="AD503">
        <f t="shared" si="68"/>
        <v>255597.89705240692</v>
      </c>
      <c r="AE503">
        <f t="shared" si="71"/>
        <v>23.246739158927415</v>
      </c>
    </row>
    <row r="504" spans="28:31" x14ac:dyDescent="0.3">
      <c r="AB504" s="88">
        <f t="shared" si="69"/>
        <v>3954</v>
      </c>
      <c r="AC504">
        <f t="shared" si="70"/>
        <v>358.27266884605353</v>
      </c>
      <c r="AD504">
        <f t="shared" si="68"/>
        <v>255956.16972125298</v>
      </c>
      <c r="AE504">
        <f t="shared" si="71"/>
        <v>23.279324212937972</v>
      </c>
    </row>
    <row r="505" spans="28:31" x14ac:dyDescent="0.3">
      <c r="AB505" s="88">
        <f t="shared" si="69"/>
        <v>3959</v>
      </c>
      <c r="AC505">
        <f t="shared" si="70"/>
        <v>357.55683957624098</v>
      </c>
      <c r="AD505">
        <f t="shared" si="68"/>
        <v>256313.72656082924</v>
      </c>
      <c r="AE505">
        <f t="shared" si="71"/>
        <v>23.311844161967191</v>
      </c>
    </row>
    <row r="506" spans="28:31" x14ac:dyDescent="0.3">
      <c r="AB506" s="88">
        <f t="shared" si="69"/>
        <v>3964</v>
      </c>
      <c r="AC506">
        <f t="shared" si="70"/>
        <v>356.84244053426352</v>
      </c>
      <c r="AD506">
        <f t="shared" si="68"/>
        <v>256670.5690013635</v>
      </c>
      <c r="AE506">
        <f t="shared" si="71"/>
        <v>23.344299136094907</v>
      </c>
    </row>
    <row r="507" spans="28:31" x14ac:dyDescent="0.3">
      <c r="AB507" s="88">
        <f t="shared" si="69"/>
        <v>3969</v>
      </c>
      <c r="AC507">
        <f t="shared" si="70"/>
        <v>356.12946886252388</v>
      </c>
      <c r="AD507">
        <f t="shared" si="68"/>
        <v>257026.69847022602</v>
      </c>
      <c r="AE507">
        <f t="shared" si="71"/>
        <v>23.376689265141064</v>
      </c>
    </row>
    <row r="508" spans="28:31" x14ac:dyDescent="0.3">
      <c r="AB508" s="88">
        <f t="shared" si="69"/>
        <v>3974</v>
      </c>
      <c r="AC508">
        <f t="shared" si="70"/>
        <v>355.41792170913459</v>
      </c>
      <c r="AD508">
        <f t="shared" si="68"/>
        <v>257382.11639193515</v>
      </c>
      <c r="AE508">
        <f t="shared" si="71"/>
        <v>23.409014678666225</v>
      </c>
    </row>
    <row r="509" spans="28:31" x14ac:dyDescent="0.3">
      <c r="AB509" s="88">
        <f t="shared" si="69"/>
        <v>3979</v>
      </c>
      <c r="AC509">
        <f t="shared" si="70"/>
        <v>354.70779622790604</v>
      </c>
      <c r="AD509">
        <f t="shared" si="68"/>
        <v>257736.82418816307</v>
      </c>
      <c r="AE509">
        <f t="shared" si="71"/>
        <v>23.441275505972083</v>
      </c>
    </row>
    <row r="510" spans="28:31" x14ac:dyDescent="0.3">
      <c r="AB510" s="88">
        <f t="shared" si="69"/>
        <v>3984</v>
      </c>
      <c r="AC510">
        <f t="shared" si="70"/>
        <v>353.99908957833537</v>
      </c>
      <c r="AD510">
        <f t="shared" ref="AD510:AD573" si="72">AD509+AC510</f>
        <v>258090.82327774141</v>
      </c>
      <c r="AE510">
        <f t="shared" si="71"/>
        <v>23.473471876101993</v>
      </c>
    </row>
    <row r="511" spans="28:31" x14ac:dyDescent="0.3">
      <c r="AB511" s="88">
        <f t="shared" ref="AB511:AB574" si="73">AB510+5</f>
        <v>3989</v>
      </c>
      <c r="AC511">
        <f t="shared" si="70"/>
        <v>353.29179892559495</v>
      </c>
      <c r="AD511">
        <f t="shared" si="72"/>
        <v>258444.11507666702</v>
      </c>
      <c r="AE511">
        <f t="shared" si="71"/>
        <v>23.505603917841476</v>
      </c>
    </row>
    <row r="512" spans="28:31" x14ac:dyDescent="0.3">
      <c r="AB512" s="88">
        <f t="shared" si="73"/>
        <v>3994</v>
      </c>
      <c r="AC512">
        <f t="shared" si="70"/>
        <v>352.5859214405213</v>
      </c>
      <c r="AD512">
        <f t="shared" si="72"/>
        <v>258796.70099810755</v>
      </c>
      <c r="AE512">
        <f t="shared" si="71"/>
        <v>23.537671759718741</v>
      </c>
    </row>
    <row r="513" spans="28:31" x14ac:dyDescent="0.3">
      <c r="AB513" s="88">
        <f t="shared" si="73"/>
        <v>3999</v>
      </c>
      <c r="AC513">
        <f t="shared" si="70"/>
        <v>351.88145429960355</v>
      </c>
      <c r="AD513">
        <f t="shared" si="72"/>
        <v>259148.58245240716</v>
      </c>
      <c r="AE513">
        <f t="shared" si="71"/>
        <v>23.569675530005203</v>
      </c>
    </row>
    <row r="514" spans="28:31" x14ac:dyDescent="0.3">
      <c r="AB514" s="88">
        <f t="shared" si="73"/>
        <v>4004</v>
      </c>
      <c r="AC514">
        <f t="shared" si="70"/>
        <v>351.1783946849722</v>
      </c>
      <c r="AD514">
        <f t="shared" si="72"/>
        <v>259499.76084709214</v>
      </c>
      <c r="AE514">
        <f t="shared" si="71"/>
        <v>23.601615356715971</v>
      </c>
    </row>
    <row r="515" spans="28:31" x14ac:dyDescent="0.3">
      <c r="AB515" s="88">
        <f t="shared" si="73"/>
        <v>4009</v>
      </c>
      <c r="AC515">
        <f t="shared" si="70"/>
        <v>350.47673978438775</v>
      </c>
      <c r="AD515">
        <f t="shared" si="72"/>
        <v>259850.23758687652</v>
      </c>
      <c r="AE515">
        <f t="shared" si="71"/>
        <v>23.633491367610414</v>
      </c>
    </row>
    <row r="516" spans="28:31" x14ac:dyDescent="0.3">
      <c r="AB516" s="88">
        <f t="shared" si="73"/>
        <v>4014</v>
      </c>
      <c r="AC516">
        <f t="shared" ref="AC516:AC579" si="74" xml:space="preserve"> 1742.18324*EXP(-0.0004*AB516)</f>
        <v>349.77648679122979</v>
      </c>
      <c r="AD516">
        <f t="shared" si="72"/>
        <v>260200.01407366776</v>
      </c>
      <c r="AE516">
        <f t="shared" si="71"/>
        <v>23.665303690192612</v>
      </c>
    </row>
    <row r="517" spans="28:31" x14ac:dyDescent="0.3">
      <c r="AB517" s="88">
        <f t="shared" si="73"/>
        <v>4019</v>
      </c>
      <c r="AC517">
        <f t="shared" si="74"/>
        <v>349.07763290448537</v>
      </c>
      <c r="AD517">
        <f t="shared" si="72"/>
        <v>260549.09170657225</v>
      </c>
      <c r="AE517">
        <f t="shared" si="71"/>
        <v>23.697052451711894</v>
      </c>
    </row>
    <row r="518" spans="28:31" x14ac:dyDescent="0.3">
      <c r="AB518" s="88">
        <f t="shared" si="73"/>
        <v>4024</v>
      </c>
      <c r="AC518">
        <f t="shared" si="74"/>
        <v>348.38017532873801</v>
      </c>
      <c r="AD518">
        <f t="shared" si="72"/>
        <v>260897.47188190097</v>
      </c>
      <c r="AE518">
        <f t="shared" si="71"/>
        <v>23.728737779163346</v>
      </c>
    </row>
    <row r="519" spans="28:31" x14ac:dyDescent="0.3">
      <c r="AB519" s="88">
        <f t="shared" si="73"/>
        <v>4029</v>
      </c>
      <c r="AC519">
        <f t="shared" si="74"/>
        <v>347.68411127415641</v>
      </c>
      <c r="AD519">
        <f t="shared" si="72"/>
        <v>261245.15599317514</v>
      </c>
      <c r="AE519">
        <f t="shared" si="71"/>
        <v>23.760359799288327</v>
      </c>
    </row>
    <row r="520" spans="28:31" x14ac:dyDescent="0.3">
      <c r="AB520" s="88">
        <f t="shared" si="73"/>
        <v>4034</v>
      </c>
      <c r="AC520">
        <f t="shared" si="74"/>
        <v>346.98943795648353</v>
      </c>
      <c r="AD520">
        <f t="shared" si="72"/>
        <v>261592.14543113162</v>
      </c>
      <c r="AE520">
        <f t="shared" si="71"/>
        <v>23.791918638574952</v>
      </c>
    </row>
    <row r="521" spans="28:31" x14ac:dyDescent="0.3">
      <c r="AB521" s="88">
        <f t="shared" si="73"/>
        <v>4039</v>
      </c>
      <c r="AC521">
        <f t="shared" si="74"/>
        <v>346.29615259702513</v>
      </c>
      <c r="AD521">
        <f t="shared" si="72"/>
        <v>261938.44158372865</v>
      </c>
      <c r="AE521">
        <f t="shared" si="71"/>
        <v>23.82341442325863</v>
      </c>
    </row>
    <row r="522" spans="28:31" x14ac:dyDescent="0.3">
      <c r="AB522" s="88">
        <f t="shared" si="73"/>
        <v>4044</v>
      </c>
      <c r="AC522">
        <f t="shared" si="74"/>
        <v>345.60425242263881</v>
      </c>
      <c r="AD522">
        <f t="shared" si="72"/>
        <v>262284.04583615129</v>
      </c>
      <c r="AE522">
        <f t="shared" si="71"/>
        <v>23.854847279322534</v>
      </c>
    </row>
    <row r="523" spans="28:31" x14ac:dyDescent="0.3">
      <c r="AB523" s="88">
        <f t="shared" si="73"/>
        <v>4049</v>
      </c>
      <c r="AC523">
        <f t="shared" si="74"/>
        <v>344.91373466572304</v>
      </c>
      <c r="AD523">
        <f t="shared" si="72"/>
        <v>262628.95957081701</v>
      </c>
      <c r="AE523">
        <f t="shared" si="71"/>
        <v>23.886217332498138</v>
      </c>
    </row>
    <row r="524" spans="28:31" x14ac:dyDescent="0.3">
      <c r="AB524" s="88">
        <f t="shared" si="73"/>
        <v>4054</v>
      </c>
      <c r="AC524">
        <f t="shared" si="74"/>
        <v>344.2245965642058</v>
      </c>
      <c r="AD524">
        <f t="shared" si="72"/>
        <v>262973.1841673812</v>
      </c>
      <c r="AE524">
        <f t="shared" si="71"/>
        <v>23.917524708265685</v>
      </c>
    </row>
    <row r="525" spans="28:31" x14ac:dyDescent="0.3">
      <c r="AB525" s="88">
        <f t="shared" si="73"/>
        <v>4059</v>
      </c>
      <c r="AC525">
        <f t="shared" si="74"/>
        <v>343.53683536153375</v>
      </c>
      <c r="AD525">
        <f t="shared" si="72"/>
        <v>263316.72100274271</v>
      </c>
      <c r="AE525">
        <f t="shared" si="71"/>
        <v>23.948769531854726</v>
      </c>
    </row>
    <row r="526" spans="28:31" x14ac:dyDescent="0.3">
      <c r="AB526" s="88">
        <f t="shared" si="73"/>
        <v>4064</v>
      </c>
      <c r="AC526">
        <f t="shared" si="74"/>
        <v>342.85044830666124</v>
      </c>
      <c r="AD526">
        <f t="shared" si="72"/>
        <v>263659.57145104936</v>
      </c>
      <c r="AE526">
        <f t="shared" si="71"/>
        <v>23.979951928244599</v>
      </c>
    </row>
    <row r="527" spans="28:31" x14ac:dyDescent="0.3">
      <c r="AB527" s="88">
        <f t="shared" si="73"/>
        <v>4069</v>
      </c>
      <c r="AC527">
        <f t="shared" si="74"/>
        <v>342.16543265403908</v>
      </c>
      <c r="AD527">
        <f t="shared" si="72"/>
        <v>264001.73688370339</v>
      </c>
      <c r="AE527">
        <f t="shared" si="71"/>
        <v>24.011072022164928</v>
      </c>
    </row>
    <row r="528" spans="28:31" x14ac:dyDescent="0.3">
      <c r="AB528" s="88">
        <f t="shared" si="73"/>
        <v>4074</v>
      </c>
      <c r="AC528">
        <f t="shared" si="74"/>
        <v>341.48178566360377</v>
      </c>
      <c r="AD528">
        <f t="shared" si="72"/>
        <v>264343.21866936696</v>
      </c>
      <c r="AE528">
        <f t="shared" ref="AE528:AE591" si="75">((AD528*100)*30)/$BV$33</f>
        <v>24.042129938096132</v>
      </c>
    </row>
    <row r="529" spans="28:31" x14ac:dyDescent="0.3">
      <c r="AB529" s="88">
        <f t="shared" si="73"/>
        <v>4079</v>
      </c>
      <c r="AC529">
        <f t="shared" si="74"/>
        <v>340.7995046007664</v>
      </c>
      <c r="AD529">
        <f t="shared" si="72"/>
        <v>264684.01817396772</v>
      </c>
      <c r="AE529">
        <f t="shared" si="75"/>
        <v>24.073125800269917</v>
      </c>
    </row>
    <row r="530" spans="28:31" x14ac:dyDescent="0.3">
      <c r="AB530" s="88">
        <f t="shared" si="73"/>
        <v>4084</v>
      </c>
      <c r="AC530">
        <f t="shared" si="74"/>
        <v>340.11858673640182</v>
      </c>
      <c r="AD530">
        <f t="shared" si="72"/>
        <v>265024.1367607041</v>
      </c>
      <c r="AE530">
        <f t="shared" si="75"/>
        <v>24.104059732669771</v>
      </c>
    </row>
    <row r="531" spans="28:31" x14ac:dyDescent="0.3">
      <c r="AB531" s="88">
        <f t="shared" si="73"/>
        <v>4089</v>
      </c>
      <c r="AC531">
        <f t="shared" si="74"/>
        <v>339.43902934683769</v>
      </c>
      <c r="AD531">
        <f t="shared" si="72"/>
        <v>265363.57579005096</v>
      </c>
      <c r="AE531">
        <f t="shared" si="75"/>
        <v>24.134931859031465</v>
      </c>
    </row>
    <row r="532" spans="28:31" x14ac:dyDescent="0.3">
      <c r="AB532" s="88">
        <f t="shared" si="73"/>
        <v>4094</v>
      </c>
      <c r="AC532">
        <f t="shared" si="74"/>
        <v>338.76082971384358</v>
      </c>
      <c r="AD532">
        <f t="shared" si="72"/>
        <v>265702.3366197648</v>
      </c>
      <c r="AE532">
        <f t="shared" si="75"/>
        <v>24.165742302843547</v>
      </c>
    </row>
    <row r="533" spans="28:31" x14ac:dyDescent="0.3">
      <c r="AB533" s="88">
        <f t="shared" si="73"/>
        <v>4099</v>
      </c>
      <c r="AC533">
        <f t="shared" si="74"/>
        <v>338.08398512461997</v>
      </c>
      <c r="AD533">
        <f t="shared" si="72"/>
        <v>266040.4206048894</v>
      </c>
      <c r="AE533">
        <f t="shared" si="75"/>
        <v>24.196491187347831</v>
      </c>
    </row>
    <row r="534" spans="28:31" x14ac:dyDescent="0.3">
      <c r="AB534" s="88">
        <f t="shared" si="73"/>
        <v>4104</v>
      </c>
      <c r="AC534">
        <f t="shared" si="74"/>
        <v>337.40849287178759</v>
      </c>
      <c r="AD534">
        <f t="shared" si="72"/>
        <v>266377.82909776119</v>
      </c>
      <c r="AE534">
        <f t="shared" si="75"/>
        <v>24.2271786355399</v>
      </c>
    </row>
    <row r="535" spans="28:31" x14ac:dyDescent="0.3">
      <c r="AB535" s="88">
        <f t="shared" si="73"/>
        <v>4109</v>
      </c>
      <c r="AC535">
        <f t="shared" si="74"/>
        <v>336.73435025337665</v>
      </c>
      <c r="AD535">
        <f t="shared" si="72"/>
        <v>266714.56344801455</v>
      </c>
      <c r="AE535">
        <f t="shared" si="75"/>
        <v>24.257804770169585</v>
      </c>
    </row>
    <row r="536" spans="28:31" x14ac:dyDescent="0.3">
      <c r="AB536" s="88">
        <f t="shared" si="73"/>
        <v>4114</v>
      </c>
      <c r="AC536">
        <f t="shared" si="74"/>
        <v>336.06155457281562</v>
      </c>
      <c r="AD536">
        <f t="shared" si="72"/>
        <v>267050.62500258739</v>
      </c>
      <c r="AE536">
        <f t="shared" si="75"/>
        <v>24.288369713741464</v>
      </c>
    </row>
    <row r="537" spans="28:31" x14ac:dyDescent="0.3">
      <c r="AB537" s="88">
        <f t="shared" si="73"/>
        <v>4119</v>
      </c>
      <c r="AC537">
        <f t="shared" si="74"/>
        <v>335.39010313892106</v>
      </c>
      <c r="AD537">
        <f t="shared" si="72"/>
        <v>267386.01510572631</v>
      </c>
      <c r="AE537">
        <f t="shared" si="75"/>
        <v>24.318873588515356</v>
      </c>
    </row>
    <row r="538" spans="28:31" x14ac:dyDescent="0.3">
      <c r="AB538" s="88">
        <f t="shared" si="73"/>
        <v>4124</v>
      </c>
      <c r="AC538">
        <f t="shared" si="74"/>
        <v>334.71999326588616</v>
      </c>
      <c r="AD538">
        <f t="shared" si="72"/>
        <v>267720.73509899218</v>
      </c>
      <c r="AE538">
        <f t="shared" si="75"/>
        <v>24.349316516506793</v>
      </c>
    </row>
    <row r="539" spans="28:31" x14ac:dyDescent="0.3">
      <c r="AB539" s="88">
        <f t="shared" si="73"/>
        <v>4129</v>
      </c>
      <c r="AC539">
        <f t="shared" si="74"/>
        <v>334.0512222732707</v>
      </c>
      <c r="AD539">
        <f t="shared" si="72"/>
        <v>268054.78632126545</v>
      </c>
      <c r="AE539">
        <f t="shared" si="75"/>
        <v>24.379698619487531</v>
      </c>
    </row>
    <row r="540" spans="28:31" x14ac:dyDescent="0.3">
      <c r="AB540" s="88">
        <f t="shared" si="73"/>
        <v>4134</v>
      </c>
      <c r="AC540">
        <f t="shared" si="74"/>
        <v>333.38378748598967</v>
      </c>
      <c r="AD540">
        <f t="shared" si="72"/>
        <v>268388.17010875145</v>
      </c>
      <c r="AE540">
        <f t="shared" si="75"/>
        <v>24.410020018986035</v>
      </c>
    </row>
    <row r="541" spans="28:31" x14ac:dyDescent="0.3">
      <c r="AB541" s="88">
        <f t="shared" si="73"/>
        <v>4139</v>
      </c>
      <c r="AC541">
        <f t="shared" si="74"/>
        <v>332.71768623430307</v>
      </c>
      <c r="AD541">
        <f t="shared" si="72"/>
        <v>268720.88779498573</v>
      </c>
      <c r="AE541">
        <f t="shared" si="75"/>
        <v>24.440280836287926</v>
      </c>
    </row>
    <row r="542" spans="28:31" x14ac:dyDescent="0.3">
      <c r="AB542" s="88">
        <f t="shared" si="73"/>
        <v>4144</v>
      </c>
      <c r="AC542">
        <f t="shared" si="74"/>
        <v>332.05291585380513</v>
      </c>
      <c r="AD542">
        <f t="shared" si="72"/>
        <v>269052.94071083952</v>
      </c>
      <c r="AE542">
        <f t="shared" si="75"/>
        <v>24.470481192436516</v>
      </c>
    </row>
    <row r="543" spans="28:31" x14ac:dyDescent="0.3">
      <c r="AB543" s="88">
        <f t="shared" si="73"/>
        <v>4149</v>
      </c>
      <c r="AC543">
        <f t="shared" si="74"/>
        <v>331.38947368541329</v>
      </c>
      <c r="AD543">
        <f t="shared" si="72"/>
        <v>269384.33018452494</v>
      </c>
      <c r="AE543">
        <f t="shared" si="75"/>
        <v>24.50062120823328</v>
      </c>
    </row>
    <row r="544" spans="28:31" x14ac:dyDescent="0.3">
      <c r="AB544" s="88">
        <f t="shared" si="73"/>
        <v>4154</v>
      </c>
      <c r="AC544">
        <f t="shared" si="74"/>
        <v>330.72735707535799</v>
      </c>
      <c r="AD544">
        <f t="shared" si="72"/>
        <v>269715.05754160031</v>
      </c>
      <c r="AE544">
        <f t="shared" si="75"/>
        <v>24.530701004238317</v>
      </c>
    </row>
    <row r="545" spans="28:31" x14ac:dyDescent="0.3">
      <c r="AB545" s="88">
        <f t="shared" si="73"/>
        <v>4159</v>
      </c>
      <c r="AC545">
        <f t="shared" si="74"/>
        <v>330.066563375172</v>
      </c>
      <c r="AD545">
        <f t="shared" si="72"/>
        <v>270045.12410497549</v>
      </c>
      <c r="AE545">
        <f t="shared" si="75"/>
        <v>24.560720700770851</v>
      </c>
    </row>
    <row r="546" spans="28:31" x14ac:dyDescent="0.3">
      <c r="AB546" s="88">
        <f t="shared" si="73"/>
        <v>4164</v>
      </c>
      <c r="AC546">
        <f t="shared" si="74"/>
        <v>329.40708994167971</v>
      </c>
      <c r="AD546">
        <f t="shared" si="72"/>
        <v>270374.53119491716</v>
      </c>
      <c r="AE546">
        <f t="shared" si="75"/>
        <v>24.590680417909702</v>
      </c>
    </row>
    <row r="547" spans="28:31" x14ac:dyDescent="0.3">
      <c r="AB547" s="88">
        <f t="shared" si="73"/>
        <v>4169</v>
      </c>
      <c r="AC547">
        <f t="shared" si="74"/>
        <v>328.74893413698629</v>
      </c>
      <c r="AD547">
        <f t="shared" si="72"/>
        <v>270703.28012905415</v>
      </c>
      <c r="AE547">
        <f t="shared" si="75"/>
        <v>24.620580275493783</v>
      </c>
    </row>
    <row r="548" spans="28:31" x14ac:dyDescent="0.3">
      <c r="AB548" s="88">
        <f t="shared" si="73"/>
        <v>4174</v>
      </c>
      <c r="AC548">
        <f t="shared" si="74"/>
        <v>328.09209332846774</v>
      </c>
      <c r="AD548">
        <f t="shared" si="72"/>
        <v>271031.37222238263</v>
      </c>
      <c r="AE548">
        <f t="shared" si="75"/>
        <v>24.65042039312257</v>
      </c>
    </row>
    <row r="549" spans="28:31" x14ac:dyDescent="0.3">
      <c r="AB549" s="88">
        <f t="shared" si="73"/>
        <v>4179</v>
      </c>
      <c r="AC549">
        <f t="shared" si="74"/>
        <v>327.43656488876002</v>
      </c>
      <c r="AD549">
        <f t="shared" si="72"/>
        <v>271358.80878727138</v>
      </c>
      <c r="AE549">
        <f t="shared" si="75"/>
        <v>24.680200890156559</v>
      </c>
    </row>
    <row r="550" spans="28:31" x14ac:dyDescent="0.3">
      <c r="AB550" s="88">
        <f t="shared" si="73"/>
        <v>4184</v>
      </c>
      <c r="AC550">
        <f t="shared" si="74"/>
        <v>326.78234619574835</v>
      </c>
      <c r="AD550">
        <f t="shared" si="72"/>
        <v>271685.59113346715</v>
      </c>
      <c r="AE550">
        <f t="shared" si="75"/>
        <v>24.709921885717794</v>
      </c>
    </row>
    <row r="551" spans="28:31" x14ac:dyDescent="0.3">
      <c r="AB551" s="88">
        <f t="shared" si="73"/>
        <v>4189</v>
      </c>
      <c r="AC551">
        <f t="shared" si="74"/>
        <v>326.12943463255726</v>
      </c>
      <c r="AD551">
        <f t="shared" si="72"/>
        <v>272011.7205680997</v>
      </c>
      <c r="AE551">
        <f t="shared" si="75"/>
        <v>24.739583498690287</v>
      </c>
    </row>
    <row r="552" spans="28:31" x14ac:dyDescent="0.3">
      <c r="AB552" s="88">
        <f t="shared" si="73"/>
        <v>4194</v>
      </c>
      <c r="AC552">
        <f t="shared" si="74"/>
        <v>325.47782758753948</v>
      </c>
      <c r="AD552">
        <f t="shared" si="72"/>
        <v>272337.19839568721</v>
      </c>
      <c r="AE552">
        <f t="shared" si="75"/>
        <v>24.769185847720529</v>
      </c>
    </row>
    <row r="553" spans="28:31" x14ac:dyDescent="0.3">
      <c r="AB553" s="88">
        <f t="shared" si="73"/>
        <v>4199</v>
      </c>
      <c r="AC553">
        <f t="shared" si="74"/>
        <v>324.82752245426605</v>
      </c>
      <c r="AD553">
        <f t="shared" si="72"/>
        <v>272662.02591814147</v>
      </c>
      <c r="AE553">
        <f t="shared" si="75"/>
        <v>24.798729051217958</v>
      </c>
    </row>
    <row r="554" spans="28:31" x14ac:dyDescent="0.3">
      <c r="AB554" s="88">
        <f t="shared" si="73"/>
        <v>4204</v>
      </c>
      <c r="AC554">
        <f t="shared" si="74"/>
        <v>324.17851663151549</v>
      </c>
      <c r="AD554">
        <f t="shared" si="72"/>
        <v>272986.20443477301</v>
      </c>
      <c r="AE554">
        <f t="shared" si="75"/>
        <v>24.828213227355437</v>
      </c>
    </row>
    <row r="555" spans="28:31" x14ac:dyDescent="0.3">
      <c r="AB555" s="88">
        <f t="shared" si="73"/>
        <v>4209</v>
      </c>
      <c r="AC555">
        <f t="shared" si="74"/>
        <v>323.53080752326377</v>
      </c>
      <c r="AD555">
        <f t="shared" si="72"/>
        <v>273309.7352422963</v>
      </c>
      <c r="AE555">
        <f t="shared" si="75"/>
        <v>24.857638494069697</v>
      </c>
    </row>
    <row r="556" spans="28:31" x14ac:dyDescent="0.3">
      <c r="AB556" s="88">
        <f t="shared" si="73"/>
        <v>4214</v>
      </c>
      <c r="AC556">
        <f t="shared" si="74"/>
        <v>322.88439253867347</v>
      </c>
      <c r="AD556">
        <f t="shared" si="72"/>
        <v>273632.61963483499</v>
      </c>
      <c r="AE556">
        <f t="shared" si="75"/>
        <v>24.887004969061842</v>
      </c>
    </row>
    <row r="557" spans="28:31" x14ac:dyDescent="0.3">
      <c r="AB557" s="88">
        <f t="shared" si="73"/>
        <v>4219</v>
      </c>
      <c r="AC557">
        <f t="shared" si="74"/>
        <v>322.23926909208387</v>
      </c>
      <c r="AD557">
        <f t="shared" si="72"/>
        <v>273954.85890392709</v>
      </c>
      <c r="AE557">
        <f t="shared" si="75"/>
        <v>24.916312769797827</v>
      </c>
    </row>
    <row r="558" spans="28:31" x14ac:dyDescent="0.3">
      <c r="AB558" s="88">
        <f t="shared" si="73"/>
        <v>4224</v>
      </c>
      <c r="AC558">
        <f t="shared" si="74"/>
        <v>321.59543460300023</v>
      </c>
      <c r="AD558">
        <f t="shared" si="72"/>
        <v>274276.45433853008</v>
      </c>
      <c r="AE558">
        <f t="shared" si="75"/>
        <v>24.945562013508873</v>
      </c>
    </row>
    <row r="559" spans="28:31" x14ac:dyDescent="0.3">
      <c r="AB559" s="88">
        <f t="shared" si="73"/>
        <v>4229</v>
      </c>
      <c r="AC559">
        <f t="shared" si="74"/>
        <v>320.95288649608381</v>
      </c>
      <c r="AD559">
        <f t="shared" si="72"/>
        <v>274597.40722502617</v>
      </c>
      <c r="AE559">
        <f t="shared" si="75"/>
        <v>24.974752817192012</v>
      </c>
    </row>
    <row r="560" spans="28:31" x14ac:dyDescent="0.3">
      <c r="AB560" s="88">
        <f t="shared" si="73"/>
        <v>4234</v>
      </c>
      <c r="AC560">
        <f t="shared" si="74"/>
        <v>320.31162220114135</v>
      </c>
      <c r="AD560">
        <f t="shared" si="72"/>
        <v>274917.71884722728</v>
      </c>
      <c r="AE560">
        <f t="shared" si="75"/>
        <v>25.003885297610488</v>
      </c>
    </row>
    <row r="561" spans="28:31" x14ac:dyDescent="0.3">
      <c r="AB561" s="88">
        <f t="shared" si="73"/>
        <v>4239</v>
      </c>
      <c r="AC561">
        <f t="shared" si="74"/>
        <v>319.67163915311477</v>
      </c>
      <c r="AD561">
        <f t="shared" si="72"/>
        <v>275237.39048638038</v>
      </c>
      <c r="AE561">
        <f t="shared" si="75"/>
        <v>25.03295957129426</v>
      </c>
    </row>
    <row r="562" spans="28:31" x14ac:dyDescent="0.3">
      <c r="AB562" s="88">
        <f t="shared" si="73"/>
        <v>4244</v>
      </c>
      <c r="AC562">
        <f t="shared" si="74"/>
        <v>319.03293479207099</v>
      </c>
      <c r="AD562">
        <f t="shared" si="72"/>
        <v>275556.42342117243</v>
      </c>
      <c r="AE562">
        <f t="shared" si="75"/>
        <v>25.061975754540466</v>
      </c>
    </row>
    <row r="563" spans="28:31" x14ac:dyDescent="0.3">
      <c r="AB563" s="88">
        <f t="shared" si="73"/>
        <v>4249</v>
      </c>
      <c r="AC563">
        <f t="shared" si="74"/>
        <v>318.39550656319182</v>
      </c>
      <c r="AD563">
        <f t="shared" si="72"/>
        <v>275874.81892773561</v>
      </c>
      <c r="AE563">
        <f t="shared" si="75"/>
        <v>25.090933963413878</v>
      </c>
    </row>
    <row r="564" spans="28:31" x14ac:dyDescent="0.3">
      <c r="AB564" s="88">
        <f t="shared" si="73"/>
        <v>4254</v>
      </c>
      <c r="AC564">
        <f t="shared" si="74"/>
        <v>317.75935191676336</v>
      </c>
      <c r="AD564">
        <f t="shared" si="72"/>
        <v>276192.5782796524</v>
      </c>
      <c r="AE564">
        <f t="shared" si="75"/>
        <v>25.119834313747376</v>
      </c>
    </row>
    <row r="565" spans="28:31" x14ac:dyDescent="0.3">
      <c r="AB565" s="88">
        <f t="shared" si="73"/>
        <v>4259</v>
      </c>
      <c r="AC565">
        <f t="shared" si="74"/>
        <v>317.12446830816629</v>
      </c>
      <c r="AD565">
        <f t="shared" si="72"/>
        <v>276509.70274796057</v>
      </c>
      <c r="AE565">
        <f t="shared" si="75"/>
        <v>25.148676921142389</v>
      </c>
    </row>
    <row r="566" spans="28:31" x14ac:dyDescent="0.3">
      <c r="AB566" s="88">
        <f t="shared" si="73"/>
        <v>4264</v>
      </c>
      <c r="AC566">
        <f t="shared" si="74"/>
        <v>316.49085319786531</v>
      </c>
      <c r="AD566">
        <f t="shared" si="72"/>
        <v>276826.19360115845</v>
      </c>
      <c r="AE566">
        <f t="shared" si="75"/>
        <v>25.177461900969391</v>
      </c>
    </row>
    <row r="567" spans="28:31" x14ac:dyDescent="0.3">
      <c r="AB567" s="88">
        <f t="shared" si="73"/>
        <v>4269</v>
      </c>
      <c r="AC567">
        <f t="shared" si="74"/>
        <v>315.85850405139911</v>
      </c>
      <c r="AD567">
        <f t="shared" si="72"/>
        <v>277142.05210520985</v>
      </c>
      <c r="AE567">
        <f t="shared" si="75"/>
        <v>25.206189368368339</v>
      </c>
    </row>
    <row r="568" spans="28:31" x14ac:dyDescent="0.3">
      <c r="AB568" s="88">
        <f t="shared" si="73"/>
        <v>4274</v>
      </c>
      <c r="AC568">
        <f t="shared" si="74"/>
        <v>315.22741833937022</v>
      </c>
      <c r="AD568">
        <f t="shared" si="72"/>
        <v>277457.27952354919</v>
      </c>
      <c r="AE568">
        <f t="shared" si="75"/>
        <v>25.234859438249131</v>
      </c>
    </row>
    <row r="569" spans="28:31" x14ac:dyDescent="0.3">
      <c r="AB569" s="88">
        <f t="shared" si="73"/>
        <v>4279</v>
      </c>
      <c r="AC569">
        <f t="shared" si="74"/>
        <v>314.59759353743499</v>
      </c>
      <c r="AD569">
        <f t="shared" si="72"/>
        <v>277771.87711708661</v>
      </c>
      <c r="AE569">
        <f t="shared" si="75"/>
        <v>25.263472225292098</v>
      </c>
    </row>
    <row r="570" spans="28:31" x14ac:dyDescent="0.3">
      <c r="AB570" s="88">
        <f t="shared" si="73"/>
        <v>4284</v>
      </c>
      <c r="AC570">
        <f t="shared" si="74"/>
        <v>313.96902712629338</v>
      </c>
      <c r="AD570">
        <f t="shared" si="72"/>
        <v>278085.84614421288</v>
      </c>
      <c r="AE570">
        <f t="shared" si="75"/>
        <v>25.292027843948418</v>
      </c>
    </row>
    <row r="571" spans="28:31" x14ac:dyDescent="0.3">
      <c r="AB571" s="88">
        <f t="shared" si="73"/>
        <v>4289</v>
      </c>
      <c r="AC571">
        <f t="shared" si="74"/>
        <v>313.3417165916789</v>
      </c>
      <c r="AD571">
        <f t="shared" si="72"/>
        <v>278399.18786080455</v>
      </c>
      <c r="AE571">
        <f t="shared" si="75"/>
        <v>25.32052640844061</v>
      </c>
    </row>
    <row r="572" spans="28:31" x14ac:dyDescent="0.3">
      <c r="AB572" s="88">
        <f t="shared" si="73"/>
        <v>4294</v>
      </c>
      <c r="AC572">
        <f t="shared" si="74"/>
        <v>312.71565942434859</v>
      </c>
      <c r="AD572">
        <f t="shared" si="72"/>
        <v>278711.90352022892</v>
      </c>
      <c r="AE572">
        <f t="shared" si="75"/>
        <v>25.348968032762979</v>
      </c>
    </row>
    <row r="573" spans="28:31" x14ac:dyDescent="0.3">
      <c r="AB573" s="88">
        <f t="shared" si="73"/>
        <v>4299</v>
      </c>
      <c r="AC573">
        <f t="shared" si="74"/>
        <v>312.09085312007289</v>
      </c>
      <c r="AD573">
        <f t="shared" si="72"/>
        <v>279023.99437334901</v>
      </c>
      <c r="AE573">
        <f t="shared" si="75"/>
        <v>25.377352830682039</v>
      </c>
    </row>
    <row r="574" spans="28:31" x14ac:dyDescent="0.3">
      <c r="AB574" s="88">
        <f t="shared" si="73"/>
        <v>4304</v>
      </c>
      <c r="AC574">
        <f t="shared" si="74"/>
        <v>311.46729517962586</v>
      </c>
      <c r="AD574">
        <f t="shared" ref="AD574:AD592" si="76">AD573+AC574</f>
        <v>279335.46166852862</v>
      </c>
      <c r="AE574">
        <f t="shared" si="75"/>
        <v>25.40568091573703</v>
      </c>
    </row>
    <row r="575" spans="28:31" x14ac:dyDescent="0.3">
      <c r="AB575" s="88">
        <f t="shared" ref="AB575:AB638" si="77">AB574+5</f>
        <v>4309</v>
      </c>
      <c r="AC575">
        <f t="shared" si="74"/>
        <v>310.84498310877478</v>
      </c>
      <c r="AD575">
        <f t="shared" si="76"/>
        <v>279646.30665163737</v>
      </c>
      <c r="AE575">
        <f t="shared" si="75"/>
        <v>25.433952401240322</v>
      </c>
    </row>
    <row r="576" spans="28:31" x14ac:dyDescent="0.3">
      <c r="AB576" s="88">
        <f t="shared" si="77"/>
        <v>4314</v>
      </c>
      <c r="AC576">
        <f t="shared" si="74"/>
        <v>310.22391441827062</v>
      </c>
      <c r="AD576">
        <f t="shared" si="76"/>
        <v>279956.53056605562</v>
      </c>
      <c r="AE576">
        <f t="shared" si="75"/>
        <v>25.462167400277909</v>
      </c>
    </row>
    <row r="577" spans="28:31" x14ac:dyDescent="0.3">
      <c r="AB577" s="88">
        <f t="shared" si="77"/>
        <v>4319</v>
      </c>
      <c r="AC577">
        <f t="shared" si="74"/>
        <v>309.60408662383776</v>
      </c>
      <c r="AD577">
        <f t="shared" si="76"/>
        <v>280266.13465267944</v>
      </c>
      <c r="AE577">
        <f t="shared" si="75"/>
        <v>25.490326025709816</v>
      </c>
    </row>
    <row r="578" spans="28:31" x14ac:dyDescent="0.3">
      <c r="AB578" s="88">
        <f t="shared" si="77"/>
        <v>4324</v>
      </c>
      <c r="AC578">
        <f t="shared" si="74"/>
        <v>308.98549724616424</v>
      </c>
      <c r="AD578">
        <f t="shared" si="76"/>
        <v>280575.12014992558</v>
      </c>
      <c r="AE578">
        <f t="shared" si="75"/>
        <v>25.518428390170584</v>
      </c>
    </row>
    <row r="579" spans="28:31" x14ac:dyDescent="0.3">
      <c r="AB579" s="88">
        <f t="shared" si="77"/>
        <v>4329</v>
      </c>
      <c r="AC579">
        <f t="shared" si="74"/>
        <v>308.36814381089164</v>
      </c>
      <c r="AD579">
        <f t="shared" si="76"/>
        <v>280883.48829373647</v>
      </c>
      <c r="AE579">
        <f t="shared" si="75"/>
        <v>25.546474606069708</v>
      </c>
    </row>
    <row r="580" spans="28:31" x14ac:dyDescent="0.3">
      <c r="AB580" s="88">
        <f t="shared" si="77"/>
        <v>4334</v>
      </c>
      <c r="AC580">
        <f t="shared" ref="AC580:AC643" si="78" xml:space="preserve"> 1742.18324*EXP(-0.0004*AB580)</f>
        <v>307.75202384860546</v>
      </c>
      <c r="AD580">
        <f t="shared" si="76"/>
        <v>281191.24031758506</v>
      </c>
      <c r="AE580">
        <f t="shared" si="75"/>
        <v>25.574464785592095</v>
      </c>
    </row>
    <row r="581" spans="28:31" x14ac:dyDescent="0.3">
      <c r="AB581" s="88">
        <f t="shared" si="77"/>
        <v>4339</v>
      </c>
      <c r="AC581">
        <f t="shared" si="78"/>
        <v>307.13713489482495</v>
      </c>
      <c r="AD581">
        <f t="shared" si="76"/>
        <v>281498.37745247991</v>
      </c>
      <c r="AE581">
        <f t="shared" si="75"/>
        <v>25.602399040698494</v>
      </c>
    </row>
    <row r="582" spans="28:31" x14ac:dyDescent="0.3">
      <c r="AB582" s="88">
        <f t="shared" si="77"/>
        <v>4344</v>
      </c>
      <c r="AC582">
        <f t="shared" si="78"/>
        <v>306.52347448999365</v>
      </c>
      <c r="AD582">
        <f t="shared" si="76"/>
        <v>281804.90092696989</v>
      </c>
      <c r="AE582">
        <f t="shared" si="75"/>
        <v>25.630277483125955</v>
      </c>
    </row>
    <row r="583" spans="28:31" x14ac:dyDescent="0.3">
      <c r="AB583" s="88">
        <f t="shared" si="77"/>
        <v>4349</v>
      </c>
      <c r="AC583">
        <f t="shared" si="78"/>
        <v>305.9110401794689</v>
      </c>
      <c r="AD583">
        <f t="shared" si="76"/>
        <v>282110.81196714938</v>
      </c>
      <c r="AE583">
        <f t="shared" si="75"/>
        <v>25.658100224388303</v>
      </c>
    </row>
    <row r="584" spans="28:31" x14ac:dyDescent="0.3">
      <c r="AB584" s="88">
        <f t="shared" si="77"/>
        <v>4354</v>
      </c>
      <c r="AC584">
        <f t="shared" si="78"/>
        <v>305.2998295135128</v>
      </c>
      <c r="AD584">
        <f t="shared" si="76"/>
        <v>282416.11179666291</v>
      </c>
      <c r="AE584">
        <f t="shared" si="75"/>
        <v>25.685867375776528</v>
      </c>
    </row>
    <row r="585" spans="28:31" x14ac:dyDescent="0.3">
      <c r="AB585" s="88">
        <f t="shared" si="77"/>
        <v>4359</v>
      </c>
      <c r="AC585">
        <f t="shared" si="78"/>
        <v>304.68984004728185</v>
      </c>
      <c r="AD585">
        <f t="shared" si="76"/>
        <v>282720.80163671018</v>
      </c>
      <c r="AE585">
        <f t="shared" si="75"/>
        <v>25.713579048359268</v>
      </c>
    </row>
    <row r="586" spans="28:31" x14ac:dyDescent="0.3">
      <c r="AB586" s="88">
        <f t="shared" si="77"/>
        <v>4364</v>
      </c>
      <c r="AC586">
        <f t="shared" si="78"/>
        <v>304.08106934081729</v>
      </c>
      <c r="AD586">
        <f t="shared" si="76"/>
        <v>283024.88270605099</v>
      </c>
      <c r="AE586">
        <f t="shared" si="75"/>
        <v>25.741235352983264</v>
      </c>
    </row>
    <row r="587" spans="28:31" x14ac:dyDescent="0.3">
      <c r="AB587" s="88">
        <f t="shared" si="77"/>
        <v>4369</v>
      </c>
      <c r="AC587">
        <f t="shared" si="78"/>
        <v>303.47351495903553</v>
      </c>
      <c r="AD587">
        <f t="shared" si="76"/>
        <v>283328.35622101004</v>
      </c>
      <c r="AE587">
        <f t="shared" si="75"/>
        <v>25.768836400273766</v>
      </c>
    </row>
    <row r="588" spans="28:31" x14ac:dyDescent="0.3">
      <c r="AB588" s="88">
        <f t="shared" si="77"/>
        <v>4374</v>
      </c>
      <c r="AC588">
        <f t="shared" si="78"/>
        <v>302.86717447171827</v>
      </c>
      <c r="AD588">
        <f t="shared" si="76"/>
        <v>283631.22339548176</v>
      </c>
      <c r="AE588">
        <f t="shared" si="75"/>
        <v>25.796382300634995</v>
      </c>
    </row>
    <row r="589" spans="28:31" x14ac:dyDescent="0.3">
      <c r="AB589" s="88">
        <f t="shared" si="77"/>
        <v>4379</v>
      </c>
      <c r="AC589">
        <f t="shared" si="78"/>
        <v>302.26204545350271</v>
      </c>
      <c r="AD589">
        <f t="shared" si="76"/>
        <v>283933.48544093524</v>
      </c>
      <c r="AE589">
        <f t="shared" si="75"/>
        <v>25.823873164250589</v>
      </c>
    </row>
    <row r="590" spans="28:31" x14ac:dyDescent="0.3">
      <c r="AB590" s="88">
        <f t="shared" si="77"/>
        <v>4384</v>
      </c>
      <c r="AC590">
        <f t="shared" si="78"/>
        <v>301.65812548387197</v>
      </c>
      <c r="AD590">
        <f t="shared" si="76"/>
        <v>284235.14356641914</v>
      </c>
      <c r="AE590">
        <f t="shared" si="75"/>
        <v>25.851309101084052</v>
      </c>
    </row>
    <row r="591" spans="28:31" x14ac:dyDescent="0.3">
      <c r="AB591" s="88">
        <f t="shared" si="77"/>
        <v>4389</v>
      </c>
      <c r="AC591">
        <f t="shared" si="78"/>
        <v>301.05541214714538</v>
      </c>
      <c r="AD591">
        <f t="shared" si="76"/>
        <v>284536.19897856627</v>
      </c>
      <c r="AE591">
        <f t="shared" si="75"/>
        <v>25.87869022087915</v>
      </c>
    </row>
    <row r="592" spans="28:31" x14ac:dyDescent="0.3">
      <c r="AB592" s="26">
        <f t="shared" si="77"/>
        <v>4394</v>
      </c>
      <c r="AC592" s="26">
        <f t="shared" si="78"/>
        <v>300.45390303246876</v>
      </c>
      <c r="AD592">
        <f t="shared" si="76"/>
        <v>284836.65288159874</v>
      </c>
      <c r="AE592">
        <f t="shared" ref="AE592" si="79">((AD592*100)*30)/$BV$33</f>
        <v>25.906016633160412</v>
      </c>
    </row>
    <row r="593" spans="28:28" x14ac:dyDescent="0.3">
      <c r="AB593" s="88"/>
    </row>
    <row r="594" spans="28:28" x14ac:dyDescent="0.3">
      <c r="AB594" s="92">
        <f>AB592 / 30</f>
        <v>146.46666666666667</v>
      </c>
    </row>
    <row r="595" spans="28:28" x14ac:dyDescent="0.3">
      <c r="AB595" s="92" t="s">
        <v>124</v>
      </c>
    </row>
    <row r="596" spans="28:28" x14ac:dyDescent="0.3">
      <c r="AB596" s="92"/>
    </row>
    <row r="597" spans="28:28" x14ac:dyDescent="0.3">
      <c r="AB597" s="92">
        <f>AB594/12</f>
        <v>12.205555555555556</v>
      </c>
    </row>
    <row r="598" spans="28:28" x14ac:dyDescent="0.3">
      <c r="AB598" s="92" t="s">
        <v>125</v>
      </c>
    </row>
    <row r="599" spans="28:28" x14ac:dyDescent="0.3">
      <c r="AB599" s="88"/>
    </row>
    <row r="600" spans="28:28" x14ac:dyDescent="0.3">
      <c r="AB600" s="88"/>
    </row>
    <row r="601" spans="28:28" x14ac:dyDescent="0.3">
      <c r="AB601" s="88"/>
    </row>
    <row r="602" spans="28:28" x14ac:dyDescent="0.3">
      <c r="AB602" s="88"/>
    </row>
    <row r="603" spans="28:28" x14ac:dyDescent="0.3">
      <c r="AB603" s="88"/>
    </row>
    <row r="604" spans="28:28" x14ac:dyDescent="0.3">
      <c r="AB604" s="88"/>
    </row>
    <row r="605" spans="28:28" x14ac:dyDescent="0.3">
      <c r="AB605" s="88"/>
    </row>
    <row r="606" spans="28:28" x14ac:dyDescent="0.3">
      <c r="AB606" s="88"/>
    </row>
    <row r="607" spans="28:28" x14ac:dyDescent="0.3">
      <c r="AB607" s="88"/>
    </row>
    <row r="608" spans="28:28" x14ac:dyDescent="0.3">
      <c r="AB608" s="88"/>
    </row>
    <row r="609" spans="28:28" x14ac:dyDescent="0.3">
      <c r="AB609" s="88"/>
    </row>
    <row r="610" spans="28:28" x14ac:dyDescent="0.3">
      <c r="AB610" s="88"/>
    </row>
    <row r="611" spans="28:28" x14ac:dyDescent="0.3">
      <c r="AB611" s="88"/>
    </row>
    <row r="612" spans="28:28" x14ac:dyDescent="0.3">
      <c r="AB612" s="88"/>
    </row>
    <row r="613" spans="28:28" x14ac:dyDescent="0.3">
      <c r="AB613" s="88"/>
    </row>
    <row r="614" spans="28:28" x14ac:dyDescent="0.3">
      <c r="AB614" s="88"/>
    </row>
    <row r="615" spans="28:28" x14ac:dyDescent="0.3">
      <c r="AB615" s="88"/>
    </row>
    <row r="616" spans="28:28" x14ac:dyDescent="0.3">
      <c r="AB616" s="88"/>
    </row>
    <row r="617" spans="28:28" x14ac:dyDescent="0.3">
      <c r="AB617" s="88"/>
    </row>
    <row r="618" spans="28:28" x14ac:dyDescent="0.3">
      <c r="AB618" s="88"/>
    </row>
    <row r="619" spans="28:28" x14ac:dyDescent="0.3">
      <c r="AB619" s="88"/>
    </row>
    <row r="620" spans="28:28" x14ac:dyDescent="0.3">
      <c r="AB620" s="88"/>
    </row>
    <row r="621" spans="28:28" x14ac:dyDescent="0.3">
      <c r="AB621" s="88"/>
    </row>
    <row r="622" spans="28:28" x14ac:dyDescent="0.3">
      <c r="AB622" s="88"/>
    </row>
    <row r="623" spans="28:28" x14ac:dyDescent="0.3">
      <c r="AB623" s="88"/>
    </row>
    <row r="624" spans="28:28" x14ac:dyDescent="0.3">
      <c r="AB624" s="88"/>
    </row>
    <row r="625" spans="28:28" x14ac:dyDescent="0.3">
      <c r="AB625" s="88"/>
    </row>
    <row r="626" spans="28:28" x14ac:dyDescent="0.3">
      <c r="AB626" s="88"/>
    </row>
    <row r="627" spans="28:28" x14ac:dyDescent="0.3">
      <c r="AB627" s="88"/>
    </row>
    <row r="628" spans="28:28" x14ac:dyDescent="0.3">
      <c r="AB628" s="88"/>
    </row>
    <row r="629" spans="28:28" x14ac:dyDescent="0.3">
      <c r="AB629" s="88"/>
    </row>
    <row r="630" spans="28:28" x14ac:dyDescent="0.3">
      <c r="AB630" s="88"/>
    </row>
    <row r="631" spans="28:28" x14ac:dyDescent="0.3">
      <c r="AB631" s="88"/>
    </row>
    <row r="632" spans="28:28" x14ac:dyDescent="0.3">
      <c r="AB632" s="88"/>
    </row>
    <row r="633" spans="28:28" x14ac:dyDescent="0.3">
      <c r="AB633" s="88"/>
    </row>
    <row r="634" spans="28:28" x14ac:dyDescent="0.3">
      <c r="AB634" s="88"/>
    </row>
    <row r="635" spans="28:28" x14ac:dyDescent="0.3">
      <c r="AB635" s="88"/>
    </row>
    <row r="636" spans="28:28" x14ac:dyDescent="0.3">
      <c r="AB636" s="88"/>
    </row>
    <row r="637" spans="28:28" x14ac:dyDescent="0.3">
      <c r="AB637" s="88"/>
    </row>
    <row r="638" spans="28:28" x14ac:dyDescent="0.3">
      <c r="AB638" s="88"/>
    </row>
    <row r="639" spans="28:28" x14ac:dyDescent="0.3">
      <c r="AB639" s="88"/>
    </row>
    <row r="640" spans="28:28" x14ac:dyDescent="0.3">
      <c r="AB640" s="88"/>
    </row>
    <row r="641" spans="28:28" x14ac:dyDescent="0.3">
      <c r="AB641" s="88"/>
    </row>
    <row r="642" spans="28:28" x14ac:dyDescent="0.3">
      <c r="AB642" s="88"/>
    </row>
    <row r="643" spans="28:28" x14ac:dyDescent="0.3">
      <c r="AB643" s="88"/>
    </row>
    <row r="644" spans="28:28" x14ac:dyDescent="0.3">
      <c r="AB644" s="88"/>
    </row>
    <row r="645" spans="28:28" x14ac:dyDescent="0.3">
      <c r="AB645" s="88"/>
    </row>
    <row r="646" spans="28:28" x14ac:dyDescent="0.3">
      <c r="AB646" s="88"/>
    </row>
    <row r="647" spans="28:28" x14ac:dyDescent="0.3">
      <c r="AB647" s="88"/>
    </row>
    <row r="648" spans="28:28" x14ac:dyDescent="0.3">
      <c r="AB648" s="88"/>
    </row>
    <row r="649" spans="28:28" x14ac:dyDescent="0.3">
      <c r="AB649" s="88"/>
    </row>
    <row r="650" spans="28:28" x14ac:dyDescent="0.3">
      <c r="AB650" s="88"/>
    </row>
    <row r="651" spans="28:28" x14ac:dyDescent="0.3">
      <c r="AB651" s="88"/>
    </row>
    <row r="652" spans="28:28" x14ac:dyDescent="0.3">
      <c r="AB652" s="88"/>
    </row>
    <row r="653" spans="28:28" x14ac:dyDescent="0.3">
      <c r="AB653" s="88"/>
    </row>
    <row r="654" spans="28:28" x14ac:dyDescent="0.3">
      <c r="AB654" s="88"/>
    </row>
    <row r="655" spans="28:28" x14ac:dyDescent="0.3">
      <c r="AB655" s="88"/>
    </row>
    <row r="656" spans="28:28" x14ac:dyDescent="0.3">
      <c r="AB656" s="88"/>
    </row>
    <row r="657" spans="28:28" x14ac:dyDescent="0.3">
      <c r="AB657" s="88"/>
    </row>
    <row r="658" spans="28:28" x14ac:dyDescent="0.3">
      <c r="AB658" s="88"/>
    </row>
    <row r="659" spans="28:28" x14ac:dyDescent="0.3">
      <c r="AB659" s="88"/>
    </row>
    <row r="660" spans="28:28" x14ac:dyDescent="0.3">
      <c r="AB660" s="88"/>
    </row>
    <row r="661" spans="28:28" x14ac:dyDescent="0.3">
      <c r="AB661" s="88"/>
    </row>
    <row r="662" spans="28:28" x14ac:dyDescent="0.3">
      <c r="AB662" s="88"/>
    </row>
    <row r="663" spans="28:28" x14ac:dyDescent="0.3">
      <c r="AB663" s="88"/>
    </row>
  </sheetData>
  <mergeCells count="39">
    <mergeCell ref="S1:S59"/>
    <mergeCell ref="W1:W59"/>
    <mergeCell ref="AB1:AE1"/>
    <mergeCell ref="X1:Z1"/>
    <mergeCell ref="BW5:BX5"/>
    <mergeCell ref="BT31:BX32"/>
    <mergeCell ref="AF1:AF60"/>
    <mergeCell ref="BT45:BV45"/>
    <mergeCell ref="AK1:AK2"/>
    <mergeCell ref="AL1:AL2"/>
    <mergeCell ref="AP1:AP2"/>
    <mergeCell ref="AO1:AO2"/>
    <mergeCell ref="AQ1:AQ2"/>
    <mergeCell ref="AR1:AR2"/>
    <mergeCell ref="AH1:AH2"/>
    <mergeCell ref="AI1:AI2"/>
    <mergeCell ref="AJ1:AJ2"/>
    <mergeCell ref="AV1:AV2"/>
    <mergeCell ref="AS1:AS2"/>
    <mergeCell ref="AT1:AT2"/>
    <mergeCell ref="AU1:AU2"/>
    <mergeCell ref="AX1:AX2"/>
    <mergeCell ref="AW1:AW2"/>
    <mergeCell ref="AZ1:AZ53"/>
    <mergeCell ref="BB1:BB2"/>
    <mergeCell ref="BC1:BC2"/>
    <mergeCell ref="AY1:AY2"/>
    <mergeCell ref="BO1:BO2"/>
    <mergeCell ref="BD1:BD2"/>
    <mergeCell ref="BE1:BE2"/>
    <mergeCell ref="BF1:BF2"/>
    <mergeCell ref="BG1:BG2"/>
    <mergeCell ref="BH1:BH2"/>
    <mergeCell ref="BI1:BI2"/>
    <mergeCell ref="BJ1:BJ53"/>
    <mergeCell ref="BK1:BK2"/>
    <mergeCell ref="BL1:BL2"/>
    <mergeCell ref="BM1:BM2"/>
    <mergeCell ref="BN1:BN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7ADFF-3493-42DD-ACFD-AE019A6CBBA1}">
  <dimension ref="A1:AA165"/>
  <sheetViews>
    <sheetView topLeftCell="A11" zoomScale="77" workbookViewId="0">
      <selection activeCell="C36" sqref="C36"/>
    </sheetView>
  </sheetViews>
  <sheetFormatPr defaultColWidth="8.77734375" defaultRowHeight="14.4" x14ac:dyDescent="0.3"/>
  <cols>
    <col min="1" max="6" width="8.77734375" style="4"/>
    <col min="7" max="7" width="14.5546875" style="4" bestFit="1" customWidth="1"/>
    <col min="8" max="11" width="8.88671875" style="4" bestFit="1" customWidth="1"/>
    <col min="12" max="12" width="11" style="4" bestFit="1" customWidth="1"/>
    <col min="13" max="13" width="11.44140625" style="4" bestFit="1" customWidth="1"/>
    <col min="14" max="15" width="8.88671875" style="4" bestFit="1" customWidth="1"/>
    <col min="16" max="16" width="8.77734375" style="4"/>
    <col min="17" max="17" width="8.88671875" style="4" bestFit="1" customWidth="1"/>
    <col min="18" max="18" width="12.5546875" style="4" bestFit="1" customWidth="1"/>
    <col min="19" max="19" width="12.6640625" style="4" bestFit="1" customWidth="1"/>
    <col min="20" max="20" width="8.77734375" style="4"/>
    <col min="21" max="21" width="17" style="4" customWidth="1"/>
    <col min="22" max="22" width="18.109375" style="4" customWidth="1"/>
    <col min="23" max="23" width="17.33203125" style="4" customWidth="1"/>
    <col min="24" max="24" width="8.77734375" style="4"/>
    <col min="25" max="25" width="65.6640625" style="4" customWidth="1"/>
    <col min="26" max="26" width="13.5546875" style="4" customWidth="1"/>
    <col min="27" max="27" width="18.44140625" style="4" customWidth="1"/>
    <col min="28" max="16384" width="8.77734375" style="4"/>
  </cols>
  <sheetData>
    <row r="1" spans="1:27" ht="52.8" x14ac:dyDescent="0.3">
      <c r="A1" s="11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10</v>
      </c>
      <c r="K1" s="5" t="s">
        <v>12</v>
      </c>
      <c r="L1" s="5" t="s">
        <v>13</v>
      </c>
      <c r="M1" s="5" t="s">
        <v>14</v>
      </c>
      <c r="N1" s="5" t="s">
        <v>17</v>
      </c>
      <c r="O1" s="5" t="s">
        <v>18</v>
      </c>
      <c r="P1" s="67" t="s">
        <v>19</v>
      </c>
      <c r="Q1" s="15" t="s">
        <v>20</v>
      </c>
      <c r="R1" s="15" t="s">
        <v>21</v>
      </c>
      <c r="S1" s="15" t="s">
        <v>22</v>
      </c>
      <c r="T1" s="70" t="s">
        <v>23</v>
      </c>
      <c r="U1" s="73" t="s">
        <v>32</v>
      </c>
      <c r="V1" s="74"/>
      <c r="W1" s="74"/>
      <c r="X1" s="30"/>
      <c r="Y1" s="73" t="s">
        <v>29</v>
      </c>
      <c r="Z1" s="74"/>
      <c r="AA1" s="75"/>
    </row>
    <row r="2" spans="1:27" x14ac:dyDescent="0.3">
      <c r="A2" s="6">
        <v>44256</v>
      </c>
      <c r="B2" s="2">
        <v>61.628489032258067</v>
      </c>
      <c r="C2" s="2">
        <v>61.627677419354839</v>
      </c>
      <c r="D2" s="2">
        <v>8.116129032258064E-4</v>
      </c>
      <c r="E2" s="2">
        <v>149.54838709677421</v>
      </c>
      <c r="F2" s="2">
        <v>1910.4580000000001</v>
      </c>
      <c r="G2" s="13">
        <v>2.5574090099999999E-4</v>
      </c>
      <c r="H2" s="2">
        <v>4636</v>
      </c>
      <c r="I2" s="2">
        <v>2.5159999999999998E-2</v>
      </c>
      <c r="J2" s="4">
        <v>1</v>
      </c>
      <c r="K2" s="4">
        <v>1</v>
      </c>
      <c r="L2" s="7">
        <v>2.5574090099999999E-4</v>
      </c>
      <c r="M2" s="8">
        <v>4.6360000000000004E-3</v>
      </c>
      <c r="N2" s="2">
        <v>1.3169443482558621E-3</v>
      </c>
      <c r="O2" s="2">
        <v>15.263100680569789</v>
      </c>
      <c r="P2" s="68"/>
      <c r="Q2" s="14">
        <f>A2-$A$2</f>
        <v>0</v>
      </c>
      <c r="R2" s="16">
        <f>D2/C2</f>
        <v>1.3169616919084323E-5</v>
      </c>
      <c r="T2" s="71"/>
      <c r="U2" s="17" t="s">
        <v>25</v>
      </c>
      <c r="V2" s="17" t="s">
        <v>28</v>
      </c>
      <c r="W2" s="17" t="s">
        <v>26</v>
      </c>
      <c r="Y2" s="17" t="s">
        <v>36</v>
      </c>
    </row>
    <row r="3" spans="1:27" x14ac:dyDescent="0.3">
      <c r="A3" s="6">
        <v>44287</v>
      </c>
      <c r="B3" s="2">
        <v>420.1244049</v>
      </c>
      <c r="C3" s="2">
        <v>404.13573333333335</v>
      </c>
      <c r="D3" s="2">
        <v>15.988671566666666</v>
      </c>
      <c r="E3" s="2">
        <v>1019.2333333333333</v>
      </c>
      <c r="F3" s="2">
        <v>12124.072</v>
      </c>
      <c r="G3" s="13">
        <v>1.6227643849999998E-3</v>
      </c>
      <c r="H3" s="2">
        <v>30577</v>
      </c>
      <c r="I3" s="2">
        <v>479.66014699999999</v>
      </c>
      <c r="J3" s="4">
        <v>1</v>
      </c>
      <c r="K3" s="4">
        <v>1</v>
      </c>
      <c r="L3" s="7">
        <v>1.8785052859999999E-3</v>
      </c>
      <c r="M3" s="8">
        <v>3.5213000000000001E-2</v>
      </c>
      <c r="N3" s="2">
        <v>3.8056993072022003</v>
      </c>
      <c r="O3" s="2">
        <v>15.8629225065638</v>
      </c>
      <c r="P3" s="68"/>
      <c r="Q3" s="14">
        <f t="shared" ref="Q3:Q36" si="0">A3-$A$2</f>
        <v>31</v>
      </c>
      <c r="R3" s="16">
        <f t="shared" ref="R3:R36" si="1">D3/C3</f>
        <v>3.9562627721115476E-2</v>
      </c>
      <c r="S3" s="4">
        <f>(R4-R2)/(Q4-Q2)</f>
        <v>1.9134127241791744E-4</v>
      </c>
      <c r="T3" s="71"/>
      <c r="U3" s="4">
        <v>0</v>
      </c>
      <c r="V3" s="2">
        <f>F2</f>
        <v>1910.4580000000001</v>
      </c>
      <c r="Y3" s="4">
        <f>83178618227202200*EXP(-0.9396*U3)</f>
        <v>8.3178618227202208E+16</v>
      </c>
    </row>
    <row r="4" spans="1:27" x14ac:dyDescent="0.3">
      <c r="A4" s="6">
        <v>44317</v>
      </c>
      <c r="B4" s="2">
        <v>93.209344483870964</v>
      </c>
      <c r="C4" s="2">
        <v>92.132774193548386</v>
      </c>
      <c r="D4" s="2">
        <v>1.0765702903225807</v>
      </c>
      <c r="E4" s="2">
        <v>207.61290322580646</v>
      </c>
      <c r="F4" s="2">
        <v>2856.116</v>
      </c>
      <c r="G4" s="13">
        <v>3.8214859899999995E-4</v>
      </c>
      <c r="H4" s="2">
        <v>6436</v>
      </c>
      <c r="I4" s="2">
        <v>33.373679000000003</v>
      </c>
      <c r="J4" s="4">
        <v>1</v>
      </c>
      <c r="K4" s="4">
        <v>1</v>
      </c>
      <c r="L4" s="7">
        <v>2.260653885E-3</v>
      </c>
      <c r="M4" s="8">
        <v>4.1648999999999999E-2</v>
      </c>
      <c r="N4" s="2">
        <v>1.155002533580602</v>
      </c>
      <c r="O4" s="2">
        <v>14.173497434978129</v>
      </c>
      <c r="P4" s="68"/>
      <c r="Q4" s="14">
        <f t="shared" si="0"/>
        <v>61</v>
      </c>
      <c r="R4" s="16">
        <f t="shared" si="1"/>
        <v>1.1684987234412048E-2</v>
      </c>
      <c r="S4" s="4">
        <f t="shared" ref="S4:S35" si="2">(R5-R3)/(Q5-Q3)</f>
        <v>-6.4856766755927008E-4</v>
      </c>
      <c r="T4" s="71"/>
      <c r="U4" s="4">
        <f>Q3/30</f>
        <v>1.0333333333333334</v>
      </c>
      <c r="V4" s="2">
        <f>V3+F3</f>
        <v>14034.53</v>
      </c>
      <c r="Y4" s="4">
        <f t="shared" ref="Y4:Y39" si="3">83178618227202200*EXP(-0.9396*U4)</f>
        <v>3.1502607567855212E+16</v>
      </c>
    </row>
    <row r="5" spans="1:27" x14ac:dyDescent="0.3">
      <c r="A5" s="6">
        <v>44348</v>
      </c>
      <c r="B5" s="2">
        <v>1.6000000000000001E-3</v>
      </c>
      <c r="C5" s="2">
        <v>1.6000000000000001E-3</v>
      </c>
      <c r="D5" s="2">
        <v>0</v>
      </c>
      <c r="E5" s="2">
        <v>0</v>
      </c>
      <c r="F5" s="2">
        <v>4.8000000000000001E-2</v>
      </c>
      <c r="G5" s="13">
        <v>6.4169999999999997E-9</v>
      </c>
      <c r="H5" s="2">
        <v>0</v>
      </c>
      <c r="I5" s="2">
        <v>0</v>
      </c>
      <c r="J5" s="4">
        <v>1</v>
      </c>
      <c r="K5" s="4">
        <v>1</v>
      </c>
      <c r="L5" s="7">
        <v>2.2606603019999999E-3</v>
      </c>
      <c r="M5" s="8">
        <v>4.1648999999999999E-2</v>
      </c>
      <c r="N5" s="2">
        <v>0</v>
      </c>
      <c r="O5" s="2">
        <v>0</v>
      </c>
      <c r="P5" s="68"/>
      <c r="Q5" s="14">
        <f t="shared" si="0"/>
        <v>92</v>
      </c>
      <c r="R5" s="16">
        <f t="shared" si="1"/>
        <v>0</v>
      </c>
      <c r="S5" s="4">
        <f t="shared" si="2"/>
        <v>1.3899374586745083E-3</v>
      </c>
      <c r="T5" s="71"/>
      <c r="U5" s="4">
        <f t="shared" ref="U5:U37" si="4">Q4/30</f>
        <v>2.0333333333333332</v>
      </c>
      <c r="V5" s="2">
        <f t="shared" ref="V5:V37" si="5">V4+F4</f>
        <v>16890.646000000001</v>
      </c>
      <c r="Y5" s="4">
        <f t="shared" si="3"/>
        <v>1.231071870513611E+16</v>
      </c>
    </row>
    <row r="6" spans="1:27" x14ac:dyDescent="0.3">
      <c r="A6" s="6">
        <v>44378</v>
      </c>
      <c r="B6" s="2">
        <v>322.53559022580646</v>
      </c>
      <c r="C6" s="2">
        <v>294.15783870967743</v>
      </c>
      <c r="D6" s="2">
        <v>28.377751516129031</v>
      </c>
      <c r="E6" s="2">
        <v>878.54838709677415</v>
      </c>
      <c r="F6" s="2">
        <v>9118.893</v>
      </c>
      <c r="G6" s="13">
        <v>1.2201087749999999E-3</v>
      </c>
      <c r="H6" s="2">
        <v>27235</v>
      </c>
      <c r="I6" s="2">
        <v>879.71029699999997</v>
      </c>
      <c r="J6" s="4">
        <v>1</v>
      </c>
      <c r="K6" s="4">
        <v>1</v>
      </c>
      <c r="L6" s="7">
        <v>3.480769077E-3</v>
      </c>
      <c r="M6" s="8">
        <v>6.8884000000000001E-2</v>
      </c>
      <c r="N6" s="2">
        <v>8.7983318356469837</v>
      </c>
      <c r="O6" s="2">
        <v>18.785471328592187</v>
      </c>
      <c r="P6" s="68"/>
      <c r="Q6" s="14">
        <f t="shared" si="0"/>
        <v>122</v>
      </c>
      <c r="R6" s="16">
        <f t="shared" si="1"/>
        <v>9.6471172213557055E-2</v>
      </c>
      <c r="S6" s="4">
        <f t="shared" si="2"/>
        <v>9.9318258818808874E-4</v>
      </c>
      <c r="T6" s="71"/>
      <c r="U6" s="4">
        <f t="shared" si="4"/>
        <v>3.0666666666666669</v>
      </c>
      <c r="V6" s="2">
        <f t="shared" si="5"/>
        <v>16890.694</v>
      </c>
      <c r="Y6" s="4">
        <f t="shared" si="3"/>
        <v>4662493180480936</v>
      </c>
    </row>
    <row r="7" spans="1:27" x14ac:dyDescent="0.3">
      <c r="A7" s="6">
        <v>44409</v>
      </c>
      <c r="B7" s="2">
        <v>265.41254900000001</v>
      </c>
      <c r="C7" s="2">
        <v>250.25129032258064</v>
      </c>
      <c r="D7" s="2">
        <v>15.161258677419355</v>
      </c>
      <c r="E7" s="2">
        <v>1246.0322580645161</v>
      </c>
      <c r="F7" s="2">
        <v>7757.79</v>
      </c>
      <c r="G7" s="13">
        <v>1.0379930600000001E-3</v>
      </c>
      <c r="H7" s="2">
        <v>38627</v>
      </c>
      <c r="I7" s="2">
        <v>469.99901899999998</v>
      </c>
      <c r="J7" s="4">
        <v>1</v>
      </c>
      <c r="K7" s="4">
        <v>1</v>
      </c>
      <c r="L7" s="7">
        <v>4.5187621369999998E-3</v>
      </c>
      <c r="M7" s="8">
        <v>0.107511</v>
      </c>
      <c r="N7" s="2">
        <v>5.7123367883480727</v>
      </c>
      <c r="O7" s="2">
        <v>31.317695451926383</v>
      </c>
      <c r="P7" s="68"/>
      <c r="Q7" s="14">
        <f t="shared" si="0"/>
        <v>153</v>
      </c>
      <c r="R7" s="16">
        <f t="shared" si="1"/>
        <v>6.0584137879473407E-2</v>
      </c>
      <c r="S7" s="4">
        <f t="shared" si="2"/>
        <v>-2.800867085652801E-4</v>
      </c>
      <c r="T7" s="71"/>
      <c r="U7" s="4">
        <f t="shared" si="4"/>
        <v>4.0666666666666664</v>
      </c>
      <c r="V7" s="2">
        <f t="shared" si="5"/>
        <v>26009.587</v>
      </c>
      <c r="Y7" s="4">
        <f t="shared" si="3"/>
        <v>1822028284035919.8</v>
      </c>
    </row>
    <row r="8" spans="1:27" x14ac:dyDescent="0.3">
      <c r="A8" s="6">
        <v>44440</v>
      </c>
      <c r="B8" s="2">
        <v>258.63579679999998</v>
      </c>
      <c r="C8" s="2">
        <v>239.67603333333332</v>
      </c>
      <c r="D8" s="2">
        <v>18.959763466666669</v>
      </c>
      <c r="E8" s="2">
        <v>1258.0333333333333</v>
      </c>
      <c r="F8" s="2">
        <v>7190.2809999999999</v>
      </c>
      <c r="G8" s="13">
        <v>9.6206030099999992E-4</v>
      </c>
      <c r="H8" s="2">
        <v>37741</v>
      </c>
      <c r="I8" s="2">
        <v>568.79290400000002</v>
      </c>
      <c r="J8" s="4">
        <v>1</v>
      </c>
      <c r="K8" s="4">
        <v>1</v>
      </c>
      <c r="L8" s="7">
        <v>5.4808224379999998E-3</v>
      </c>
      <c r="M8" s="8">
        <v>0.14525199999999999</v>
      </c>
      <c r="N8" s="2">
        <v>7.3306803239336693</v>
      </c>
      <c r="O8" s="2">
        <v>33.014473537265097</v>
      </c>
      <c r="P8" s="68"/>
      <c r="Q8" s="14">
        <f t="shared" si="0"/>
        <v>184</v>
      </c>
      <c r="R8" s="16">
        <f t="shared" si="1"/>
        <v>7.9105796282509688E-2</v>
      </c>
      <c r="S8" s="4">
        <f t="shared" si="2"/>
        <v>4.8740911962831556E-4</v>
      </c>
      <c r="T8" s="71"/>
      <c r="U8" s="4">
        <f t="shared" si="4"/>
        <v>5.0999999999999996</v>
      </c>
      <c r="V8" s="2">
        <f t="shared" si="5"/>
        <v>33767.377</v>
      </c>
      <c r="Y8" s="4">
        <f t="shared" si="3"/>
        <v>690064865621258.13</v>
      </c>
    </row>
    <row r="9" spans="1:27" x14ac:dyDescent="0.3">
      <c r="A9" s="6">
        <v>44470</v>
      </c>
      <c r="B9" s="2">
        <v>264.72055270967741</v>
      </c>
      <c r="C9" s="2">
        <v>242.79248387096774</v>
      </c>
      <c r="D9" s="2">
        <v>21.928068838709677</v>
      </c>
      <c r="E9" s="2">
        <v>1018.1612903225806</v>
      </c>
      <c r="F9" s="2">
        <v>7526.567</v>
      </c>
      <c r="G9" s="13">
        <v>1.0070553999999999E-3</v>
      </c>
      <c r="H9" s="2">
        <v>31563</v>
      </c>
      <c r="I9" s="2">
        <v>679.77013399999998</v>
      </c>
      <c r="J9" s="4">
        <v>1</v>
      </c>
      <c r="K9" s="4">
        <v>1</v>
      </c>
      <c r="L9" s="7">
        <v>6.4878778379999997E-3</v>
      </c>
      <c r="M9" s="8">
        <v>0.176815</v>
      </c>
      <c r="N9" s="2">
        <v>8.2834780353297646</v>
      </c>
      <c r="O9" s="2">
        <v>26.376561505398143</v>
      </c>
      <c r="P9" s="68"/>
      <c r="Q9" s="14">
        <f t="shared" si="0"/>
        <v>214</v>
      </c>
      <c r="R9" s="16">
        <f t="shared" si="1"/>
        <v>9.0316094176800657E-2</v>
      </c>
      <c r="S9" s="4">
        <f t="shared" si="2"/>
        <v>-2.5202594461422469E-4</v>
      </c>
      <c r="T9" s="71"/>
      <c r="U9" s="4">
        <f t="shared" si="4"/>
        <v>6.1333333333333337</v>
      </c>
      <c r="V9" s="2">
        <f t="shared" si="5"/>
        <v>40957.658000000003</v>
      </c>
      <c r="Y9" s="4">
        <f t="shared" si="3"/>
        <v>261351331884975.91</v>
      </c>
    </row>
    <row r="10" spans="1:27" x14ac:dyDescent="0.3">
      <c r="A10" s="6">
        <v>44501</v>
      </c>
      <c r="B10" s="2">
        <v>282.74846133333335</v>
      </c>
      <c r="C10" s="2">
        <v>265.80793333333332</v>
      </c>
      <c r="D10" s="2">
        <v>16.940528</v>
      </c>
      <c r="E10" s="2">
        <v>1863.0666666666666</v>
      </c>
      <c r="F10" s="2">
        <v>7974.2380000000003</v>
      </c>
      <c r="G10" s="13">
        <v>1.066953823E-3</v>
      </c>
      <c r="H10" s="2">
        <v>55892</v>
      </c>
      <c r="I10" s="2">
        <v>508.21584000000001</v>
      </c>
      <c r="J10" s="4">
        <v>1</v>
      </c>
      <c r="K10" s="4">
        <v>1</v>
      </c>
      <c r="L10" s="7">
        <v>7.5548316609999992E-3</v>
      </c>
      <c r="M10" s="8">
        <v>0.232707</v>
      </c>
      <c r="N10" s="2">
        <v>5.9913776082511516</v>
      </c>
      <c r="O10" s="2">
        <v>44.085654528997004</v>
      </c>
      <c r="P10" s="68"/>
      <c r="Q10" s="14">
        <f t="shared" si="0"/>
        <v>245</v>
      </c>
      <c r="R10" s="16">
        <f t="shared" si="1"/>
        <v>6.3732213661041981E-2</v>
      </c>
      <c r="S10" s="4">
        <f t="shared" si="2"/>
        <v>-5.0064830984724543E-4</v>
      </c>
      <c r="T10" s="71"/>
      <c r="U10" s="4">
        <f t="shared" si="4"/>
        <v>7.1333333333333337</v>
      </c>
      <c r="V10" s="2">
        <f t="shared" si="5"/>
        <v>48484.225000000006</v>
      </c>
      <c r="Y10" s="4">
        <f t="shared" si="3"/>
        <v>102131949652688.94</v>
      </c>
    </row>
    <row r="11" spans="1:27" x14ac:dyDescent="0.3">
      <c r="A11" s="6">
        <v>44531</v>
      </c>
      <c r="B11" s="2">
        <v>282.55977677419349</v>
      </c>
      <c r="C11" s="2">
        <v>266.62203225806451</v>
      </c>
      <c r="D11" s="2">
        <v>15.937744516129033</v>
      </c>
      <c r="E11" s="2">
        <v>2276.483870967742</v>
      </c>
      <c r="F11" s="2">
        <v>8265.2829999999994</v>
      </c>
      <c r="G11" s="13">
        <v>1.1058956729999999E-3</v>
      </c>
      <c r="H11" s="2">
        <v>70571</v>
      </c>
      <c r="I11" s="2">
        <v>494.07008000000002</v>
      </c>
      <c r="J11" s="4">
        <v>1</v>
      </c>
      <c r="K11" s="4">
        <v>1</v>
      </c>
      <c r="L11" s="7">
        <v>8.6607273339999995E-3</v>
      </c>
      <c r="M11" s="8">
        <v>0.30327799999999999</v>
      </c>
      <c r="N11" s="2">
        <v>5.6404859524169337</v>
      </c>
      <c r="O11" s="2">
        <v>53.703844841126433</v>
      </c>
      <c r="P11" s="68"/>
      <c r="Q11" s="14">
        <f t="shared" si="0"/>
        <v>275</v>
      </c>
      <c r="R11" s="16">
        <f t="shared" si="1"/>
        <v>5.9776547276118683E-2</v>
      </c>
      <c r="S11" s="4">
        <f t="shared" si="2"/>
        <v>1.5818259816076179E-3</v>
      </c>
      <c r="T11" s="71"/>
      <c r="U11" s="4">
        <f t="shared" si="4"/>
        <v>8.1666666666666661</v>
      </c>
      <c r="V11" s="2">
        <f t="shared" si="5"/>
        <v>56458.463000000003</v>
      </c>
      <c r="Y11" s="4">
        <f t="shared" si="3"/>
        <v>38680886970978.859</v>
      </c>
    </row>
    <row r="12" spans="1:27" x14ac:dyDescent="0.3">
      <c r="A12" s="6">
        <v>44562</v>
      </c>
      <c r="B12" s="2">
        <v>297.54884819354839</v>
      </c>
      <c r="C12" s="2">
        <v>256.4581935483871</v>
      </c>
      <c r="D12" s="2">
        <v>41.090654645161294</v>
      </c>
      <c r="E12" s="2">
        <v>2280.2903225806454</v>
      </c>
      <c r="F12" s="2">
        <v>7950.2039999999997</v>
      </c>
      <c r="G12" s="13">
        <v>1.063738071E-3</v>
      </c>
      <c r="H12" s="2">
        <v>70689</v>
      </c>
      <c r="I12" s="2">
        <v>1273.8102940000001</v>
      </c>
      <c r="J12" s="4">
        <v>1</v>
      </c>
      <c r="K12" s="4">
        <v>1</v>
      </c>
      <c r="L12" s="7">
        <v>9.7244654050000004E-3</v>
      </c>
      <c r="M12" s="8">
        <v>0.37396699999999999</v>
      </c>
      <c r="N12" s="2">
        <v>13.809717259746476</v>
      </c>
      <c r="O12" s="2">
        <v>55.925567721281112</v>
      </c>
      <c r="P12" s="68"/>
      <c r="Q12" s="14">
        <f t="shared" si="0"/>
        <v>306</v>
      </c>
      <c r="R12" s="16">
        <f t="shared" si="1"/>
        <v>0.16022359853910667</v>
      </c>
      <c r="S12" s="4">
        <f t="shared" si="2"/>
        <v>3.432345349183507E-3</v>
      </c>
      <c r="T12" s="71"/>
      <c r="U12" s="4">
        <f t="shared" si="4"/>
        <v>9.1666666666666661</v>
      </c>
      <c r="V12" s="2">
        <f t="shared" si="5"/>
        <v>64723.745999999999</v>
      </c>
      <c r="Y12" s="4">
        <f t="shared" si="3"/>
        <v>15115876288627.654</v>
      </c>
    </row>
    <row r="13" spans="1:27" x14ac:dyDescent="0.3">
      <c r="A13" s="6">
        <v>44593</v>
      </c>
      <c r="B13" s="2">
        <v>282.38139175000003</v>
      </c>
      <c r="C13" s="2">
        <v>221.89642857142857</v>
      </c>
      <c r="D13" s="2">
        <v>60.484963178571427</v>
      </c>
      <c r="E13" s="2">
        <v>2107.3571428571427</v>
      </c>
      <c r="F13" s="2">
        <v>6213.1</v>
      </c>
      <c r="G13" s="13">
        <v>8.3131338400000007E-4</v>
      </c>
      <c r="H13" s="2">
        <v>59006</v>
      </c>
      <c r="I13" s="2">
        <v>1693.5789689999999</v>
      </c>
      <c r="J13" s="4">
        <v>1</v>
      </c>
      <c r="K13" s="4">
        <v>1</v>
      </c>
      <c r="L13" s="7">
        <v>1.0555778789000001E-2</v>
      </c>
      <c r="M13" s="8">
        <v>0.432973</v>
      </c>
      <c r="N13" s="2">
        <v>21.419599501131582</v>
      </c>
      <c r="O13" s="2">
        <v>59.734422236886573</v>
      </c>
      <c r="P13" s="68"/>
      <c r="Q13" s="14">
        <f t="shared" si="0"/>
        <v>337</v>
      </c>
      <c r="R13" s="16">
        <f t="shared" si="1"/>
        <v>0.27258195892549614</v>
      </c>
      <c r="S13" s="4">
        <f t="shared" si="2"/>
        <v>5.9762191852694574E-3</v>
      </c>
      <c r="T13" s="71"/>
      <c r="U13" s="4">
        <f t="shared" si="4"/>
        <v>10.199999999999999</v>
      </c>
      <c r="V13" s="2">
        <f t="shared" si="5"/>
        <v>72673.95</v>
      </c>
      <c r="Y13" s="4">
        <f t="shared" si="3"/>
        <v>5724902972831.0039</v>
      </c>
    </row>
    <row r="14" spans="1:27" x14ac:dyDescent="0.3">
      <c r="A14" s="6">
        <v>44621</v>
      </c>
      <c r="B14" s="2">
        <v>270.89808835483871</v>
      </c>
      <c r="C14" s="2">
        <v>179.06822580645161</v>
      </c>
      <c r="D14" s="2">
        <v>91.829862548387098</v>
      </c>
      <c r="E14" s="2">
        <v>1858.741935483871</v>
      </c>
      <c r="F14" s="2">
        <v>5551.1149999999998</v>
      </c>
      <c r="G14" s="13">
        <v>7.4273972899999998E-4</v>
      </c>
      <c r="H14" s="2">
        <v>57621</v>
      </c>
      <c r="I14" s="2">
        <v>2846.725739</v>
      </c>
      <c r="J14" s="4">
        <v>1</v>
      </c>
      <c r="K14" s="4">
        <v>1</v>
      </c>
      <c r="L14" s="3">
        <v>1.1298518518000001E-2</v>
      </c>
      <c r="M14" s="3">
        <v>0.49059399999999997</v>
      </c>
      <c r="N14" s="2">
        <v>33.898305855928669</v>
      </c>
      <c r="O14" s="2">
        <v>65.288607027597166</v>
      </c>
      <c r="P14" s="68"/>
      <c r="Q14" s="14">
        <f t="shared" si="0"/>
        <v>365</v>
      </c>
      <c r="R14" s="16">
        <f t="shared" si="1"/>
        <v>0.51282053047000464</v>
      </c>
      <c r="S14" s="4">
        <f t="shared" si="2"/>
        <v>3.3793533660297784E-3</v>
      </c>
      <c r="T14" s="71"/>
      <c r="U14" s="4">
        <f t="shared" si="4"/>
        <v>11.233333333333333</v>
      </c>
      <c r="V14" s="2">
        <f t="shared" si="5"/>
        <v>78887.05</v>
      </c>
      <c r="Y14" s="4">
        <f t="shared" si="3"/>
        <v>2168217933417.9246</v>
      </c>
    </row>
    <row r="15" spans="1:27" x14ac:dyDescent="0.3">
      <c r="A15" s="6">
        <v>44652</v>
      </c>
      <c r="B15" s="2">
        <v>193.58448603333332</v>
      </c>
      <c r="C15" s="2">
        <v>131.51443333333333</v>
      </c>
      <c r="D15" s="2">
        <v>62.070052699999998</v>
      </c>
      <c r="E15" s="2">
        <v>1031.5</v>
      </c>
      <c r="F15" s="2">
        <v>3945.433</v>
      </c>
      <c r="G15" s="13">
        <v>5.2789931999999999E-4</v>
      </c>
      <c r="H15" s="2">
        <v>30945</v>
      </c>
      <c r="I15" s="2">
        <v>1862.1015809999999</v>
      </c>
      <c r="J15" s="4">
        <v>1</v>
      </c>
      <c r="K15" s="4">
        <v>1</v>
      </c>
      <c r="L15" s="3">
        <v>1.1826417838000002E-2</v>
      </c>
      <c r="M15" s="3">
        <v>0.52153899999999997</v>
      </c>
      <c r="N15" s="2">
        <v>32.06354701859329</v>
      </c>
      <c r="O15" s="2">
        <v>49.332446147228964</v>
      </c>
      <c r="P15" s="68"/>
      <c r="Q15" s="14">
        <f t="shared" si="0"/>
        <v>396</v>
      </c>
      <c r="R15" s="16">
        <f t="shared" si="1"/>
        <v>0.47196380752125305</v>
      </c>
      <c r="S15" s="4">
        <f t="shared" si="2"/>
        <v>1.5775723349349474E-4</v>
      </c>
      <c r="T15" s="71"/>
      <c r="U15" s="4">
        <f t="shared" si="4"/>
        <v>12.166666666666666</v>
      </c>
      <c r="V15" s="2">
        <f t="shared" si="5"/>
        <v>84438.165000000008</v>
      </c>
      <c r="Y15" s="4">
        <f t="shared" si="3"/>
        <v>902077900299.34692</v>
      </c>
    </row>
    <row r="16" spans="1:27" x14ac:dyDescent="0.3">
      <c r="A16" s="6">
        <v>44682</v>
      </c>
      <c r="B16" s="2">
        <v>242.81538406451617</v>
      </c>
      <c r="C16" s="2">
        <v>159.49054838709679</v>
      </c>
      <c r="D16" s="2">
        <v>83.324835677419358</v>
      </c>
      <c r="E16" s="2">
        <v>1244.9677419354839</v>
      </c>
      <c r="F16" s="2">
        <v>4944.2070000000003</v>
      </c>
      <c r="G16" s="13">
        <v>6.6153537999999999E-4</v>
      </c>
      <c r="H16" s="2">
        <v>38594</v>
      </c>
      <c r="I16" s="2">
        <v>2583.0699060000002</v>
      </c>
      <c r="J16" s="4">
        <v>1</v>
      </c>
      <c r="K16" s="4">
        <v>1</v>
      </c>
      <c r="L16" s="3">
        <v>1.2487953218000001E-2</v>
      </c>
      <c r="M16" s="3">
        <v>0.56013299999999999</v>
      </c>
      <c r="N16" s="2">
        <v>34.316127043779041</v>
      </c>
      <c r="O16" s="2">
        <v>49.097568366373004</v>
      </c>
      <c r="P16" s="68"/>
      <c r="Q16" s="14">
        <f t="shared" si="0"/>
        <v>426</v>
      </c>
      <c r="R16" s="16">
        <f t="shared" si="1"/>
        <v>0.52244372171310782</v>
      </c>
      <c r="S16" s="4">
        <f t="shared" si="2"/>
        <v>6.2532354011692385E-4</v>
      </c>
      <c r="T16" s="71"/>
      <c r="U16" s="4">
        <f t="shared" si="4"/>
        <v>13.2</v>
      </c>
      <c r="V16" s="2">
        <f t="shared" si="5"/>
        <v>88383.598000000013</v>
      </c>
      <c r="Y16" s="4">
        <f t="shared" si="3"/>
        <v>341647970288.97485</v>
      </c>
    </row>
    <row r="17" spans="1:25" x14ac:dyDescent="0.3">
      <c r="A17" s="6">
        <v>44713</v>
      </c>
      <c r="B17" s="2">
        <v>187.93159879999999</v>
      </c>
      <c r="C17" s="2">
        <v>124.44906666666667</v>
      </c>
      <c r="D17" s="2">
        <v>63.482532133333329</v>
      </c>
      <c r="E17" s="2">
        <v>960.8</v>
      </c>
      <c r="F17" s="2">
        <v>3733.4720000000002</v>
      </c>
      <c r="G17" s="13">
        <v>4.9953891900000001E-4</v>
      </c>
      <c r="H17" s="2">
        <v>28824</v>
      </c>
      <c r="I17" s="2">
        <v>1904.475964</v>
      </c>
      <c r="J17" s="4">
        <v>1</v>
      </c>
      <c r="K17" s="4">
        <v>1</v>
      </c>
      <c r="L17" s="3">
        <v>1.2987492137000001E-2</v>
      </c>
      <c r="M17" s="3">
        <v>0.58895699999999995</v>
      </c>
      <c r="N17" s="2">
        <v>33.779594564558849</v>
      </c>
      <c r="O17" s="2">
        <v>48.559945059183512</v>
      </c>
      <c r="P17" s="68"/>
      <c r="Q17" s="14">
        <f t="shared" si="0"/>
        <v>457</v>
      </c>
      <c r="R17" s="16">
        <f t="shared" si="1"/>
        <v>0.51010854346838541</v>
      </c>
      <c r="S17" s="4">
        <f t="shared" si="2"/>
        <v>-6.3231039954798948E-3</v>
      </c>
      <c r="T17" s="71"/>
      <c r="U17" s="4">
        <f t="shared" si="4"/>
        <v>14.2</v>
      </c>
      <c r="V17" s="2">
        <f t="shared" si="5"/>
        <v>93327.805000000008</v>
      </c>
      <c r="Y17" s="4">
        <f t="shared" si="3"/>
        <v>133510600649.45021</v>
      </c>
    </row>
    <row r="18" spans="1:25" x14ac:dyDescent="0.3">
      <c r="A18" s="6">
        <v>44743</v>
      </c>
      <c r="B18" s="2">
        <v>49.457846032258061</v>
      </c>
      <c r="C18" s="2">
        <v>43.508709677419354</v>
      </c>
      <c r="D18" s="2">
        <v>5.9491363548387097</v>
      </c>
      <c r="E18" s="2">
        <v>286.51612903225805</v>
      </c>
      <c r="F18" s="2">
        <v>1348.77</v>
      </c>
      <c r="G18" s="13">
        <v>1.8046555599999999E-4</v>
      </c>
      <c r="H18" s="2">
        <v>8882</v>
      </c>
      <c r="I18" s="2">
        <v>184.423227</v>
      </c>
      <c r="J18" s="4">
        <v>1</v>
      </c>
      <c r="K18" s="4">
        <v>1</v>
      </c>
      <c r="L18" s="3">
        <v>1.3167957693000002E-2</v>
      </c>
      <c r="M18" s="3">
        <v>0.5978389999999999</v>
      </c>
      <c r="N18" s="2">
        <v>12.028700867721744</v>
      </c>
      <c r="O18" s="2">
        <v>41.419963077470584</v>
      </c>
      <c r="P18" s="68"/>
      <c r="Q18" s="14">
        <f t="shared" si="0"/>
        <v>487</v>
      </c>
      <c r="R18" s="16">
        <f t="shared" si="1"/>
        <v>0.13673437798883428</v>
      </c>
      <c r="S18" s="4">
        <f t="shared" si="2"/>
        <v>-5.7387001790897632E-3</v>
      </c>
      <c r="T18" s="71"/>
      <c r="U18" s="4">
        <f t="shared" si="4"/>
        <v>15.233333333333333</v>
      </c>
      <c r="V18" s="2">
        <f t="shared" si="5"/>
        <v>97061.277000000002</v>
      </c>
      <c r="Y18" s="4">
        <f t="shared" si="3"/>
        <v>50565062849.682999</v>
      </c>
    </row>
    <row r="19" spans="1:25" x14ac:dyDescent="0.3">
      <c r="A19" s="6">
        <v>44774</v>
      </c>
      <c r="B19" s="2">
        <v>54.552746161290301</v>
      </c>
      <c r="C19" s="2">
        <v>47.0262903225806</v>
      </c>
      <c r="D19" s="2">
        <v>7.5264558387096701</v>
      </c>
      <c r="E19" s="2">
        <v>305.51612903225799</v>
      </c>
      <c r="F19" s="2">
        <v>1457.8150000000001</v>
      </c>
      <c r="G19" s="13">
        <v>1.95055783999999E-4</v>
      </c>
      <c r="H19" s="2">
        <v>9471</v>
      </c>
      <c r="I19" s="2">
        <v>233.320131</v>
      </c>
      <c r="J19" s="4">
        <v>1</v>
      </c>
      <c r="K19" s="4">
        <v>1</v>
      </c>
      <c r="L19" s="3">
        <v>1.3363013477000002E-2</v>
      </c>
      <c r="M19" s="3">
        <v>0.60730999999999991</v>
      </c>
      <c r="N19" s="2">
        <v>13.796658038913389</v>
      </c>
      <c r="O19" s="2">
        <v>40.863000998069026</v>
      </c>
      <c r="P19" s="68"/>
      <c r="Q19" s="14">
        <f t="shared" si="0"/>
        <v>518</v>
      </c>
      <c r="R19" s="16">
        <f t="shared" si="1"/>
        <v>0.16004783254390989</v>
      </c>
      <c r="S19" s="4">
        <f t="shared" si="2"/>
        <v>4.7609632029371053E-2</v>
      </c>
      <c r="T19" s="71"/>
      <c r="U19" s="4">
        <f t="shared" si="4"/>
        <v>16.233333333333334</v>
      </c>
      <c r="V19" s="2">
        <f t="shared" si="5"/>
        <v>98410.047000000006</v>
      </c>
      <c r="Y19" s="4">
        <f t="shared" si="3"/>
        <v>19760023474.537888</v>
      </c>
    </row>
    <row r="20" spans="1:25" x14ac:dyDescent="0.3">
      <c r="A20" s="6">
        <v>44805</v>
      </c>
      <c r="B20" s="2">
        <v>263.79028479999999</v>
      </c>
      <c r="C20" s="2">
        <v>64.519566666666606</v>
      </c>
      <c r="D20" s="2">
        <v>199.27071813333299</v>
      </c>
      <c r="E20" s="2">
        <v>425.53333333333302</v>
      </c>
      <c r="F20" s="2">
        <v>1935.587</v>
      </c>
      <c r="G20" s="13">
        <v>2.5898173099999999E-4</v>
      </c>
      <c r="H20" s="2">
        <v>12766</v>
      </c>
      <c r="I20" s="2">
        <v>5978.1215439999996</v>
      </c>
      <c r="J20" s="4">
        <v>1</v>
      </c>
      <c r="K20" s="4">
        <v>1</v>
      </c>
      <c r="L20" s="3">
        <v>1.3621995208000002E-2</v>
      </c>
      <c r="M20" s="3">
        <v>0.62007599999999985</v>
      </c>
      <c r="N20" s="2">
        <v>75.541340836117612</v>
      </c>
      <c r="O20" s="2">
        <v>41.483842782577071</v>
      </c>
      <c r="P20" s="68"/>
      <c r="Q20" s="14">
        <f t="shared" si="0"/>
        <v>549</v>
      </c>
      <c r="R20" s="16">
        <f t="shared" si="1"/>
        <v>3.0885315638098394</v>
      </c>
      <c r="S20" s="4">
        <f t="shared" si="2"/>
        <v>6.1099410645468054E-2</v>
      </c>
      <c r="T20" s="71"/>
      <c r="U20" s="4">
        <f t="shared" si="4"/>
        <v>17.266666666666666</v>
      </c>
      <c r="V20" s="2">
        <f t="shared" si="5"/>
        <v>99867.862000000008</v>
      </c>
      <c r="Y20" s="4">
        <f t="shared" si="3"/>
        <v>7483801466.2571001</v>
      </c>
    </row>
    <row r="21" spans="1:25" x14ac:dyDescent="0.3">
      <c r="A21" s="6">
        <v>44835</v>
      </c>
      <c r="B21" s="2">
        <v>344.555576064516</v>
      </c>
      <c r="C21" s="2">
        <v>70.502903225806406</v>
      </c>
      <c r="D21" s="2">
        <v>274.05267283870899</v>
      </c>
      <c r="E21" s="2">
        <v>478.806451612903</v>
      </c>
      <c r="F21" s="2">
        <v>2185.59</v>
      </c>
      <c r="G21" s="13">
        <v>2.9243215899999998E-4</v>
      </c>
      <c r="H21" s="2">
        <v>14843</v>
      </c>
      <c r="I21" s="2">
        <v>8495.6328580000009</v>
      </c>
      <c r="J21" s="4">
        <v>1</v>
      </c>
      <c r="K21" s="4">
        <v>1</v>
      </c>
      <c r="L21" s="3">
        <v>1.3914427367000002E-2</v>
      </c>
      <c r="M21" s="3">
        <v>0.6349189999999999</v>
      </c>
      <c r="N21" s="2">
        <v>79.538017050519244</v>
      </c>
      <c r="O21" s="2">
        <v>42.715926317378823</v>
      </c>
      <c r="P21" s="68"/>
      <c r="Q21" s="14">
        <f t="shared" si="0"/>
        <v>579</v>
      </c>
      <c r="R21" s="16">
        <f t="shared" si="1"/>
        <v>3.8871118819174613</v>
      </c>
      <c r="S21" s="4">
        <f t="shared" si="2"/>
        <v>-2.5613451807149329E-2</v>
      </c>
      <c r="T21" s="71"/>
      <c r="U21" s="4">
        <f t="shared" si="4"/>
        <v>18.3</v>
      </c>
      <c r="V21" s="2">
        <f t="shared" si="5"/>
        <v>101803.44900000001</v>
      </c>
      <c r="Y21" s="4">
        <f t="shared" si="3"/>
        <v>2834373373.0134864</v>
      </c>
    </row>
    <row r="22" spans="1:25" x14ac:dyDescent="0.3">
      <c r="A22" s="6">
        <v>44866</v>
      </c>
      <c r="B22" s="2">
        <v>251.52276753333334</v>
      </c>
      <c r="C22" s="2">
        <v>99.569166666666661</v>
      </c>
      <c r="D22" s="2">
        <v>151.95360086666668</v>
      </c>
      <c r="E22" s="2">
        <v>462.73333333333335</v>
      </c>
      <c r="F22" s="2">
        <v>2987.0749999999998</v>
      </c>
      <c r="G22" s="13">
        <v>3.9967092600000001E-4</v>
      </c>
      <c r="H22" s="2">
        <v>13882</v>
      </c>
      <c r="I22" s="2">
        <v>4558.6080259999999</v>
      </c>
      <c r="J22" s="4">
        <v>1</v>
      </c>
      <c r="K22" s="4">
        <v>1</v>
      </c>
      <c r="L22" s="3">
        <v>1.4314098293000002E-2</v>
      </c>
      <c r="M22" s="3">
        <v>0.64880099999999985</v>
      </c>
      <c r="N22" s="2">
        <v>60.413457738583787</v>
      </c>
      <c r="O22" s="2">
        <v>29.230937823790832</v>
      </c>
      <c r="P22" s="68"/>
      <c r="Q22" s="14">
        <f t="shared" si="0"/>
        <v>610</v>
      </c>
      <c r="R22" s="16">
        <f t="shared" si="1"/>
        <v>1.5261110035737304</v>
      </c>
      <c r="S22" s="4">
        <f t="shared" si="2"/>
        <v>-5.6741670441968289E-2</v>
      </c>
      <c r="T22" s="71"/>
      <c r="U22" s="4">
        <f t="shared" si="4"/>
        <v>19.3</v>
      </c>
      <c r="V22" s="2">
        <f t="shared" si="5"/>
        <v>103989.039</v>
      </c>
      <c r="Y22" s="4">
        <f t="shared" si="3"/>
        <v>1107628097.9388309</v>
      </c>
    </row>
    <row r="23" spans="1:25" x14ac:dyDescent="0.3">
      <c r="A23" s="6">
        <v>44896</v>
      </c>
      <c r="B23" s="2">
        <v>225.56669816129033</v>
      </c>
      <c r="C23" s="2">
        <v>158.19583870967742</v>
      </c>
      <c r="D23" s="2">
        <v>67.370859451612901</v>
      </c>
      <c r="E23" s="2">
        <v>442.90322580645159</v>
      </c>
      <c r="F23" s="2">
        <v>4904.0709999999999</v>
      </c>
      <c r="G23" s="13">
        <v>6.5616517599999995E-4</v>
      </c>
      <c r="H23" s="2">
        <v>13730</v>
      </c>
      <c r="I23" s="2">
        <v>2088.4966429999999</v>
      </c>
      <c r="J23" s="4">
        <v>1</v>
      </c>
      <c r="K23" s="4">
        <v>1</v>
      </c>
      <c r="L23" s="8">
        <v>1.4970263469000001E-2</v>
      </c>
      <c r="M23" s="3">
        <v>0.66253099999999987</v>
      </c>
      <c r="N23" s="2">
        <v>29.867378474210632</v>
      </c>
      <c r="O23" s="2">
        <v>17.609645945174936</v>
      </c>
      <c r="P23" s="68"/>
      <c r="Q23" s="14">
        <f t="shared" si="0"/>
        <v>640</v>
      </c>
      <c r="R23" s="16">
        <f t="shared" si="1"/>
        <v>0.42586998495739559</v>
      </c>
      <c r="S23" s="4">
        <f t="shared" si="2"/>
        <v>-1.8865377505814181E-2</v>
      </c>
      <c r="T23" s="71"/>
      <c r="U23" s="4">
        <f t="shared" si="4"/>
        <v>20.333333333333332</v>
      </c>
      <c r="V23" s="2">
        <f t="shared" si="5"/>
        <v>106976.114</v>
      </c>
      <c r="Y23" s="4">
        <f t="shared" si="3"/>
        <v>419496909.71285778</v>
      </c>
    </row>
    <row r="24" spans="1:25" x14ac:dyDescent="0.3">
      <c r="A24" s="6">
        <v>44927</v>
      </c>
      <c r="B24" s="2">
        <v>224.89285735483799</v>
      </c>
      <c r="C24" s="2">
        <v>163.52003225806399</v>
      </c>
      <c r="D24" s="2">
        <v>61.3728250967741</v>
      </c>
      <c r="E24" s="2">
        <v>658.48387096774195</v>
      </c>
      <c r="F24" s="2">
        <v>5069.1210000000001</v>
      </c>
      <c r="G24" s="13">
        <v>6.7824888299999897E-4</v>
      </c>
      <c r="H24" s="2">
        <v>20413</v>
      </c>
      <c r="I24" s="2">
        <v>1902.5575779999999</v>
      </c>
      <c r="J24" s="4">
        <v>1</v>
      </c>
      <c r="K24" s="4">
        <v>1</v>
      </c>
      <c r="L24" s="3">
        <v>1.5648512352000002E-2</v>
      </c>
      <c r="M24" s="3">
        <v>0.68294399999999988</v>
      </c>
      <c r="N24" s="2">
        <v>27.289806274255916</v>
      </c>
      <c r="O24" s="2">
        <v>25.328589986311236</v>
      </c>
      <c r="P24" s="68"/>
      <c r="Q24" s="14">
        <f t="shared" si="0"/>
        <v>671</v>
      </c>
      <c r="R24" s="16">
        <f t="shared" si="1"/>
        <v>0.37532297571906514</v>
      </c>
      <c r="S24" s="4">
        <f t="shared" si="2"/>
        <v>-1.943315690685824E-3</v>
      </c>
      <c r="T24" s="71"/>
      <c r="U24" s="4">
        <f t="shared" si="4"/>
        <v>21.333333333333332</v>
      </c>
      <c r="V24" s="2">
        <f t="shared" si="5"/>
        <v>111880.185</v>
      </c>
      <c r="Y24" s="4">
        <f t="shared" si="3"/>
        <v>163932729.75975677</v>
      </c>
    </row>
    <row r="25" spans="1:25" x14ac:dyDescent="0.3">
      <c r="A25" s="6">
        <v>44958</v>
      </c>
      <c r="B25" s="2">
        <v>217.99663267857099</v>
      </c>
      <c r="C25" s="2">
        <v>166.99803571428501</v>
      </c>
      <c r="D25" s="2">
        <v>50.998596964285703</v>
      </c>
      <c r="E25" s="2">
        <v>1060.9642857142801</v>
      </c>
      <c r="F25" s="2">
        <v>4675.9449999999997</v>
      </c>
      <c r="G25" s="13">
        <v>6.2564189900000001E-4</v>
      </c>
      <c r="H25" s="2">
        <v>29707</v>
      </c>
      <c r="I25" s="2">
        <v>1427.9607149999999</v>
      </c>
      <c r="J25" s="4">
        <v>1</v>
      </c>
      <c r="K25" s="4">
        <v>1</v>
      </c>
      <c r="L25" s="3">
        <v>1.6274154251000001E-2</v>
      </c>
      <c r="M25" s="3">
        <v>0.71265099999999992</v>
      </c>
      <c r="N25" s="2">
        <v>23.394213175522484</v>
      </c>
      <c r="O25" s="2">
        <v>39.960069804071694</v>
      </c>
      <c r="P25" s="68"/>
      <c r="Q25" s="14">
        <f t="shared" si="0"/>
        <v>702</v>
      </c>
      <c r="R25" s="16">
        <f t="shared" si="1"/>
        <v>0.30538441213487449</v>
      </c>
      <c r="S25" s="4">
        <f t="shared" si="2"/>
        <v>-9.006377818210823E-4</v>
      </c>
      <c r="T25" s="71"/>
      <c r="U25" s="4">
        <f t="shared" si="4"/>
        <v>22.366666666666667</v>
      </c>
      <c r="V25" s="2">
        <f t="shared" si="5"/>
        <v>116949.306</v>
      </c>
      <c r="Y25" s="4">
        <f t="shared" si="3"/>
        <v>62086970.945376433</v>
      </c>
    </row>
    <row r="26" spans="1:25" x14ac:dyDescent="0.3">
      <c r="A26" s="6">
        <v>44986</v>
      </c>
      <c r="B26" s="2">
        <v>225.94083258064501</v>
      </c>
      <c r="C26" s="2">
        <v>170.88438709677399</v>
      </c>
      <c r="D26" s="2">
        <v>55.056445483870903</v>
      </c>
      <c r="E26" s="2">
        <v>1040.19354838709</v>
      </c>
      <c r="F26" s="2">
        <v>5297.4160000000002</v>
      </c>
      <c r="G26" s="13">
        <v>7.0879476999999996E-4</v>
      </c>
      <c r="H26" s="2">
        <v>32246</v>
      </c>
      <c r="I26" s="2">
        <v>1706.74981</v>
      </c>
      <c r="J26" s="4">
        <v>1</v>
      </c>
      <c r="K26" s="4">
        <v>1</v>
      </c>
      <c r="L26" s="3">
        <v>1.6982949021000001E-2</v>
      </c>
      <c r="M26" s="3">
        <v>0.74489699999999992</v>
      </c>
      <c r="N26" s="2">
        <v>24.367638578219207</v>
      </c>
      <c r="O26" s="2">
        <v>38.286759204865163</v>
      </c>
      <c r="P26" s="68"/>
      <c r="Q26" s="14">
        <f t="shared" si="0"/>
        <v>730</v>
      </c>
      <c r="R26" s="16">
        <f t="shared" si="1"/>
        <v>0.32218534659162129</v>
      </c>
      <c r="S26" s="4">
        <f t="shared" si="2"/>
        <v>-1.3250083890819766E-3</v>
      </c>
      <c r="T26" s="71"/>
      <c r="U26" s="4">
        <f t="shared" si="4"/>
        <v>23.4</v>
      </c>
      <c r="V26" s="2">
        <f t="shared" si="5"/>
        <v>121625.25099999999</v>
      </c>
      <c r="Y26" s="4">
        <f t="shared" si="3"/>
        <v>23514474.301875152</v>
      </c>
    </row>
    <row r="27" spans="1:25" x14ac:dyDescent="0.3">
      <c r="A27" s="6">
        <v>45017</v>
      </c>
      <c r="B27" s="2">
        <v>212.237600833333</v>
      </c>
      <c r="C27" s="2">
        <v>172.94333333333299</v>
      </c>
      <c r="D27" s="2">
        <v>39.294267499999997</v>
      </c>
      <c r="E27" s="2">
        <v>1076.8</v>
      </c>
      <c r="F27" s="2">
        <v>5188.3</v>
      </c>
      <c r="G27" s="13">
        <v>6.9419504900000001E-4</v>
      </c>
      <c r="H27" s="2">
        <v>32304</v>
      </c>
      <c r="I27" s="2">
        <v>1178.828025</v>
      </c>
      <c r="J27" s="4">
        <v>1</v>
      </c>
      <c r="K27" s="4">
        <v>1</v>
      </c>
      <c r="L27" s="3">
        <v>1.7677144070000001E-2</v>
      </c>
      <c r="M27" s="3">
        <v>0.77720099999999992</v>
      </c>
      <c r="N27" s="2">
        <v>18.51428179818954</v>
      </c>
      <c r="O27" s="2">
        <v>39.162288071237199</v>
      </c>
      <c r="P27" s="68"/>
      <c r="Q27" s="14">
        <f t="shared" si="0"/>
        <v>761</v>
      </c>
      <c r="R27" s="16">
        <f t="shared" si="1"/>
        <v>0.22720891717903788</v>
      </c>
      <c r="S27" s="4">
        <f t="shared" si="2"/>
        <v>-2.0243449431788952E-3</v>
      </c>
      <c r="T27" s="71"/>
      <c r="U27" s="4">
        <f t="shared" si="4"/>
        <v>24.333333333333332</v>
      </c>
      <c r="V27" s="2">
        <f t="shared" si="5"/>
        <v>126922.66699999999</v>
      </c>
      <c r="Y27" s="4">
        <f t="shared" si="3"/>
        <v>9783097.5742556453</v>
      </c>
    </row>
    <row r="28" spans="1:25" x14ac:dyDescent="0.3">
      <c r="A28" s="6">
        <v>45047</v>
      </c>
      <c r="B28" s="2">
        <v>195.27957067741937</v>
      </c>
      <c r="C28" s="2">
        <v>162.90941935483872</v>
      </c>
      <c r="D28" s="2">
        <v>32.370151322580647</v>
      </c>
      <c r="E28" s="2">
        <v>1014.0967741935484</v>
      </c>
      <c r="F28" s="2">
        <v>5050.192</v>
      </c>
      <c r="G28" s="13">
        <v>6.7571618199999996E-4</v>
      </c>
      <c r="H28" s="2">
        <v>31437</v>
      </c>
      <c r="I28" s="2">
        <v>1003.474691</v>
      </c>
      <c r="J28" s="4">
        <v>1</v>
      </c>
      <c r="K28" s="4">
        <v>1</v>
      </c>
      <c r="L28" s="3">
        <v>1.8352860252000003E-2</v>
      </c>
      <c r="M28" s="3">
        <v>0.80863799999999997</v>
      </c>
      <c r="N28" s="2">
        <v>16.576312212429336</v>
      </c>
      <c r="O28" s="2">
        <v>39.153450522277168</v>
      </c>
      <c r="P28" s="68"/>
      <c r="Q28" s="14">
        <f t="shared" si="0"/>
        <v>791</v>
      </c>
      <c r="R28" s="16">
        <f t="shared" si="1"/>
        <v>0.19870030505770869</v>
      </c>
      <c r="S28" s="4">
        <f t="shared" si="2"/>
        <v>-2.31753877901616E-5</v>
      </c>
      <c r="T28" s="71"/>
      <c r="U28" s="4">
        <f t="shared" si="4"/>
        <v>25.366666666666667</v>
      </c>
      <c r="V28" s="2">
        <f t="shared" si="5"/>
        <v>132110.96699999998</v>
      </c>
      <c r="Y28" s="4">
        <f t="shared" si="3"/>
        <v>3705196.0016693501</v>
      </c>
    </row>
    <row r="29" spans="1:25" x14ac:dyDescent="0.3">
      <c r="A29" s="6">
        <v>45078</v>
      </c>
      <c r="B29" s="2">
        <v>210.49310546666666</v>
      </c>
      <c r="C29" s="2">
        <v>171.71963333333332</v>
      </c>
      <c r="D29" s="2">
        <v>38.773472133333335</v>
      </c>
      <c r="E29" s="2">
        <v>1011.5</v>
      </c>
      <c r="F29" s="2">
        <v>5151.5889999999999</v>
      </c>
      <c r="G29" s="13">
        <v>6.8928310899999995E-4</v>
      </c>
      <c r="H29" s="2">
        <v>30345</v>
      </c>
      <c r="I29" s="2">
        <v>1163.204164</v>
      </c>
      <c r="J29" s="4">
        <v>1</v>
      </c>
      <c r="K29" s="4">
        <v>1</v>
      </c>
      <c r="L29" s="3">
        <v>1.9042143361000002E-2</v>
      </c>
      <c r="M29" s="3">
        <v>0.83898299999999992</v>
      </c>
      <c r="N29" s="2">
        <v>18.420305048648462</v>
      </c>
      <c r="O29" s="2">
        <v>37.04953578400761</v>
      </c>
      <c r="P29" s="68"/>
      <c r="Q29" s="14">
        <f t="shared" si="0"/>
        <v>822</v>
      </c>
      <c r="R29" s="16">
        <f t="shared" si="1"/>
        <v>0.22579521852383802</v>
      </c>
      <c r="S29" s="4">
        <f t="shared" si="2"/>
        <v>8.0344394149356492E-3</v>
      </c>
      <c r="T29" s="71"/>
      <c r="U29" s="4">
        <f t="shared" si="4"/>
        <v>26.366666666666667</v>
      </c>
      <c r="V29" s="2">
        <f t="shared" si="5"/>
        <v>137161.15899999999</v>
      </c>
      <c r="Y29" s="4">
        <f t="shared" si="3"/>
        <v>1447931.7505922874</v>
      </c>
    </row>
    <row r="30" spans="1:25" x14ac:dyDescent="0.3">
      <c r="A30" s="6">
        <v>45108</v>
      </c>
      <c r="B30" s="2">
        <v>169.91905048387096</v>
      </c>
      <c r="C30" s="2">
        <v>100.6151935483871</v>
      </c>
      <c r="D30" s="2">
        <v>69.303856935483878</v>
      </c>
      <c r="E30" s="2">
        <v>558.74193548387098</v>
      </c>
      <c r="F30" s="2">
        <v>3119.0709999999999</v>
      </c>
      <c r="G30" s="13">
        <v>4.1733200200000001E-4</v>
      </c>
      <c r="H30" s="2">
        <v>17321</v>
      </c>
      <c r="I30" s="2">
        <v>2148.4195650000001</v>
      </c>
      <c r="J30" s="4">
        <v>1</v>
      </c>
      <c r="K30" s="4">
        <v>1</v>
      </c>
      <c r="L30" s="3">
        <v>1.9459475363000002E-2</v>
      </c>
      <c r="M30" s="3">
        <v>0.85630399999999995</v>
      </c>
      <c r="N30" s="2">
        <v>40.7863960739719</v>
      </c>
      <c r="O30" s="2">
        <v>34.928870102668391</v>
      </c>
      <c r="P30" s="68"/>
      <c r="Q30" s="14">
        <f t="shared" si="0"/>
        <v>852</v>
      </c>
      <c r="R30" s="16">
        <f t="shared" si="1"/>
        <v>0.68880110936878325</v>
      </c>
      <c r="S30" s="4">
        <f t="shared" si="2"/>
        <v>2.6697749657575529E-2</v>
      </c>
      <c r="T30" s="71"/>
      <c r="U30" s="4">
        <f t="shared" si="4"/>
        <v>27.4</v>
      </c>
      <c r="V30" s="2">
        <f t="shared" si="5"/>
        <v>142312.74799999999</v>
      </c>
      <c r="Y30" s="4">
        <f t="shared" si="3"/>
        <v>548381.62374076655</v>
      </c>
    </row>
    <row r="31" spans="1:25" x14ac:dyDescent="0.3">
      <c r="A31" s="6">
        <v>45139</v>
      </c>
      <c r="B31" s="2">
        <v>288.02313212903226</v>
      </c>
      <c r="C31" s="2">
        <v>100.90645161290323</v>
      </c>
      <c r="D31" s="2">
        <v>187.11668051612904</v>
      </c>
      <c r="E31" s="2">
        <v>516.16129032258061</v>
      </c>
      <c r="F31" s="2">
        <v>3128.1</v>
      </c>
      <c r="G31" s="13">
        <v>4.18540086E-4</v>
      </c>
      <c r="H31" s="2">
        <v>16001</v>
      </c>
      <c r="I31" s="2">
        <v>5800.6170959999999</v>
      </c>
      <c r="J31" s="4">
        <v>1</v>
      </c>
      <c r="K31" s="4">
        <v>1</v>
      </c>
      <c r="L31" s="3">
        <v>1.9878015449000003E-2</v>
      </c>
      <c r="M31" s="3">
        <v>0.872305</v>
      </c>
      <c r="N31" s="2">
        <v>64.965851573443118</v>
      </c>
      <c r="O31" s="2">
        <v>32.173872254723314</v>
      </c>
      <c r="P31" s="68"/>
      <c r="Q31" s="14">
        <f t="shared" si="0"/>
        <v>883</v>
      </c>
      <c r="R31" s="16">
        <f t="shared" si="1"/>
        <v>1.8543579476359453</v>
      </c>
      <c r="S31" s="4">
        <f t="shared" si="2"/>
        <v>1.1377947829466734E-2</v>
      </c>
      <c r="T31" s="71"/>
      <c r="U31" s="4">
        <f t="shared" si="4"/>
        <v>28.4</v>
      </c>
      <c r="V31" s="2">
        <f t="shared" si="5"/>
        <v>145431.81899999999</v>
      </c>
      <c r="Y31" s="4">
        <f t="shared" si="3"/>
        <v>214298.82902223509</v>
      </c>
    </row>
    <row r="32" spans="1:25" x14ac:dyDescent="0.3">
      <c r="A32" s="6">
        <v>45170</v>
      </c>
      <c r="B32" s="2">
        <v>335.59433530000001</v>
      </c>
      <c r="C32" s="2">
        <v>140.16773333333333</v>
      </c>
      <c r="D32" s="2">
        <v>195.42660196666665</v>
      </c>
      <c r="E32" s="2">
        <v>682.7</v>
      </c>
      <c r="F32" s="2">
        <v>4205.0320000000002</v>
      </c>
      <c r="G32" s="13">
        <v>5.6263369400000004E-4</v>
      </c>
      <c r="H32" s="2">
        <v>20481</v>
      </c>
      <c r="I32" s="2">
        <v>5862.7980589999997</v>
      </c>
      <c r="J32" s="4">
        <v>1</v>
      </c>
      <c r="K32" s="4">
        <v>1</v>
      </c>
      <c r="L32" s="3">
        <v>2.0440649143000002E-2</v>
      </c>
      <c r="M32" s="3">
        <v>0.89278599999999997</v>
      </c>
      <c r="N32" s="2">
        <v>58.232985903045034</v>
      </c>
      <c r="O32" s="2">
        <v>30.635056713004797</v>
      </c>
      <c r="P32" s="68"/>
      <c r="Q32" s="14">
        <f t="shared" si="0"/>
        <v>914</v>
      </c>
      <c r="R32" s="16">
        <f t="shared" si="1"/>
        <v>1.3942338747957208</v>
      </c>
      <c r="S32" s="4">
        <f t="shared" si="2"/>
        <v>-9.2836238070746063E-3</v>
      </c>
      <c r="T32" s="71"/>
      <c r="U32" s="4">
        <f t="shared" si="4"/>
        <v>29.433333333333334</v>
      </c>
      <c r="V32" s="2">
        <f t="shared" si="5"/>
        <v>148559.91899999999</v>
      </c>
      <c r="Y32" s="4">
        <f t="shared" si="3"/>
        <v>81162.347449654539</v>
      </c>
    </row>
    <row r="33" spans="1:25" x14ac:dyDescent="0.3">
      <c r="A33" s="6">
        <v>45200</v>
      </c>
      <c r="B33" s="2">
        <v>318.10308835483869</v>
      </c>
      <c r="C33" s="2">
        <v>139.02761290322579</v>
      </c>
      <c r="D33" s="2">
        <v>179.0754754516129</v>
      </c>
      <c r="E33" s="2">
        <v>809.87096774193549</v>
      </c>
      <c r="F33" s="2">
        <v>4309.8559999999998</v>
      </c>
      <c r="G33" s="13">
        <v>5.7665915199999992E-4</v>
      </c>
      <c r="H33" s="2">
        <v>25106</v>
      </c>
      <c r="I33" s="2">
        <v>5551.339739</v>
      </c>
      <c r="J33" s="4">
        <v>1</v>
      </c>
      <c r="K33" s="4">
        <v>1</v>
      </c>
      <c r="L33" s="3">
        <v>2.1017308295000002E-2</v>
      </c>
      <c r="M33" s="3">
        <v>0.91789199999999993</v>
      </c>
      <c r="N33" s="2">
        <v>56.294793105515907</v>
      </c>
      <c r="O33" s="2">
        <v>36.639673993748282</v>
      </c>
      <c r="P33" s="68"/>
      <c r="Q33" s="14">
        <f t="shared" si="0"/>
        <v>944</v>
      </c>
      <c r="R33" s="16">
        <f t="shared" si="1"/>
        <v>1.2880568954043943</v>
      </c>
      <c r="S33" s="4">
        <f t="shared" si="2"/>
        <v>-1.1887414236076812E-3</v>
      </c>
      <c r="T33" s="71"/>
      <c r="U33" s="4">
        <f t="shared" si="4"/>
        <v>30.466666666666665</v>
      </c>
      <c r="V33" s="2">
        <f t="shared" si="5"/>
        <v>152764.951</v>
      </c>
      <c r="Y33" s="4">
        <f t="shared" si="3"/>
        <v>30738.976379824304</v>
      </c>
    </row>
    <row r="34" spans="1:25" x14ac:dyDescent="0.3">
      <c r="A34" s="6">
        <v>45231</v>
      </c>
      <c r="B34" s="2">
        <v>305.80969163333333</v>
      </c>
      <c r="C34" s="2">
        <v>131.71683333333334</v>
      </c>
      <c r="D34" s="2">
        <v>174.09285829999999</v>
      </c>
      <c r="E34" s="2">
        <v>692.43333333333328</v>
      </c>
      <c r="F34" s="2">
        <v>3951.5050000000001</v>
      </c>
      <c r="G34" s="13">
        <v>5.2871175600000008E-4</v>
      </c>
      <c r="H34" s="2">
        <v>20773</v>
      </c>
      <c r="I34" s="2">
        <v>5222.7857489999997</v>
      </c>
      <c r="J34" s="4">
        <v>1</v>
      </c>
      <c r="K34" s="4">
        <v>1</v>
      </c>
      <c r="L34" s="3">
        <v>2.1546020051000002E-2</v>
      </c>
      <c r="M34" s="3">
        <v>0.93866499999999997</v>
      </c>
      <c r="N34" s="2">
        <v>56.928496075506274</v>
      </c>
      <c r="O34" s="2">
        <v>33.065380253852645</v>
      </c>
      <c r="P34" s="68"/>
      <c r="Q34" s="14">
        <f t="shared" si="0"/>
        <v>975</v>
      </c>
      <c r="R34" s="16">
        <f t="shared" si="1"/>
        <v>1.3217206479556523</v>
      </c>
      <c r="S34" s="4">
        <f t="shared" si="2"/>
        <v>5.4349925804641895E-2</v>
      </c>
      <c r="T34" s="71"/>
      <c r="U34" s="4">
        <f t="shared" si="4"/>
        <v>31.466666666666665</v>
      </c>
      <c r="V34" s="2">
        <f t="shared" si="5"/>
        <v>157074.807</v>
      </c>
      <c r="Y34" s="4">
        <f t="shared" si="3"/>
        <v>12012.303765037283</v>
      </c>
    </row>
    <row r="35" spans="1:25" x14ac:dyDescent="0.3">
      <c r="A35" s="6">
        <v>45261</v>
      </c>
      <c r="B35" s="2">
        <v>424.7820038064516</v>
      </c>
      <c r="C35" s="2">
        <v>75.807870967741934</v>
      </c>
      <c r="D35" s="2">
        <v>348.97413283870969</v>
      </c>
      <c r="E35" s="2">
        <v>124.61290322580645</v>
      </c>
      <c r="F35" s="2">
        <v>2350.0439999999999</v>
      </c>
      <c r="G35" s="13">
        <v>3.1443611800000004E-4</v>
      </c>
      <c r="H35" s="2">
        <v>3863</v>
      </c>
      <c r="I35" s="2">
        <v>10818.198118</v>
      </c>
      <c r="J35" s="4">
        <v>1</v>
      </c>
      <c r="K35" s="4">
        <v>1</v>
      </c>
      <c r="L35" s="3">
        <v>2.1860456169000002E-2</v>
      </c>
      <c r="M35" s="3">
        <v>0.94252799999999992</v>
      </c>
      <c r="N35" s="2">
        <v>82.153699947636397</v>
      </c>
      <c r="O35" s="2">
        <v>10.339167011341065</v>
      </c>
      <c r="P35" s="68"/>
      <c r="Q35" s="14">
        <f t="shared" si="0"/>
        <v>1005</v>
      </c>
      <c r="R35" s="16">
        <f t="shared" si="1"/>
        <v>4.6034023694875499</v>
      </c>
      <c r="S35" s="4">
        <f t="shared" si="2"/>
        <v>7.6780563411803962E-2</v>
      </c>
      <c r="T35" s="71"/>
      <c r="U35" s="17">
        <f t="shared" si="4"/>
        <v>32.5</v>
      </c>
      <c r="V35" s="2">
        <f t="shared" si="5"/>
        <v>161026.31200000001</v>
      </c>
      <c r="Y35" s="4">
        <f t="shared" si="3"/>
        <v>4549.4731646321543</v>
      </c>
    </row>
    <row r="36" spans="1:25" x14ac:dyDescent="0.3">
      <c r="A36" s="6">
        <v>45292</v>
      </c>
      <c r="B36" s="2">
        <v>132.76985477419356</v>
      </c>
      <c r="C36" s="31">
        <v>18.952677419354838</v>
      </c>
      <c r="D36" s="2">
        <v>113.81717735483872</v>
      </c>
      <c r="E36" s="2">
        <v>27.548387096774192</v>
      </c>
      <c r="F36" s="31">
        <v>587.53300000000002</v>
      </c>
      <c r="G36" s="13">
        <v>7.8611969999999997E-5</v>
      </c>
      <c r="H36" s="2">
        <v>854</v>
      </c>
      <c r="I36" s="2">
        <v>3528.3324980000002</v>
      </c>
      <c r="J36" s="4">
        <v>1</v>
      </c>
      <c r="K36" s="4">
        <v>1</v>
      </c>
      <c r="L36" s="3">
        <v>2.1939068139000002E-2</v>
      </c>
      <c r="M36" s="3">
        <v>0.94338199999999994</v>
      </c>
      <c r="N36" s="2">
        <v>85.725165210440025</v>
      </c>
      <c r="O36" s="2">
        <v>9.1424468072431662</v>
      </c>
      <c r="P36" s="69"/>
      <c r="Q36" s="14">
        <f t="shared" si="0"/>
        <v>1036</v>
      </c>
      <c r="R36" s="16">
        <f t="shared" si="1"/>
        <v>6.0053350160756933</v>
      </c>
      <c r="T36" s="72"/>
      <c r="U36" s="4">
        <f t="shared" si="4"/>
        <v>33.5</v>
      </c>
      <c r="V36" s="2">
        <f t="shared" si="5"/>
        <v>163376.356</v>
      </c>
      <c r="Y36" s="4">
        <f t="shared" si="3"/>
        <v>1777.8618568546904</v>
      </c>
    </row>
    <row r="37" spans="1:25" x14ac:dyDescent="0.3">
      <c r="A37" s="6">
        <v>45323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13">
        <v>0</v>
      </c>
      <c r="H37" s="2">
        <v>0</v>
      </c>
      <c r="I37" s="2">
        <v>0</v>
      </c>
      <c r="J37" s="4">
        <v>1</v>
      </c>
      <c r="K37" s="4">
        <v>1</v>
      </c>
      <c r="L37" s="3">
        <v>2.1939068139000002E-2</v>
      </c>
      <c r="M37" s="3">
        <v>0.94338199999999994</v>
      </c>
      <c r="N37" s="2">
        <v>0</v>
      </c>
      <c r="O37" s="2"/>
      <c r="U37" s="32">
        <f t="shared" si="4"/>
        <v>34.533333333333331</v>
      </c>
      <c r="V37" s="2">
        <f t="shared" si="5"/>
        <v>163963.889</v>
      </c>
      <c r="Y37" s="32">
        <f>83178618227202200*EXP(-0.9396*U37)</f>
        <v>673.33751846379744</v>
      </c>
    </row>
    <row r="38" spans="1:25" x14ac:dyDescent="0.3">
      <c r="A38" s="6">
        <v>45352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13">
        <v>0</v>
      </c>
      <c r="H38" s="2">
        <v>0</v>
      </c>
      <c r="I38" s="2">
        <v>0</v>
      </c>
      <c r="J38" s="4">
        <v>1</v>
      </c>
      <c r="K38" s="4">
        <v>1</v>
      </c>
      <c r="L38" s="3">
        <v>2.1939068139000002E-2</v>
      </c>
      <c r="M38" s="3">
        <v>0.94338199999999994</v>
      </c>
      <c r="N38" s="2">
        <v>0</v>
      </c>
      <c r="O38" s="2"/>
      <c r="U38" s="4">
        <v>35</v>
      </c>
      <c r="V38" s="2"/>
      <c r="Y38" s="4">
        <f t="shared" si="3"/>
        <v>434.31354068937867</v>
      </c>
    </row>
    <row r="39" spans="1:25" x14ac:dyDescent="0.3">
      <c r="A39" s="6">
        <v>45383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13">
        <v>0</v>
      </c>
      <c r="H39" s="2">
        <v>0</v>
      </c>
      <c r="I39" s="2">
        <v>0</v>
      </c>
      <c r="J39" s="4">
        <v>1</v>
      </c>
      <c r="K39" s="4">
        <v>1</v>
      </c>
      <c r="L39" s="3">
        <v>2.1939068139000002E-2</v>
      </c>
      <c r="M39" s="3">
        <v>0.94338199999999994</v>
      </c>
      <c r="N39" s="2">
        <v>0</v>
      </c>
      <c r="O39" s="2"/>
      <c r="U39" s="4">
        <f>U38+1</f>
        <v>36</v>
      </c>
      <c r="V39" s="2"/>
      <c r="Y39" s="4">
        <f t="shared" si="3"/>
        <v>169.72283382390026</v>
      </c>
    </row>
    <row r="40" spans="1:25" x14ac:dyDescent="0.3">
      <c r="A40" s="6">
        <v>45413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13">
        <v>0</v>
      </c>
      <c r="H40" s="2">
        <v>0</v>
      </c>
      <c r="I40" s="2">
        <v>0</v>
      </c>
      <c r="J40" s="4">
        <v>1</v>
      </c>
      <c r="K40" s="4">
        <v>1</v>
      </c>
      <c r="L40" s="3">
        <v>2.1939068139000002E-2</v>
      </c>
      <c r="M40" s="3">
        <v>0.94338199999999994</v>
      </c>
      <c r="N40" s="2">
        <v>0</v>
      </c>
      <c r="O40" s="2"/>
      <c r="U40" s="4">
        <f t="shared" ref="U40:U103" si="6">U39+1</f>
        <v>37</v>
      </c>
      <c r="V40" s="2"/>
    </row>
    <row r="41" spans="1:25" x14ac:dyDescent="0.3">
      <c r="A41" s="6">
        <v>45444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13">
        <v>0</v>
      </c>
      <c r="H41" s="2">
        <v>0</v>
      </c>
      <c r="I41" s="2">
        <v>0</v>
      </c>
      <c r="J41" s="4">
        <v>1</v>
      </c>
      <c r="K41" s="4">
        <v>1</v>
      </c>
      <c r="L41" s="3">
        <v>2.1939068139000002E-2</v>
      </c>
      <c r="M41" s="3">
        <v>0.94338199999999994</v>
      </c>
      <c r="N41" s="2">
        <v>0</v>
      </c>
      <c r="O41" s="2"/>
      <c r="U41" s="4">
        <f t="shared" si="6"/>
        <v>38</v>
      </c>
      <c r="V41" s="2"/>
    </row>
    <row r="42" spans="1:25" x14ac:dyDescent="0.3">
      <c r="A42" s="6">
        <v>45474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13">
        <v>0</v>
      </c>
      <c r="H42" s="2">
        <v>0</v>
      </c>
      <c r="I42" s="2">
        <v>0</v>
      </c>
      <c r="J42" s="4">
        <v>1</v>
      </c>
      <c r="K42" s="4">
        <v>1</v>
      </c>
      <c r="L42" s="3">
        <v>2.1939068139000002E-2</v>
      </c>
      <c r="M42" s="3">
        <v>0.94338199999999994</v>
      </c>
      <c r="N42" s="2">
        <v>0</v>
      </c>
      <c r="O42" s="2"/>
      <c r="U42" s="4">
        <f t="shared" si="6"/>
        <v>39</v>
      </c>
      <c r="V42" s="2"/>
    </row>
    <row r="43" spans="1:25" x14ac:dyDescent="0.3">
      <c r="A43" s="6">
        <v>45505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13">
        <v>0</v>
      </c>
      <c r="H43" s="2">
        <v>0</v>
      </c>
      <c r="I43" s="2">
        <v>0</v>
      </c>
      <c r="J43" s="4">
        <v>1</v>
      </c>
      <c r="K43" s="4">
        <v>1</v>
      </c>
      <c r="L43" s="3">
        <v>2.1939068139000002E-2</v>
      </c>
      <c r="M43" s="3">
        <v>0.94338199999999994</v>
      </c>
      <c r="N43" s="2">
        <v>0</v>
      </c>
      <c r="O43" s="2"/>
      <c r="U43" s="4">
        <f t="shared" si="6"/>
        <v>40</v>
      </c>
      <c r="V43" s="2"/>
    </row>
    <row r="44" spans="1:25" x14ac:dyDescent="0.3">
      <c r="A44" s="6">
        <v>45536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13">
        <v>0</v>
      </c>
      <c r="H44" s="2">
        <v>0</v>
      </c>
      <c r="I44" s="2">
        <v>0</v>
      </c>
      <c r="J44" s="4">
        <v>1</v>
      </c>
      <c r="K44" s="4">
        <v>1</v>
      </c>
      <c r="L44" s="3">
        <v>2.1939068139000002E-2</v>
      </c>
      <c r="M44" s="3">
        <v>0.94338199999999994</v>
      </c>
      <c r="N44" s="2">
        <v>0</v>
      </c>
      <c r="O44" s="2"/>
      <c r="U44" s="4">
        <f t="shared" si="6"/>
        <v>41</v>
      </c>
      <c r="V44" s="2"/>
    </row>
    <row r="45" spans="1:25" x14ac:dyDescent="0.3">
      <c r="A45" s="6">
        <v>45566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13">
        <v>0</v>
      </c>
      <c r="H45" s="2">
        <v>0</v>
      </c>
      <c r="I45" s="2">
        <v>0</v>
      </c>
      <c r="J45" s="4">
        <v>1</v>
      </c>
      <c r="K45" s="4">
        <v>1</v>
      </c>
      <c r="L45" s="3">
        <v>2.1939068139000002E-2</v>
      </c>
      <c r="M45" s="3">
        <v>0.94338199999999994</v>
      </c>
      <c r="N45" s="2">
        <v>0</v>
      </c>
      <c r="O45" s="2"/>
      <c r="U45" s="4">
        <f t="shared" si="6"/>
        <v>42</v>
      </c>
      <c r="V45" s="2"/>
    </row>
    <row r="46" spans="1:25" x14ac:dyDescent="0.3">
      <c r="A46" s="6">
        <v>45597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13">
        <v>0</v>
      </c>
      <c r="H46" s="2">
        <v>0</v>
      </c>
      <c r="I46" s="2">
        <v>0</v>
      </c>
      <c r="J46" s="4">
        <v>1</v>
      </c>
      <c r="K46" s="4">
        <v>1</v>
      </c>
      <c r="L46" s="3">
        <v>2.1939068139000002E-2</v>
      </c>
      <c r="M46" s="3">
        <v>0.94338199999999994</v>
      </c>
      <c r="N46" s="2">
        <v>0</v>
      </c>
      <c r="O46" s="2"/>
      <c r="U46" s="4">
        <f t="shared" si="6"/>
        <v>43</v>
      </c>
      <c r="V46" s="2"/>
    </row>
    <row r="47" spans="1:25" x14ac:dyDescent="0.3">
      <c r="A47" s="6">
        <v>45627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13">
        <v>0</v>
      </c>
      <c r="H47" s="2">
        <v>0</v>
      </c>
      <c r="I47" s="2">
        <v>0</v>
      </c>
      <c r="J47" s="4">
        <v>1</v>
      </c>
      <c r="K47" s="4">
        <v>1</v>
      </c>
      <c r="L47" s="3">
        <v>2.1939068139000002E-2</v>
      </c>
      <c r="M47" s="3">
        <v>0.94338199999999994</v>
      </c>
      <c r="N47" s="2">
        <v>0</v>
      </c>
      <c r="O47" s="2"/>
      <c r="U47" s="4">
        <f t="shared" si="6"/>
        <v>44</v>
      </c>
      <c r="V47" s="2"/>
    </row>
    <row r="48" spans="1:25" x14ac:dyDescent="0.3">
      <c r="A48" s="6">
        <v>45658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13">
        <v>0</v>
      </c>
      <c r="H48" s="2">
        <v>0</v>
      </c>
      <c r="I48" s="2">
        <v>0</v>
      </c>
      <c r="J48" s="4">
        <v>1</v>
      </c>
      <c r="K48" s="4">
        <v>1</v>
      </c>
      <c r="L48" s="3">
        <v>2.1939068139000002E-2</v>
      </c>
      <c r="M48" s="3">
        <v>0.94338199999999994</v>
      </c>
      <c r="N48" s="2">
        <v>0</v>
      </c>
      <c r="O48" s="2"/>
      <c r="U48" s="4">
        <f t="shared" si="6"/>
        <v>45</v>
      </c>
      <c r="V48" s="2"/>
    </row>
    <row r="49" spans="1:22" x14ac:dyDescent="0.3">
      <c r="A49" s="6">
        <v>45689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13">
        <v>0</v>
      </c>
      <c r="H49" s="2">
        <v>0</v>
      </c>
      <c r="I49" s="2">
        <v>0</v>
      </c>
      <c r="J49" s="4">
        <v>1</v>
      </c>
      <c r="K49" s="4">
        <v>1</v>
      </c>
      <c r="L49" s="3">
        <v>2.1939068139000002E-2</v>
      </c>
      <c r="M49" s="3">
        <v>0.94338199999999994</v>
      </c>
      <c r="N49" s="2">
        <v>0</v>
      </c>
      <c r="O49" s="2"/>
      <c r="U49" s="4">
        <f t="shared" si="6"/>
        <v>46</v>
      </c>
      <c r="V49" s="2"/>
    </row>
    <row r="50" spans="1:22" x14ac:dyDescent="0.3">
      <c r="A50" s="6">
        <v>45717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13">
        <v>0</v>
      </c>
      <c r="H50" s="2">
        <v>0</v>
      </c>
      <c r="I50" s="2">
        <v>0</v>
      </c>
      <c r="J50" s="4">
        <v>1</v>
      </c>
      <c r="K50" s="4">
        <v>1</v>
      </c>
      <c r="L50" s="3">
        <v>2.1939068139000002E-2</v>
      </c>
      <c r="M50" s="3">
        <v>0.94338199999999994</v>
      </c>
      <c r="N50" s="2">
        <v>0</v>
      </c>
      <c r="O50" s="2"/>
      <c r="U50" s="4">
        <f t="shared" si="6"/>
        <v>47</v>
      </c>
      <c r="V50" s="2"/>
    </row>
    <row r="51" spans="1:22" x14ac:dyDescent="0.3">
      <c r="A51" s="6">
        <v>45748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13">
        <v>0</v>
      </c>
      <c r="H51" s="2">
        <v>0</v>
      </c>
      <c r="I51" s="2">
        <v>0</v>
      </c>
      <c r="J51" s="4">
        <v>1</v>
      </c>
      <c r="K51" s="4">
        <v>1</v>
      </c>
      <c r="L51" s="3">
        <v>2.1939068139000002E-2</v>
      </c>
      <c r="M51" s="3">
        <v>0.94338199999999994</v>
      </c>
      <c r="N51" s="2">
        <v>0</v>
      </c>
      <c r="O51" s="2"/>
      <c r="U51" s="4">
        <f t="shared" si="6"/>
        <v>48</v>
      </c>
      <c r="V51" s="2"/>
    </row>
    <row r="52" spans="1:22" x14ac:dyDescent="0.3">
      <c r="A52" s="6">
        <v>45778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13">
        <v>0</v>
      </c>
      <c r="H52" s="2">
        <v>0</v>
      </c>
      <c r="I52" s="2">
        <v>0</v>
      </c>
      <c r="J52" s="4">
        <v>1</v>
      </c>
      <c r="K52" s="4">
        <v>1</v>
      </c>
      <c r="L52" s="3">
        <v>2.1939068139000002E-2</v>
      </c>
      <c r="M52" s="3">
        <v>0.94338199999999994</v>
      </c>
      <c r="N52" s="2">
        <v>0</v>
      </c>
      <c r="O52" s="2"/>
      <c r="U52" s="4">
        <f t="shared" si="6"/>
        <v>49</v>
      </c>
      <c r="V52" s="2"/>
    </row>
    <row r="53" spans="1:22" x14ac:dyDescent="0.3">
      <c r="A53" s="6">
        <v>45809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13">
        <v>0</v>
      </c>
      <c r="H53" s="2">
        <v>0</v>
      </c>
      <c r="I53" s="2">
        <v>0</v>
      </c>
      <c r="J53" s="4">
        <v>1</v>
      </c>
      <c r="K53" s="4">
        <v>1</v>
      </c>
      <c r="L53" s="3">
        <v>2.1939068139000002E-2</v>
      </c>
      <c r="M53" s="3">
        <v>0.94338199999999994</v>
      </c>
      <c r="N53" s="2">
        <v>0</v>
      </c>
      <c r="O53" s="2"/>
      <c r="U53" s="4">
        <f t="shared" si="6"/>
        <v>50</v>
      </c>
      <c r="V53" s="2"/>
    </row>
    <row r="54" spans="1:22" x14ac:dyDescent="0.3">
      <c r="A54" s="6">
        <v>45839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13">
        <v>0</v>
      </c>
      <c r="H54" s="2">
        <v>0</v>
      </c>
      <c r="I54" s="2">
        <v>0</v>
      </c>
      <c r="J54" s="4">
        <v>1</v>
      </c>
      <c r="K54" s="4">
        <v>1</v>
      </c>
      <c r="L54" s="3">
        <v>2.1939068139000002E-2</v>
      </c>
      <c r="M54" s="3">
        <v>0.94338199999999994</v>
      </c>
      <c r="N54" s="2">
        <v>0</v>
      </c>
      <c r="O54" s="2"/>
      <c r="U54" s="4">
        <f t="shared" si="6"/>
        <v>51</v>
      </c>
      <c r="V54" s="2"/>
    </row>
    <row r="55" spans="1:22" x14ac:dyDescent="0.3">
      <c r="A55" s="6">
        <v>45870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13">
        <v>0</v>
      </c>
      <c r="H55" s="2">
        <v>0</v>
      </c>
      <c r="I55" s="2">
        <v>0</v>
      </c>
      <c r="J55" s="4">
        <v>1</v>
      </c>
      <c r="K55" s="4">
        <v>1</v>
      </c>
      <c r="L55" s="3">
        <v>2.1939068139000002E-2</v>
      </c>
      <c r="M55" s="3">
        <v>0.94338199999999994</v>
      </c>
      <c r="N55" s="2">
        <v>0</v>
      </c>
      <c r="O55" s="2"/>
      <c r="U55" s="4">
        <f t="shared" si="6"/>
        <v>52</v>
      </c>
      <c r="V55" s="2"/>
    </row>
    <row r="56" spans="1:22" x14ac:dyDescent="0.3">
      <c r="A56" s="6">
        <v>45901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13">
        <v>0</v>
      </c>
      <c r="H56" s="2">
        <v>0</v>
      </c>
      <c r="I56" s="2">
        <v>0</v>
      </c>
      <c r="J56" s="4">
        <v>1</v>
      </c>
      <c r="K56" s="4">
        <v>1</v>
      </c>
      <c r="L56" s="3">
        <v>2.1939068139000002E-2</v>
      </c>
      <c r="M56" s="3">
        <v>0.94338199999999994</v>
      </c>
      <c r="N56" s="2">
        <v>0</v>
      </c>
      <c r="O56" s="2"/>
      <c r="U56" s="4">
        <f t="shared" si="6"/>
        <v>53</v>
      </c>
      <c r="V56" s="2"/>
    </row>
    <row r="57" spans="1:22" x14ac:dyDescent="0.3">
      <c r="A57" s="6">
        <v>45931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13">
        <v>0</v>
      </c>
      <c r="H57" s="2">
        <v>0</v>
      </c>
      <c r="I57" s="2">
        <v>0</v>
      </c>
      <c r="J57" s="4">
        <v>1</v>
      </c>
      <c r="K57" s="4">
        <v>1</v>
      </c>
      <c r="L57" s="3">
        <v>2.1939068139000002E-2</v>
      </c>
      <c r="M57" s="3">
        <v>0.94338199999999994</v>
      </c>
      <c r="N57" s="2">
        <v>0</v>
      </c>
      <c r="O57" s="2"/>
      <c r="U57" s="4">
        <f t="shared" si="6"/>
        <v>54</v>
      </c>
      <c r="V57" s="2"/>
    </row>
    <row r="58" spans="1:22" x14ac:dyDescent="0.3">
      <c r="U58" s="4">
        <f t="shared" si="6"/>
        <v>55</v>
      </c>
      <c r="V58" s="2"/>
    </row>
    <row r="59" spans="1:22" x14ac:dyDescent="0.3">
      <c r="U59" s="4">
        <f t="shared" si="6"/>
        <v>56</v>
      </c>
      <c r="V59" s="2"/>
    </row>
    <row r="60" spans="1:22" x14ac:dyDescent="0.3">
      <c r="U60" s="4">
        <f t="shared" si="6"/>
        <v>57</v>
      </c>
      <c r="V60" s="2"/>
    </row>
    <row r="61" spans="1:22" x14ac:dyDescent="0.3">
      <c r="U61" s="4">
        <f t="shared" si="6"/>
        <v>58</v>
      </c>
      <c r="V61" s="2"/>
    </row>
    <row r="62" spans="1:22" x14ac:dyDescent="0.3">
      <c r="U62" s="4">
        <f t="shared" si="6"/>
        <v>59</v>
      </c>
      <c r="V62" s="2"/>
    </row>
    <row r="63" spans="1:22" x14ac:dyDescent="0.3">
      <c r="U63" s="4">
        <f t="shared" si="6"/>
        <v>60</v>
      </c>
      <c r="V63" s="2"/>
    </row>
    <row r="64" spans="1:22" x14ac:dyDescent="0.3">
      <c r="U64" s="4">
        <f t="shared" si="6"/>
        <v>61</v>
      </c>
      <c r="V64" s="2"/>
    </row>
    <row r="65" spans="21:22" x14ac:dyDescent="0.3">
      <c r="U65" s="4">
        <f t="shared" si="6"/>
        <v>62</v>
      </c>
      <c r="V65" s="2"/>
    </row>
    <row r="66" spans="21:22" x14ac:dyDescent="0.3">
      <c r="U66" s="4">
        <f t="shared" si="6"/>
        <v>63</v>
      </c>
      <c r="V66" s="2"/>
    </row>
    <row r="67" spans="21:22" x14ac:dyDescent="0.3">
      <c r="U67" s="4">
        <f t="shared" si="6"/>
        <v>64</v>
      </c>
      <c r="V67" s="2"/>
    </row>
    <row r="68" spans="21:22" x14ac:dyDescent="0.3">
      <c r="U68" s="4">
        <f t="shared" si="6"/>
        <v>65</v>
      </c>
      <c r="V68" s="2"/>
    </row>
    <row r="69" spans="21:22" x14ac:dyDescent="0.3">
      <c r="U69" s="4">
        <f t="shared" si="6"/>
        <v>66</v>
      </c>
      <c r="V69" s="2"/>
    </row>
    <row r="70" spans="21:22" x14ac:dyDescent="0.3">
      <c r="U70" s="4">
        <f t="shared" si="6"/>
        <v>67</v>
      </c>
      <c r="V70" s="2"/>
    </row>
    <row r="71" spans="21:22" x14ac:dyDescent="0.3">
      <c r="U71" s="4">
        <f t="shared" si="6"/>
        <v>68</v>
      </c>
      <c r="V71" s="2"/>
    </row>
    <row r="72" spans="21:22" x14ac:dyDescent="0.3">
      <c r="U72" s="4">
        <f t="shared" si="6"/>
        <v>69</v>
      </c>
      <c r="V72" s="2"/>
    </row>
    <row r="73" spans="21:22" x14ac:dyDescent="0.3">
      <c r="U73" s="4">
        <f t="shared" si="6"/>
        <v>70</v>
      </c>
      <c r="V73" s="2"/>
    </row>
    <row r="74" spans="21:22" x14ac:dyDescent="0.3">
      <c r="U74" s="4">
        <f t="shared" si="6"/>
        <v>71</v>
      </c>
      <c r="V74" s="2"/>
    </row>
    <row r="75" spans="21:22" x14ac:dyDescent="0.3">
      <c r="U75" s="4">
        <f t="shared" si="6"/>
        <v>72</v>
      </c>
      <c r="V75" s="2"/>
    </row>
    <row r="76" spans="21:22" x14ac:dyDescent="0.3">
      <c r="U76" s="4">
        <f t="shared" si="6"/>
        <v>73</v>
      </c>
      <c r="V76" s="2"/>
    </row>
    <row r="77" spans="21:22" x14ac:dyDescent="0.3">
      <c r="U77" s="4">
        <f t="shared" si="6"/>
        <v>74</v>
      </c>
      <c r="V77" s="2"/>
    </row>
    <row r="78" spans="21:22" x14ac:dyDescent="0.3">
      <c r="U78" s="4">
        <f t="shared" si="6"/>
        <v>75</v>
      </c>
      <c r="V78" s="2"/>
    </row>
    <row r="79" spans="21:22" x14ac:dyDescent="0.3">
      <c r="U79" s="4">
        <f t="shared" si="6"/>
        <v>76</v>
      </c>
      <c r="V79" s="2"/>
    </row>
    <row r="80" spans="21:22" x14ac:dyDescent="0.3">
      <c r="U80" s="4">
        <f t="shared" si="6"/>
        <v>77</v>
      </c>
      <c r="V80" s="2"/>
    </row>
    <row r="81" spans="21:22" x14ac:dyDescent="0.3">
      <c r="U81" s="4">
        <f t="shared" si="6"/>
        <v>78</v>
      </c>
      <c r="V81" s="2"/>
    </row>
    <row r="82" spans="21:22" x14ac:dyDescent="0.3">
      <c r="U82" s="4">
        <f t="shared" si="6"/>
        <v>79</v>
      </c>
      <c r="V82" s="2"/>
    </row>
    <row r="83" spans="21:22" x14ac:dyDescent="0.3">
      <c r="U83" s="4">
        <f t="shared" si="6"/>
        <v>80</v>
      </c>
      <c r="V83" s="2"/>
    </row>
    <row r="84" spans="21:22" x14ac:dyDescent="0.3">
      <c r="U84" s="4">
        <f t="shared" si="6"/>
        <v>81</v>
      </c>
      <c r="V84" s="2"/>
    </row>
    <row r="85" spans="21:22" x14ac:dyDescent="0.3">
      <c r="U85" s="4">
        <f t="shared" si="6"/>
        <v>82</v>
      </c>
      <c r="V85" s="2"/>
    </row>
    <row r="86" spans="21:22" x14ac:dyDescent="0.3">
      <c r="U86" s="4">
        <f t="shared" si="6"/>
        <v>83</v>
      </c>
      <c r="V86" s="2"/>
    </row>
    <row r="87" spans="21:22" x14ac:dyDescent="0.3">
      <c r="U87" s="4">
        <f t="shared" si="6"/>
        <v>84</v>
      </c>
      <c r="V87" s="2"/>
    </row>
    <row r="88" spans="21:22" x14ac:dyDescent="0.3">
      <c r="U88" s="4">
        <f t="shared" si="6"/>
        <v>85</v>
      </c>
      <c r="V88" s="2"/>
    </row>
    <row r="89" spans="21:22" x14ac:dyDescent="0.3">
      <c r="U89" s="4">
        <f t="shared" si="6"/>
        <v>86</v>
      </c>
      <c r="V89" s="2"/>
    </row>
    <row r="90" spans="21:22" x14ac:dyDescent="0.3">
      <c r="U90" s="4">
        <f t="shared" si="6"/>
        <v>87</v>
      </c>
      <c r="V90" s="2"/>
    </row>
    <row r="91" spans="21:22" x14ac:dyDescent="0.3">
      <c r="U91" s="4">
        <f t="shared" si="6"/>
        <v>88</v>
      </c>
      <c r="V91" s="2"/>
    </row>
    <row r="92" spans="21:22" x14ac:dyDescent="0.3">
      <c r="U92" s="4">
        <f t="shared" si="6"/>
        <v>89</v>
      </c>
      <c r="V92" s="2"/>
    </row>
    <row r="93" spans="21:22" x14ac:dyDescent="0.3">
      <c r="U93" s="4">
        <f t="shared" si="6"/>
        <v>90</v>
      </c>
      <c r="V93" s="2"/>
    </row>
    <row r="94" spans="21:22" x14ac:dyDescent="0.3">
      <c r="U94" s="4">
        <f t="shared" si="6"/>
        <v>91</v>
      </c>
      <c r="V94" s="2"/>
    </row>
    <row r="95" spans="21:22" x14ac:dyDescent="0.3">
      <c r="U95" s="4">
        <f t="shared" si="6"/>
        <v>92</v>
      </c>
      <c r="V95" s="2"/>
    </row>
    <row r="96" spans="21:22" x14ac:dyDescent="0.3">
      <c r="U96" s="4">
        <f t="shared" si="6"/>
        <v>93</v>
      </c>
      <c r="V96" s="2"/>
    </row>
    <row r="97" spans="21:22" x14ac:dyDescent="0.3">
      <c r="U97" s="4">
        <f t="shared" si="6"/>
        <v>94</v>
      </c>
      <c r="V97" s="2"/>
    </row>
    <row r="98" spans="21:22" x14ac:dyDescent="0.3">
      <c r="U98" s="4">
        <f t="shared" si="6"/>
        <v>95</v>
      </c>
      <c r="V98" s="2"/>
    </row>
    <row r="99" spans="21:22" x14ac:dyDescent="0.3">
      <c r="U99" s="4">
        <f t="shared" si="6"/>
        <v>96</v>
      </c>
      <c r="V99" s="2"/>
    </row>
    <row r="100" spans="21:22" x14ac:dyDescent="0.3">
      <c r="U100" s="4">
        <f t="shared" si="6"/>
        <v>97</v>
      </c>
      <c r="V100" s="2"/>
    </row>
    <row r="101" spans="21:22" x14ac:dyDescent="0.3">
      <c r="U101" s="4">
        <f t="shared" si="6"/>
        <v>98</v>
      </c>
      <c r="V101" s="2"/>
    </row>
    <row r="102" spans="21:22" x14ac:dyDescent="0.3">
      <c r="U102" s="4">
        <f t="shared" si="6"/>
        <v>99</v>
      </c>
      <c r="V102" s="2"/>
    </row>
    <row r="103" spans="21:22" x14ac:dyDescent="0.3">
      <c r="U103" s="4">
        <f t="shared" si="6"/>
        <v>100</v>
      </c>
      <c r="V103" s="2"/>
    </row>
    <row r="104" spans="21:22" x14ac:dyDescent="0.3">
      <c r="U104" s="4">
        <f t="shared" ref="U104:U165" si="7">U103+1</f>
        <v>101</v>
      </c>
      <c r="V104" s="2"/>
    </row>
    <row r="105" spans="21:22" x14ac:dyDescent="0.3">
      <c r="U105" s="4">
        <f t="shared" si="7"/>
        <v>102</v>
      </c>
      <c r="V105" s="2"/>
    </row>
    <row r="106" spans="21:22" x14ac:dyDescent="0.3">
      <c r="U106" s="4">
        <f t="shared" si="7"/>
        <v>103</v>
      </c>
      <c r="V106" s="2"/>
    </row>
    <row r="107" spans="21:22" x14ac:dyDescent="0.3">
      <c r="U107" s="4">
        <f t="shared" si="7"/>
        <v>104</v>
      </c>
      <c r="V107" s="2"/>
    </row>
    <row r="108" spans="21:22" x14ac:dyDescent="0.3">
      <c r="U108" s="4">
        <f t="shared" si="7"/>
        <v>105</v>
      </c>
      <c r="V108" s="2"/>
    </row>
    <row r="109" spans="21:22" x14ac:dyDescent="0.3">
      <c r="U109" s="4">
        <f t="shared" si="7"/>
        <v>106</v>
      </c>
      <c r="V109" s="2"/>
    </row>
    <row r="110" spans="21:22" x14ac:dyDescent="0.3">
      <c r="U110" s="4">
        <f t="shared" si="7"/>
        <v>107</v>
      </c>
      <c r="V110" s="2"/>
    </row>
    <row r="111" spans="21:22" x14ac:dyDescent="0.3">
      <c r="U111" s="4">
        <f t="shared" si="7"/>
        <v>108</v>
      </c>
      <c r="V111" s="2"/>
    </row>
    <row r="112" spans="21:22" x14ac:dyDescent="0.3">
      <c r="U112" s="4">
        <f t="shared" si="7"/>
        <v>109</v>
      </c>
      <c r="V112" s="2"/>
    </row>
    <row r="113" spans="21:22" x14ac:dyDescent="0.3">
      <c r="U113" s="4">
        <f t="shared" si="7"/>
        <v>110</v>
      </c>
      <c r="V113" s="2"/>
    </row>
    <row r="114" spans="21:22" x14ac:dyDescent="0.3">
      <c r="U114" s="4">
        <f t="shared" si="7"/>
        <v>111</v>
      </c>
      <c r="V114" s="2"/>
    </row>
    <row r="115" spans="21:22" x14ac:dyDescent="0.3">
      <c r="U115" s="4">
        <f t="shared" si="7"/>
        <v>112</v>
      </c>
      <c r="V115" s="2"/>
    </row>
    <row r="116" spans="21:22" x14ac:dyDescent="0.3">
      <c r="U116" s="4">
        <f t="shared" si="7"/>
        <v>113</v>
      </c>
      <c r="V116" s="2"/>
    </row>
    <row r="117" spans="21:22" x14ac:dyDescent="0.3">
      <c r="U117" s="4">
        <f t="shared" si="7"/>
        <v>114</v>
      </c>
      <c r="V117" s="2"/>
    </row>
    <row r="118" spans="21:22" x14ac:dyDescent="0.3">
      <c r="U118" s="4">
        <f t="shared" si="7"/>
        <v>115</v>
      </c>
      <c r="V118" s="2"/>
    </row>
    <row r="119" spans="21:22" x14ac:dyDescent="0.3">
      <c r="U119" s="4">
        <f t="shared" si="7"/>
        <v>116</v>
      </c>
      <c r="V119" s="2"/>
    </row>
    <row r="120" spans="21:22" x14ac:dyDescent="0.3">
      <c r="U120" s="4">
        <f t="shared" si="7"/>
        <v>117</v>
      </c>
      <c r="V120" s="2"/>
    </row>
    <row r="121" spans="21:22" x14ac:dyDescent="0.3">
      <c r="U121" s="4">
        <f t="shared" si="7"/>
        <v>118</v>
      </c>
      <c r="V121" s="2"/>
    </row>
    <row r="122" spans="21:22" x14ac:dyDescent="0.3">
      <c r="U122" s="4">
        <f t="shared" si="7"/>
        <v>119</v>
      </c>
      <c r="V122" s="2"/>
    </row>
    <row r="123" spans="21:22" x14ac:dyDescent="0.3">
      <c r="U123" s="4">
        <f t="shared" si="7"/>
        <v>120</v>
      </c>
      <c r="V123" s="2"/>
    </row>
    <row r="124" spans="21:22" x14ac:dyDescent="0.3">
      <c r="U124" s="4">
        <f t="shared" si="7"/>
        <v>121</v>
      </c>
      <c r="V124" s="2"/>
    </row>
    <row r="125" spans="21:22" x14ac:dyDescent="0.3">
      <c r="U125" s="4">
        <f t="shared" si="7"/>
        <v>122</v>
      </c>
      <c r="V125" s="2"/>
    </row>
    <row r="126" spans="21:22" x14ac:dyDescent="0.3">
      <c r="U126" s="4">
        <f t="shared" si="7"/>
        <v>123</v>
      </c>
      <c r="V126" s="2"/>
    </row>
    <row r="127" spans="21:22" x14ac:dyDescent="0.3">
      <c r="U127" s="4">
        <f t="shared" si="7"/>
        <v>124</v>
      </c>
      <c r="V127" s="2"/>
    </row>
    <row r="128" spans="21:22" x14ac:dyDescent="0.3">
      <c r="U128" s="4">
        <f t="shared" si="7"/>
        <v>125</v>
      </c>
      <c r="V128" s="2"/>
    </row>
    <row r="129" spans="21:22" x14ac:dyDescent="0.3">
      <c r="U129" s="4">
        <f t="shared" si="7"/>
        <v>126</v>
      </c>
      <c r="V129" s="2"/>
    </row>
    <row r="130" spans="21:22" x14ac:dyDescent="0.3">
      <c r="U130" s="4">
        <f t="shared" si="7"/>
        <v>127</v>
      </c>
      <c r="V130" s="2"/>
    </row>
    <row r="131" spans="21:22" x14ac:dyDescent="0.3">
      <c r="U131" s="4">
        <f t="shared" si="7"/>
        <v>128</v>
      </c>
      <c r="V131" s="2"/>
    </row>
    <row r="132" spans="21:22" x14ac:dyDescent="0.3">
      <c r="U132" s="4">
        <f t="shared" si="7"/>
        <v>129</v>
      </c>
      <c r="V132" s="2"/>
    </row>
    <row r="133" spans="21:22" x14ac:dyDescent="0.3">
      <c r="U133" s="4">
        <f t="shared" si="7"/>
        <v>130</v>
      </c>
      <c r="V133" s="2"/>
    </row>
    <row r="134" spans="21:22" x14ac:dyDescent="0.3">
      <c r="U134" s="4">
        <f t="shared" si="7"/>
        <v>131</v>
      </c>
      <c r="V134" s="2"/>
    </row>
    <row r="135" spans="21:22" x14ac:dyDescent="0.3">
      <c r="U135" s="4">
        <f t="shared" si="7"/>
        <v>132</v>
      </c>
      <c r="V135" s="2"/>
    </row>
    <row r="136" spans="21:22" x14ac:dyDescent="0.3">
      <c r="U136" s="4">
        <f t="shared" si="7"/>
        <v>133</v>
      </c>
      <c r="V136" s="2"/>
    </row>
    <row r="137" spans="21:22" x14ac:dyDescent="0.3">
      <c r="U137" s="4">
        <f t="shared" si="7"/>
        <v>134</v>
      </c>
      <c r="V137" s="2"/>
    </row>
    <row r="138" spans="21:22" x14ac:dyDescent="0.3">
      <c r="U138" s="4">
        <f t="shared" si="7"/>
        <v>135</v>
      </c>
      <c r="V138" s="2"/>
    </row>
    <row r="139" spans="21:22" x14ac:dyDescent="0.3">
      <c r="U139" s="4">
        <f t="shared" si="7"/>
        <v>136</v>
      </c>
      <c r="V139" s="2"/>
    </row>
    <row r="140" spans="21:22" x14ac:dyDescent="0.3">
      <c r="U140" s="4">
        <f t="shared" si="7"/>
        <v>137</v>
      </c>
      <c r="V140" s="2"/>
    </row>
    <row r="141" spans="21:22" x14ac:dyDescent="0.3">
      <c r="U141" s="4">
        <f t="shared" si="7"/>
        <v>138</v>
      </c>
      <c r="V141" s="2"/>
    </row>
    <row r="142" spans="21:22" x14ac:dyDescent="0.3">
      <c r="U142" s="4">
        <f t="shared" si="7"/>
        <v>139</v>
      </c>
      <c r="V142" s="2"/>
    </row>
    <row r="143" spans="21:22" x14ac:dyDescent="0.3">
      <c r="U143" s="4">
        <f t="shared" si="7"/>
        <v>140</v>
      </c>
      <c r="V143" s="2"/>
    </row>
    <row r="144" spans="21:22" x14ac:dyDescent="0.3">
      <c r="U144" s="4">
        <f t="shared" si="7"/>
        <v>141</v>
      </c>
      <c r="V144" s="2"/>
    </row>
    <row r="145" spans="21:22" x14ac:dyDescent="0.3">
      <c r="U145" s="4">
        <f t="shared" si="7"/>
        <v>142</v>
      </c>
      <c r="V145" s="2"/>
    </row>
    <row r="146" spans="21:22" x14ac:dyDescent="0.3">
      <c r="U146" s="4">
        <f t="shared" si="7"/>
        <v>143</v>
      </c>
      <c r="V146" s="2"/>
    </row>
    <row r="147" spans="21:22" x14ac:dyDescent="0.3">
      <c r="U147" s="4">
        <f t="shared" si="7"/>
        <v>144</v>
      </c>
      <c r="V147" s="2"/>
    </row>
    <row r="148" spans="21:22" x14ac:dyDescent="0.3">
      <c r="U148" s="4">
        <f t="shared" si="7"/>
        <v>145</v>
      </c>
      <c r="V148" s="2"/>
    </row>
    <row r="149" spans="21:22" x14ac:dyDescent="0.3">
      <c r="U149" s="4">
        <f t="shared" si="7"/>
        <v>146</v>
      </c>
      <c r="V149" s="2"/>
    </row>
    <row r="150" spans="21:22" x14ac:dyDescent="0.3">
      <c r="U150" s="4">
        <f t="shared" si="7"/>
        <v>147</v>
      </c>
      <c r="V150" s="2"/>
    </row>
    <row r="151" spans="21:22" x14ac:dyDescent="0.3">
      <c r="U151" s="4">
        <f t="shared" si="7"/>
        <v>148</v>
      </c>
      <c r="V151" s="2"/>
    </row>
    <row r="152" spans="21:22" x14ac:dyDescent="0.3">
      <c r="U152" s="4">
        <f t="shared" si="7"/>
        <v>149</v>
      </c>
      <c r="V152" s="2"/>
    </row>
    <row r="153" spans="21:22" x14ac:dyDescent="0.3">
      <c r="U153" s="4">
        <f t="shared" si="7"/>
        <v>150</v>
      </c>
      <c r="V153" s="2"/>
    </row>
    <row r="154" spans="21:22" x14ac:dyDescent="0.3">
      <c r="U154" s="4">
        <f t="shared" si="7"/>
        <v>151</v>
      </c>
      <c r="V154" s="2"/>
    </row>
    <row r="155" spans="21:22" x14ac:dyDescent="0.3">
      <c r="U155" s="4">
        <f t="shared" si="7"/>
        <v>152</v>
      </c>
      <c r="V155" s="2"/>
    </row>
    <row r="156" spans="21:22" x14ac:dyDescent="0.3">
      <c r="U156" s="4">
        <f t="shared" si="7"/>
        <v>153</v>
      </c>
      <c r="V156" s="2"/>
    </row>
    <row r="157" spans="21:22" x14ac:dyDescent="0.3">
      <c r="U157" s="4">
        <f t="shared" si="7"/>
        <v>154</v>
      </c>
      <c r="V157" s="2"/>
    </row>
    <row r="158" spans="21:22" x14ac:dyDescent="0.3">
      <c r="U158" s="4">
        <f t="shared" si="7"/>
        <v>155</v>
      </c>
      <c r="V158" s="2"/>
    </row>
    <row r="159" spans="21:22" x14ac:dyDescent="0.3">
      <c r="U159" s="4">
        <f t="shared" si="7"/>
        <v>156</v>
      </c>
      <c r="V159" s="2"/>
    </row>
    <row r="160" spans="21:22" x14ac:dyDescent="0.3">
      <c r="U160" s="4">
        <f t="shared" si="7"/>
        <v>157</v>
      </c>
      <c r="V160" s="2"/>
    </row>
    <row r="161" spans="21:22" x14ac:dyDescent="0.3">
      <c r="U161" s="4">
        <f t="shared" si="7"/>
        <v>158</v>
      </c>
      <c r="V161" s="2"/>
    </row>
    <row r="162" spans="21:22" x14ac:dyDescent="0.3">
      <c r="U162" s="4">
        <f t="shared" si="7"/>
        <v>159</v>
      </c>
      <c r="V162" s="2"/>
    </row>
    <row r="163" spans="21:22" x14ac:dyDescent="0.3">
      <c r="U163" s="4">
        <f t="shared" si="7"/>
        <v>160</v>
      </c>
      <c r="V163" s="2"/>
    </row>
    <row r="164" spans="21:22" x14ac:dyDescent="0.3">
      <c r="U164" s="4">
        <f t="shared" si="7"/>
        <v>161</v>
      </c>
      <c r="V164" s="2"/>
    </row>
    <row r="165" spans="21:22" x14ac:dyDescent="0.3">
      <c r="U165" s="4">
        <f t="shared" si="7"/>
        <v>162</v>
      </c>
      <c r="V165" s="2"/>
    </row>
  </sheetData>
  <mergeCells count="4">
    <mergeCell ref="P1:P36"/>
    <mergeCell ref="T1:T36"/>
    <mergeCell ref="U1:W1"/>
    <mergeCell ref="Y1:AA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DBEA4-B130-4B51-AB64-9558215119C9}">
  <dimension ref="A1:AJ645"/>
  <sheetViews>
    <sheetView topLeftCell="A2" zoomScale="114" workbookViewId="0">
      <selection activeCell="AF4" sqref="AF4"/>
    </sheetView>
  </sheetViews>
  <sheetFormatPr defaultRowHeight="14.4" x14ac:dyDescent="0.3"/>
  <cols>
    <col min="6" max="6" width="9" bestFit="1" customWidth="1"/>
    <col min="7" max="7" width="17.5546875" bestFit="1" customWidth="1"/>
    <col min="8" max="11" width="9.109375" bestFit="1" customWidth="1"/>
    <col min="12" max="14" width="10.21875" bestFit="1" customWidth="1"/>
    <col min="15" max="17" width="9.21875" bestFit="1" customWidth="1"/>
    <col min="19" max="19" width="9.109375" bestFit="1" customWidth="1"/>
    <col min="20" max="20" width="12.6640625" bestFit="1" customWidth="1"/>
    <col min="21" max="21" width="15.33203125" bestFit="1" customWidth="1"/>
    <col min="23" max="23" width="17.33203125" customWidth="1"/>
    <col min="24" max="24" width="20.77734375" customWidth="1"/>
    <col min="25" max="25" width="16.21875" customWidth="1"/>
    <col min="27" max="27" width="22.33203125" customWidth="1"/>
    <col min="28" max="28" width="35.5546875" customWidth="1"/>
    <col min="29" max="29" width="19.33203125" customWidth="1"/>
    <col min="34" max="34" width="10.88671875" customWidth="1"/>
  </cols>
  <sheetData>
    <row r="1" spans="1:36" ht="52.8" x14ac:dyDescent="0.3">
      <c r="A1" s="11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10</v>
      </c>
      <c r="K1" s="5" t="s">
        <v>12</v>
      </c>
      <c r="L1" s="5" t="s">
        <v>13</v>
      </c>
      <c r="M1" s="5" t="s">
        <v>14</v>
      </c>
      <c r="N1" s="5" t="s">
        <v>15</v>
      </c>
      <c r="O1" s="5" t="s">
        <v>16</v>
      </c>
      <c r="P1" s="5" t="s">
        <v>17</v>
      </c>
      <c r="Q1" s="5" t="s">
        <v>18</v>
      </c>
      <c r="R1" s="63" t="s">
        <v>19</v>
      </c>
      <c r="S1" s="18" t="s">
        <v>20</v>
      </c>
      <c r="T1" s="18" t="s">
        <v>21</v>
      </c>
      <c r="U1" s="18" t="s">
        <v>22</v>
      </c>
      <c r="V1" s="64" t="s">
        <v>23</v>
      </c>
      <c r="W1" s="57" t="s">
        <v>38</v>
      </c>
      <c r="X1" s="57"/>
      <c r="Y1" s="57"/>
      <c r="AA1" s="57" t="s">
        <v>29</v>
      </c>
      <c r="AB1" s="57"/>
      <c r="AC1" s="57"/>
    </row>
    <row r="2" spans="1:36" x14ac:dyDescent="0.3">
      <c r="A2" s="6">
        <v>44256</v>
      </c>
      <c r="B2" s="2">
        <v>406.09529032258064</v>
      </c>
      <c r="C2" s="2">
        <v>406.09529032258064</v>
      </c>
      <c r="D2" s="2">
        <v>0</v>
      </c>
      <c r="E2" s="2">
        <v>798.09677419354841</v>
      </c>
      <c r="F2" s="2">
        <v>12588.954</v>
      </c>
      <c r="G2" s="12">
        <v>1.685203465E-3</v>
      </c>
      <c r="H2" s="2">
        <v>24741</v>
      </c>
      <c r="I2" s="2">
        <v>0</v>
      </c>
      <c r="J2" s="4">
        <v>1</v>
      </c>
      <c r="K2" s="4">
        <v>1</v>
      </c>
      <c r="L2" s="7">
        <v>1.685203465E-3</v>
      </c>
      <c r="M2" s="8">
        <v>2.4740999999999999E-2</v>
      </c>
      <c r="N2" s="3">
        <v>0</v>
      </c>
      <c r="O2" s="9">
        <v>0</v>
      </c>
      <c r="P2" s="2">
        <v>0</v>
      </c>
      <c r="Q2" s="2">
        <v>12.361308318387691</v>
      </c>
      <c r="R2" s="63"/>
      <c r="S2">
        <f>A2-$A$2</f>
        <v>0</v>
      </c>
      <c r="T2">
        <f>D2/C2</f>
        <v>0</v>
      </c>
      <c r="V2" s="64"/>
      <c r="W2" s="22" t="s">
        <v>43</v>
      </c>
      <c r="X2" s="22" t="s">
        <v>28</v>
      </c>
      <c r="Y2" s="22" t="s">
        <v>37</v>
      </c>
      <c r="AA2" s="22" t="s">
        <v>43</v>
      </c>
      <c r="AB2" s="24" t="s">
        <v>44</v>
      </c>
      <c r="AC2" s="24" t="s">
        <v>28</v>
      </c>
    </row>
    <row r="3" spans="1:36" x14ac:dyDescent="0.3">
      <c r="A3" s="6">
        <v>44287</v>
      </c>
      <c r="B3" s="2">
        <v>557.67301993333342</v>
      </c>
      <c r="C3" s="2">
        <v>554.87133333333327</v>
      </c>
      <c r="D3" s="2">
        <v>2.8016865999999996</v>
      </c>
      <c r="E3" s="2">
        <v>1231.3</v>
      </c>
      <c r="F3" s="2">
        <v>16646.14</v>
      </c>
      <c r="G3" s="12">
        <v>2.2280357229999999E-3</v>
      </c>
      <c r="H3" s="2">
        <v>36939</v>
      </c>
      <c r="I3" s="2">
        <v>84.050597999999994</v>
      </c>
      <c r="J3" s="4">
        <v>1</v>
      </c>
      <c r="K3" s="4">
        <v>1</v>
      </c>
      <c r="L3" s="7">
        <v>3.9132391879999999E-3</v>
      </c>
      <c r="M3" s="8">
        <v>6.1679999999999999E-2</v>
      </c>
      <c r="N3" s="3">
        <v>0</v>
      </c>
      <c r="O3" s="9">
        <v>0</v>
      </c>
      <c r="P3" s="2">
        <v>0.50238876543371702</v>
      </c>
      <c r="Q3" s="2">
        <v>13.95752542030765</v>
      </c>
      <c r="R3" s="63"/>
      <c r="S3">
        <f t="shared" ref="S3:S57" si="0">A3-$A$2</f>
        <v>31</v>
      </c>
      <c r="T3">
        <f t="shared" ref="T3:T57" si="1">D3/C3</f>
        <v>5.0492545418937959E-3</v>
      </c>
      <c r="U3">
        <f>(T4-T2)/(S4-S2)</f>
        <v>4.9250054261106009E-5</v>
      </c>
      <c r="V3" s="64"/>
      <c r="W3">
        <f>A2-$A$2</f>
        <v>0</v>
      </c>
      <c r="X3" s="21">
        <f>F2</f>
        <v>12588.954</v>
      </c>
      <c r="AA3">
        <f>A2-$A$2</f>
        <v>0</v>
      </c>
      <c r="AB3">
        <f xml:space="preserve"> 4580.8*EXP(-0.002*AA3)</f>
        <v>4580.8</v>
      </c>
      <c r="AF3" s="27" t="s">
        <v>49</v>
      </c>
      <c r="AG3" s="26">
        <v>2E-3</v>
      </c>
      <c r="AH3" s="26" t="s">
        <v>50</v>
      </c>
      <c r="AI3" s="26">
        <f>12*$AG$3</f>
        <v>2.4E-2</v>
      </c>
      <c r="AJ3" s="26" t="s">
        <v>31</v>
      </c>
    </row>
    <row r="4" spans="1:36" x14ac:dyDescent="0.3">
      <c r="A4" s="6">
        <v>44317</v>
      </c>
      <c r="B4" s="2">
        <v>407.99443438709676</v>
      </c>
      <c r="C4" s="2">
        <v>406.7723870967742</v>
      </c>
      <c r="D4" s="2">
        <v>1.2220472903225805</v>
      </c>
      <c r="E4" s="2">
        <v>779.70967741935488</v>
      </c>
      <c r="F4" s="2">
        <v>12609.944</v>
      </c>
      <c r="G4" s="12">
        <v>1.687211737E-3</v>
      </c>
      <c r="H4" s="2">
        <v>24171</v>
      </c>
      <c r="I4" s="2">
        <v>37.883465999999999</v>
      </c>
      <c r="J4" s="4">
        <v>1</v>
      </c>
      <c r="K4" s="4">
        <v>1</v>
      </c>
      <c r="L4" s="7">
        <v>5.6004509250000001E-3</v>
      </c>
      <c r="M4" s="8">
        <v>8.5850999999999997E-2</v>
      </c>
      <c r="N4" s="3">
        <v>0</v>
      </c>
      <c r="O4" s="9">
        <v>0</v>
      </c>
      <c r="P4" s="2">
        <v>0.29952548057631767</v>
      </c>
      <c r="Q4" s="2">
        <v>12.056417998367003</v>
      </c>
      <c r="R4" s="63"/>
      <c r="S4">
        <f t="shared" si="0"/>
        <v>61</v>
      </c>
      <c r="T4">
        <f t="shared" si="1"/>
        <v>3.0042533099274666E-3</v>
      </c>
      <c r="U4">
        <f t="shared" ref="U4:U57" si="2">(T5-T3)/(S5-S3)</f>
        <v>1.1177244018633773E-5</v>
      </c>
      <c r="V4" s="64"/>
      <c r="W4">
        <f t="shared" ref="W4:W58" si="3">A3-$A$2</f>
        <v>31</v>
      </c>
      <c r="X4" s="21">
        <f>X3+F3</f>
        <v>29235.093999999997</v>
      </c>
      <c r="AA4">
        <f t="shared" ref="AA4:AA58" si="4">A3-$A$2</f>
        <v>31</v>
      </c>
      <c r="AB4">
        <f t="shared" ref="AB4:AB67" si="5" xml:space="preserve"> 4580.8*EXP(-0.002*AA4)</f>
        <v>4305.41552781262</v>
      </c>
      <c r="AG4" s="34">
        <v>2E-3</v>
      </c>
      <c r="AH4" s="35" t="s">
        <v>51</v>
      </c>
      <c r="AI4" s="36">
        <v>0.24</v>
      </c>
      <c r="AJ4" s="35" t="s">
        <v>31</v>
      </c>
    </row>
    <row r="5" spans="1:36" x14ac:dyDescent="0.3">
      <c r="A5" s="6">
        <v>44348</v>
      </c>
      <c r="B5" s="2">
        <v>379.84812979999998</v>
      </c>
      <c r="C5" s="2">
        <v>377.68360000000001</v>
      </c>
      <c r="D5" s="2">
        <v>2.1645297999999999</v>
      </c>
      <c r="E5" s="2">
        <v>746.83333333333337</v>
      </c>
      <c r="F5" s="2">
        <v>11330.508</v>
      </c>
      <c r="G5" s="12">
        <v>1.5160230759999999E-3</v>
      </c>
      <c r="H5" s="2">
        <v>22405</v>
      </c>
      <c r="I5" s="2">
        <v>64.935894000000005</v>
      </c>
      <c r="J5" s="4">
        <v>1</v>
      </c>
      <c r="K5" s="4">
        <v>1</v>
      </c>
      <c r="L5" s="7">
        <v>7.1164740009999998E-3</v>
      </c>
      <c r="M5" s="8">
        <v>0.10825599999999999</v>
      </c>
      <c r="N5" s="3">
        <v>0</v>
      </c>
      <c r="O5" s="9">
        <v>0</v>
      </c>
      <c r="P5" s="2">
        <v>0.56984084695630377</v>
      </c>
      <c r="Q5" s="2">
        <v>12.43748020830134</v>
      </c>
      <c r="R5" s="63"/>
      <c r="S5">
        <f t="shared" si="0"/>
        <v>92</v>
      </c>
      <c r="T5">
        <f t="shared" si="1"/>
        <v>5.7310664270304561E-3</v>
      </c>
      <c r="U5">
        <f>(T6-T4)/(S6-S4)</f>
        <v>1.1009129038147585E-4</v>
      </c>
      <c r="V5" s="64"/>
      <c r="W5">
        <f t="shared" si="3"/>
        <v>61</v>
      </c>
      <c r="X5" s="21">
        <f t="shared" ref="X5:X58" si="6">X4+F4</f>
        <v>41845.038</v>
      </c>
      <c r="AA5">
        <f t="shared" si="4"/>
        <v>61</v>
      </c>
      <c r="AB5">
        <f t="shared" si="5"/>
        <v>4054.6876464368347</v>
      </c>
    </row>
    <row r="6" spans="1:36" x14ac:dyDescent="0.3">
      <c r="A6" s="6">
        <v>44378</v>
      </c>
      <c r="B6" s="2">
        <v>410.60947080645161</v>
      </c>
      <c r="C6" s="2">
        <v>406.6568387096774</v>
      </c>
      <c r="D6" s="2">
        <v>3.9526320967741935</v>
      </c>
      <c r="E6" s="2">
        <v>832.41935483870964</v>
      </c>
      <c r="F6" s="2">
        <v>12606.361999999999</v>
      </c>
      <c r="G6" s="12">
        <v>1.6867324639999999E-3</v>
      </c>
      <c r="H6" s="2">
        <v>25805</v>
      </c>
      <c r="I6" s="2">
        <v>122.531595</v>
      </c>
      <c r="J6" s="4">
        <v>1</v>
      </c>
      <c r="K6" s="4">
        <v>1</v>
      </c>
      <c r="L6" s="7">
        <v>8.8032064649999995E-3</v>
      </c>
      <c r="M6" s="8">
        <v>0.13406099999999999</v>
      </c>
      <c r="N6" s="3">
        <v>0</v>
      </c>
      <c r="O6" s="9">
        <v>0</v>
      </c>
      <c r="P6" s="2">
        <v>0.96262565230438635</v>
      </c>
      <c r="Q6" s="2">
        <v>12.875109329717803</v>
      </c>
      <c r="R6" s="63"/>
      <c r="S6">
        <f t="shared" si="0"/>
        <v>122</v>
      </c>
      <c r="T6">
        <f t="shared" si="1"/>
        <v>9.7198220231974938E-3</v>
      </c>
      <c r="U6">
        <f>(T7-T5)/(S7-S5)</f>
        <v>3.7902583218237346E-5</v>
      </c>
      <c r="V6" s="64"/>
      <c r="W6">
        <f t="shared" si="3"/>
        <v>92</v>
      </c>
      <c r="X6" s="21">
        <f t="shared" si="6"/>
        <v>53175.546000000002</v>
      </c>
      <c r="AA6">
        <f t="shared" si="4"/>
        <v>92</v>
      </c>
      <c r="AB6">
        <f t="shared" si="5"/>
        <v>3810.9315301692181</v>
      </c>
    </row>
    <row r="7" spans="1:36" x14ac:dyDescent="0.3">
      <c r="A7" s="6">
        <v>44409</v>
      </c>
      <c r="B7" s="2">
        <v>422.04531648387098</v>
      </c>
      <c r="C7" s="2">
        <v>418.67783870967747</v>
      </c>
      <c r="D7" s="2">
        <v>3.3674777741935484</v>
      </c>
      <c r="E7" s="2">
        <v>999.64516129032256</v>
      </c>
      <c r="F7" s="2">
        <v>12979.013000000001</v>
      </c>
      <c r="G7" s="12">
        <v>1.7365932059999999E-3</v>
      </c>
      <c r="H7" s="2">
        <v>30989</v>
      </c>
      <c r="I7" s="2">
        <v>104.391811</v>
      </c>
      <c r="J7" s="4">
        <v>1</v>
      </c>
      <c r="K7" s="4">
        <v>1</v>
      </c>
      <c r="L7" s="7">
        <v>1.0539799670999999E-2</v>
      </c>
      <c r="M7" s="8">
        <v>0.16504999999999997</v>
      </c>
      <c r="N7" s="3">
        <v>0</v>
      </c>
      <c r="O7" s="9">
        <v>0</v>
      </c>
      <c r="P7" s="2">
        <v>0.79789483324884636</v>
      </c>
      <c r="Q7" s="2">
        <v>15.017676012806213</v>
      </c>
      <c r="R7" s="63"/>
      <c r="S7">
        <f t="shared" si="0"/>
        <v>153</v>
      </c>
      <c r="T7">
        <f t="shared" si="1"/>
        <v>8.043124003342934E-3</v>
      </c>
      <c r="U7">
        <f t="shared" si="2"/>
        <v>1.5064705524868259E-5</v>
      </c>
      <c r="V7" s="64"/>
      <c r="W7">
        <f t="shared" si="3"/>
        <v>122</v>
      </c>
      <c r="X7" s="21">
        <f t="shared" si="6"/>
        <v>65781.907999999996</v>
      </c>
      <c r="AA7">
        <f t="shared" si="4"/>
        <v>122</v>
      </c>
      <c r="AB7">
        <f t="shared" si="5"/>
        <v>3589.0001550313204</v>
      </c>
    </row>
    <row r="8" spans="1:36" x14ac:dyDescent="0.3">
      <c r="A8" s="6">
        <v>44440</v>
      </c>
      <c r="B8" s="2">
        <v>416.59417166666668</v>
      </c>
      <c r="C8" s="2">
        <v>412.20263333333332</v>
      </c>
      <c r="D8" s="2">
        <v>4.3915383333333331</v>
      </c>
      <c r="E8" s="2">
        <v>1014.6333333333333</v>
      </c>
      <c r="F8" s="2">
        <v>12366.079</v>
      </c>
      <c r="G8" s="12">
        <v>1.6545825769999998E-3</v>
      </c>
      <c r="H8" s="2">
        <v>30439</v>
      </c>
      <c r="I8" s="2">
        <v>131.74615</v>
      </c>
      <c r="J8" s="4">
        <v>1</v>
      </c>
      <c r="K8" s="4">
        <v>1</v>
      </c>
      <c r="L8" s="7">
        <v>1.2194382247999999E-2</v>
      </c>
      <c r="M8" s="8">
        <v>0.19548899999999997</v>
      </c>
      <c r="N8" s="3">
        <v>0</v>
      </c>
      <c r="O8" s="9">
        <v>0</v>
      </c>
      <c r="P8" s="2">
        <v>1.0541526099042919</v>
      </c>
      <c r="Q8" s="2">
        <v>15.482290077558133</v>
      </c>
      <c r="R8" s="63"/>
      <c r="S8">
        <f t="shared" si="0"/>
        <v>184</v>
      </c>
      <c r="T8">
        <f t="shared" si="1"/>
        <v>1.0653833765739326E-2</v>
      </c>
      <c r="U8">
        <f t="shared" si="2"/>
        <v>6.7482833654014299E-5</v>
      </c>
      <c r="V8" s="64"/>
      <c r="W8">
        <f t="shared" si="3"/>
        <v>153</v>
      </c>
      <c r="X8" s="21">
        <f t="shared" si="6"/>
        <v>78760.921000000002</v>
      </c>
      <c r="AA8">
        <f t="shared" si="4"/>
        <v>153</v>
      </c>
      <c r="AB8">
        <f t="shared" si="5"/>
        <v>3373.2398264045032</v>
      </c>
    </row>
    <row r="9" spans="1:36" x14ac:dyDescent="0.3">
      <c r="A9" s="6">
        <v>44470</v>
      </c>
      <c r="B9" s="2">
        <v>363.75673264516126</v>
      </c>
      <c r="C9" s="2">
        <v>359.38674193548388</v>
      </c>
      <c r="D9" s="2">
        <v>4.3699907096774186</v>
      </c>
      <c r="E9" s="2">
        <v>890.09677419354841</v>
      </c>
      <c r="F9" s="2">
        <v>11140.989</v>
      </c>
      <c r="G9" s="12">
        <v>1.490665417E-3</v>
      </c>
      <c r="H9" s="2">
        <v>27593</v>
      </c>
      <c r="I9" s="2">
        <v>135.46971199999999</v>
      </c>
      <c r="J9" s="4">
        <v>1</v>
      </c>
      <c r="K9" s="4">
        <v>1</v>
      </c>
      <c r="L9" s="7">
        <v>1.3685047664999998E-2</v>
      </c>
      <c r="M9" s="8">
        <v>0.22308199999999997</v>
      </c>
      <c r="N9" s="3">
        <v>0</v>
      </c>
      <c r="O9" s="9">
        <v>0</v>
      </c>
      <c r="P9" s="2">
        <v>1.201349780634926</v>
      </c>
      <c r="Q9" s="2">
        <v>15.578011198108175</v>
      </c>
      <c r="R9" s="63"/>
      <c r="S9">
        <f t="shared" si="0"/>
        <v>214</v>
      </c>
      <c r="T9">
        <f t="shared" si="1"/>
        <v>1.2159576856237806E-2</v>
      </c>
      <c r="U9">
        <f t="shared" si="2"/>
        <v>6.66197139144143E-5</v>
      </c>
      <c r="V9" s="64"/>
      <c r="W9">
        <f t="shared" si="3"/>
        <v>184</v>
      </c>
      <c r="X9" s="21">
        <f t="shared" si="6"/>
        <v>91127</v>
      </c>
      <c r="AA9">
        <f t="shared" si="4"/>
        <v>184</v>
      </c>
      <c r="AB9">
        <f t="shared" si="5"/>
        <v>3170.4503858797361</v>
      </c>
    </row>
    <row r="10" spans="1:36" x14ac:dyDescent="0.3">
      <c r="A10" s="6">
        <v>44501</v>
      </c>
      <c r="B10" s="2">
        <v>373.36217483333337</v>
      </c>
      <c r="C10" s="2">
        <v>367.94686666666672</v>
      </c>
      <c r="D10" s="2">
        <v>5.4153081666666667</v>
      </c>
      <c r="E10" s="2">
        <v>1906.8666666666666</v>
      </c>
      <c r="F10" s="2">
        <v>11038.406000000001</v>
      </c>
      <c r="G10" s="12">
        <v>1.4769397989999999E-3</v>
      </c>
      <c r="H10" s="2">
        <v>57206</v>
      </c>
      <c r="I10" s="2">
        <v>162.45924500000001</v>
      </c>
      <c r="J10" s="4">
        <v>1</v>
      </c>
      <c r="K10" s="4">
        <v>1</v>
      </c>
      <c r="L10" s="7">
        <v>1.5161987463999998E-2</v>
      </c>
      <c r="M10" s="8">
        <v>0.28028799999999998</v>
      </c>
      <c r="N10" s="3">
        <v>0</v>
      </c>
      <c r="O10" s="9">
        <v>0</v>
      </c>
      <c r="P10" s="2">
        <v>1.4504169226794408</v>
      </c>
      <c r="Q10" s="2">
        <v>32.596581317991017</v>
      </c>
      <c r="R10" s="63"/>
      <c r="S10">
        <f t="shared" si="0"/>
        <v>245</v>
      </c>
      <c r="T10">
        <f t="shared" si="1"/>
        <v>1.4717636314518598E-2</v>
      </c>
      <c r="U10">
        <f t="shared" si="2"/>
        <v>2.0927420365692879E-4</v>
      </c>
      <c r="V10" s="64"/>
      <c r="W10">
        <f t="shared" si="3"/>
        <v>214</v>
      </c>
      <c r="X10" s="21">
        <f t="shared" si="6"/>
        <v>102267.989</v>
      </c>
      <c r="AA10">
        <f t="shared" si="4"/>
        <v>214</v>
      </c>
      <c r="AB10">
        <f t="shared" si="5"/>
        <v>2985.8177289100313</v>
      </c>
    </row>
    <row r="11" spans="1:36" x14ac:dyDescent="0.3">
      <c r="A11" s="6">
        <v>44531</v>
      </c>
      <c r="B11" s="2">
        <v>369.94093622580641</v>
      </c>
      <c r="C11" s="2">
        <v>360.94429032258063</v>
      </c>
      <c r="D11" s="2">
        <v>8.9966459032258062</v>
      </c>
      <c r="E11" s="2">
        <v>2392.7096774193546</v>
      </c>
      <c r="F11" s="2">
        <v>11189.272999999999</v>
      </c>
      <c r="G11" s="12">
        <v>1.497125816E-3</v>
      </c>
      <c r="H11" s="2">
        <v>74174</v>
      </c>
      <c r="I11" s="2">
        <v>278.89602300000001</v>
      </c>
      <c r="J11" s="4">
        <v>1</v>
      </c>
      <c r="K11" s="4">
        <v>1</v>
      </c>
      <c r="L11" s="7">
        <v>1.6659113279999999E-2</v>
      </c>
      <c r="M11" s="8">
        <v>0.354462</v>
      </c>
      <c r="N11" s="3">
        <v>0</v>
      </c>
      <c r="O11" s="9">
        <v>0</v>
      </c>
      <c r="P11" s="2">
        <v>2.4319141306747381</v>
      </c>
      <c r="Q11" s="2">
        <v>41.695258056533255</v>
      </c>
      <c r="R11" s="63"/>
      <c r="S11">
        <f t="shared" si="0"/>
        <v>275</v>
      </c>
      <c r="T11">
        <f t="shared" si="1"/>
        <v>2.4925303279310463E-2</v>
      </c>
      <c r="U11">
        <f t="shared" si="2"/>
        <v>1.4685797861751677E-3</v>
      </c>
      <c r="V11" s="64"/>
      <c r="W11">
        <f t="shared" si="3"/>
        <v>245</v>
      </c>
      <c r="X11" s="21">
        <f t="shared" si="6"/>
        <v>113306.395</v>
      </c>
      <c r="AA11">
        <f t="shared" si="4"/>
        <v>245</v>
      </c>
      <c r="AB11">
        <f t="shared" si="5"/>
        <v>2806.3189864799733</v>
      </c>
    </row>
    <row r="12" spans="1:36" x14ac:dyDescent="0.3">
      <c r="A12" s="6">
        <v>44562</v>
      </c>
      <c r="B12" s="2">
        <v>339.80396300000001</v>
      </c>
      <c r="C12" s="2">
        <v>307.70954838709673</v>
      </c>
      <c r="D12" s="2">
        <v>32.094414612903229</v>
      </c>
      <c r="E12" s="2">
        <v>2318.6129032258063</v>
      </c>
      <c r="F12" s="2">
        <v>9538.9959999999992</v>
      </c>
      <c r="G12" s="12">
        <v>1.276318594E-3</v>
      </c>
      <c r="H12" s="2">
        <v>71877</v>
      </c>
      <c r="I12" s="2">
        <v>994.92685300000005</v>
      </c>
      <c r="J12" s="4">
        <v>1</v>
      </c>
      <c r="K12" s="4">
        <v>1</v>
      </c>
      <c r="L12" s="7">
        <v>1.7935431873999999E-2</v>
      </c>
      <c r="M12" s="8">
        <v>0.42633900000000002</v>
      </c>
      <c r="N12" s="3">
        <v>0</v>
      </c>
      <c r="O12" s="9">
        <v>0</v>
      </c>
      <c r="P12" s="2">
        <v>9.4449794903961219</v>
      </c>
      <c r="Q12" s="2">
        <v>47.394081578396722</v>
      </c>
      <c r="R12" s="63"/>
      <c r="S12">
        <f t="shared" si="0"/>
        <v>306</v>
      </c>
      <c r="T12">
        <f t="shared" si="1"/>
        <v>0.10430100327120383</v>
      </c>
      <c r="U12">
        <f t="shared" si="2"/>
        <v>2.7916307461274965E-4</v>
      </c>
      <c r="V12" s="64"/>
      <c r="W12">
        <f t="shared" si="3"/>
        <v>275</v>
      </c>
      <c r="X12" s="21">
        <f t="shared" si="6"/>
        <v>124495.66800000001</v>
      </c>
      <c r="AA12">
        <f t="shared" si="4"/>
        <v>275</v>
      </c>
      <c r="AB12">
        <f t="shared" si="5"/>
        <v>2642.8916913909334</v>
      </c>
    </row>
    <row r="13" spans="1:36" x14ac:dyDescent="0.3">
      <c r="A13" s="6">
        <v>44593</v>
      </c>
      <c r="B13" s="2">
        <v>305.67663796428576</v>
      </c>
      <c r="C13" s="2">
        <v>293.29000000000002</v>
      </c>
      <c r="D13" s="2">
        <v>12.386637964285715</v>
      </c>
      <c r="E13" s="2">
        <v>2058.3571428571427</v>
      </c>
      <c r="F13" s="2">
        <v>8212.1200000000008</v>
      </c>
      <c r="G13" s="12">
        <v>1.0987824570000001E-3</v>
      </c>
      <c r="H13" s="2">
        <v>57634</v>
      </c>
      <c r="I13" s="2">
        <v>346.82586300000003</v>
      </c>
      <c r="J13" s="4">
        <v>1</v>
      </c>
      <c r="K13" s="4">
        <v>1</v>
      </c>
      <c r="L13" s="7">
        <v>1.9034214330999999E-2</v>
      </c>
      <c r="M13" s="8">
        <v>0.48397300000000004</v>
      </c>
      <c r="N13" s="3">
        <v>0</v>
      </c>
      <c r="O13" s="9">
        <v>0</v>
      </c>
      <c r="P13" s="2">
        <v>4.0522030230301498</v>
      </c>
      <c r="Q13" s="2">
        <v>44.14284413768916</v>
      </c>
      <c r="R13" s="63"/>
      <c r="S13">
        <f t="shared" si="0"/>
        <v>337</v>
      </c>
      <c r="T13">
        <f t="shared" si="1"/>
        <v>4.2233413905300943E-2</v>
      </c>
      <c r="U13">
        <f t="shared" si="2"/>
        <v>-1.3969151930528527E-3</v>
      </c>
      <c r="V13" s="64"/>
      <c r="W13">
        <f t="shared" si="3"/>
        <v>306</v>
      </c>
      <c r="X13" s="21">
        <f t="shared" si="6"/>
        <v>134034.66399999999</v>
      </c>
      <c r="AA13">
        <f t="shared" si="4"/>
        <v>306</v>
      </c>
      <c r="AB13">
        <f t="shared" si="5"/>
        <v>2484.0086723806944</v>
      </c>
    </row>
    <row r="14" spans="1:36" x14ac:dyDescent="0.3">
      <c r="A14" s="6">
        <v>44621</v>
      </c>
      <c r="B14" s="2">
        <v>283.22024848387099</v>
      </c>
      <c r="C14" s="2">
        <v>277.15525806451615</v>
      </c>
      <c r="D14" s="2">
        <v>6.0649904193548387</v>
      </c>
      <c r="E14" s="2">
        <v>2069.8387096774195</v>
      </c>
      <c r="F14" s="2">
        <v>8591.8130000000001</v>
      </c>
      <c r="G14" s="12">
        <v>1.1495854179999999E-3</v>
      </c>
      <c r="H14" s="2">
        <v>64165</v>
      </c>
      <c r="I14" s="2">
        <v>188.014703</v>
      </c>
      <c r="J14" s="4">
        <v>1</v>
      </c>
      <c r="K14" s="4">
        <v>1</v>
      </c>
      <c r="L14" s="3">
        <v>2.0183799749E-2</v>
      </c>
      <c r="M14" s="3">
        <v>0.54813800000000001</v>
      </c>
      <c r="N14" s="3">
        <v>0</v>
      </c>
      <c r="O14" s="9">
        <v>0</v>
      </c>
      <c r="P14" s="2">
        <v>2.1414395516640581</v>
      </c>
      <c r="Q14" s="2">
        <v>46.973207750215231</v>
      </c>
      <c r="R14" s="63"/>
      <c r="S14">
        <f t="shared" si="0"/>
        <v>365</v>
      </c>
      <c r="T14">
        <f t="shared" si="1"/>
        <v>2.1883006881085517E-2</v>
      </c>
      <c r="U14">
        <f t="shared" si="2"/>
        <v>-2.867576479959077E-4</v>
      </c>
      <c r="V14" s="64"/>
      <c r="W14">
        <f t="shared" si="3"/>
        <v>337</v>
      </c>
      <c r="X14" s="21">
        <f t="shared" si="6"/>
        <v>142246.78399999999</v>
      </c>
      <c r="AA14">
        <f t="shared" si="4"/>
        <v>337</v>
      </c>
      <c r="AB14">
        <f t="shared" si="5"/>
        <v>2334.6772418112669</v>
      </c>
    </row>
    <row r="15" spans="1:36" x14ac:dyDescent="0.3">
      <c r="A15" s="6">
        <v>44652</v>
      </c>
      <c r="B15" s="2">
        <v>290.97153319999995</v>
      </c>
      <c r="C15" s="2">
        <v>283.78753333333333</v>
      </c>
      <c r="D15" s="2">
        <v>7.1839998666666665</v>
      </c>
      <c r="E15" s="2">
        <v>2118.5666666666666</v>
      </c>
      <c r="F15" s="2">
        <v>8513.6260000000002</v>
      </c>
      <c r="G15" s="12">
        <v>1.1391239889999999E-3</v>
      </c>
      <c r="H15" s="2">
        <v>63557</v>
      </c>
      <c r="I15" s="2">
        <v>215.51999599999999</v>
      </c>
      <c r="J15" s="4">
        <v>1</v>
      </c>
      <c r="K15" s="4">
        <v>1</v>
      </c>
      <c r="L15" s="3">
        <v>2.1322923737999998E-2</v>
      </c>
      <c r="M15" s="3">
        <v>0.61169499999999999</v>
      </c>
      <c r="N15" s="3">
        <v>0</v>
      </c>
      <c r="O15" s="9">
        <v>0</v>
      </c>
      <c r="P15" s="2">
        <v>2.4689700011749012</v>
      </c>
      <c r="Q15" s="2">
        <v>46.955412253251431</v>
      </c>
      <c r="R15" s="63"/>
      <c r="S15">
        <f t="shared" si="0"/>
        <v>396</v>
      </c>
      <c r="T15">
        <f t="shared" si="1"/>
        <v>2.5314712673542388E-2</v>
      </c>
      <c r="U15">
        <f t="shared" si="2"/>
        <v>4.5760145298083382E-5</v>
      </c>
      <c r="V15" s="64"/>
      <c r="W15">
        <f t="shared" si="3"/>
        <v>365</v>
      </c>
      <c r="X15" s="21">
        <f t="shared" si="6"/>
        <v>150838.59699999998</v>
      </c>
      <c r="AA15">
        <f t="shared" si="4"/>
        <v>365</v>
      </c>
      <c r="AB15">
        <f t="shared" si="5"/>
        <v>2207.5287018051995</v>
      </c>
    </row>
    <row r="16" spans="1:36" x14ac:dyDescent="0.3">
      <c r="A16" s="6">
        <v>44682</v>
      </c>
      <c r="B16" s="2">
        <v>293.2540386451613</v>
      </c>
      <c r="C16" s="2">
        <v>286.19241935483871</v>
      </c>
      <c r="D16" s="2">
        <v>7.0616192903225805</v>
      </c>
      <c r="E16" s="2">
        <v>2142.1612903225805</v>
      </c>
      <c r="F16" s="2">
        <v>8871.9650000000001</v>
      </c>
      <c r="G16" s="12">
        <v>1.1870697809999999E-3</v>
      </c>
      <c r="H16" s="2">
        <v>66407</v>
      </c>
      <c r="I16" s="2">
        <v>218.91019800000001</v>
      </c>
      <c r="J16" s="4">
        <v>1</v>
      </c>
      <c r="K16" s="4">
        <v>1</v>
      </c>
      <c r="L16" s="3">
        <v>2.2509993518999998E-2</v>
      </c>
      <c r="M16" s="3">
        <v>0.67810199999999998</v>
      </c>
      <c r="N16" s="3">
        <v>0</v>
      </c>
      <c r="O16" s="9">
        <v>0</v>
      </c>
      <c r="P16" s="2">
        <v>2.4080211556326327</v>
      </c>
      <c r="Q16" s="2">
        <v>47.079395443963087</v>
      </c>
      <c r="R16" s="63"/>
      <c r="S16">
        <f t="shared" si="0"/>
        <v>426</v>
      </c>
      <c r="T16">
        <f t="shared" si="1"/>
        <v>2.4674375744268603E-2</v>
      </c>
      <c r="U16">
        <f t="shared" si="2"/>
        <v>-8.266980139914301E-7</v>
      </c>
      <c r="V16" s="64"/>
      <c r="W16">
        <f t="shared" si="3"/>
        <v>396</v>
      </c>
      <c r="X16" s="21">
        <f t="shared" si="6"/>
        <v>159352.22299999997</v>
      </c>
      <c r="AA16">
        <f t="shared" si="4"/>
        <v>396</v>
      </c>
      <c r="AB16">
        <f t="shared" si="5"/>
        <v>2074.8184489268556</v>
      </c>
    </row>
    <row r="17" spans="1:28" x14ac:dyDescent="0.3">
      <c r="A17" s="6">
        <v>44713</v>
      </c>
      <c r="B17" s="2">
        <v>273.71302879999996</v>
      </c>
      <c r="C17" s="2">
        <v>266.96826666666664</v>
      </c>
      <c r="D17" s="2">
        <v>6.7447621333333334</v>
      </c>
      <c r="E17" s="2">
        <v>2002.2666666666667</v>
      </c>
      <c r="F17" s="2">
        <v>8009.0479999999998</v>
      </c>
      <c r="G17" s="12">
        <v>1.0716114050000002E-3</v>
      </c>
      <c r="H17" s="2">
        <v>60068</v>
      </c>
      <c r="I17" s="2">
        <v>202.34286399999999</v>
      </c>
      <c r="J17" s="4">
        <v>1</v>
      </c>
      <c r="K17" s="4">
        <v>1</v>
      </c>
      <c r="L17" s="3">
        <v>2.3581604923999997E-2</v>
      </c>
      <c r="M17" s="3">
        <v>0.73816999999999999</v>
      </c>
      <c r="N17" s="3">
        <v>0</v>
      </c>
      <c r="O17" s="9">
        <v>0</v>
      </c>
      <c r="P17" s="2">
        <v>2.4641728466136259</v>
      </c>
      <c r="Q17" s="2">
        <v>47.173609947149771</v>
      </c>
      <c r="R17" s="63"/>
      <c r="S17">
        <f t="shared" si="0"/>
        <v>457</v>
      </c>
      <c r="T17">
        <f t="shared" si="1"/>
        <v>2.5264284094688911E-2</v>
      </c>
      <c r="U17">
        <f t="shared" si="2"/>
        <v>-1.2493218720677702E-5</v>
      </c>
      <c r="V17" s="64"/>
      <c r="W17">
        <f t="shared" si="3"/>
        <v>426</v>
      </c>
      <c r="X17" s="21">
        <f t="shared" si="6"/>
        <v>168224.18799999997</v>
      </c>
      <c r="AA17">
        <f t="shared" si="4"/>
        <v>426</v>
      </c>
      <c r="AB17">
        <f t="shared" si="5"/>
        <v>1953.9904288255948</v>
      </c>
    </row>
    <row r="18" spans="1:28" x14ac:dyDescent="0.3">
      <c r="A18" s="6">
        <v>44743</v>
      </c>
      <c r="B18" s="2">
        <v>228.84030103225808</v>
      </c>
      <c r="C18" s="2">
        <v>223.49600000000001</v>
      </c>
      <c r="D18" s="2">
        <v>5.3443010322580644</v>
      </c>
      <c r="E18" s="2">
        <v>1609.7096774193549</v>
      </c>
      <c r="F18" s="2">
        <v>6928.3760000000002</v>
      </c>
      <c r="G18" s="12">
        <v>9.27017387E-4</v>
      </c>
      <c r="H18" s="2">
        <v>49901</v>
      </c>
      <c r="I18" s="2">
        <v>165.67333199999999</v>
      </c>
      <c r="J18" s="4">
        <v>1</v>
      </c>
      <c r="K18" s="4">
        <v>1</v>
      </c>
      <c r="L18" s="3">
        <v>2.4508622310999997E-2</v>
      </c>
      <c r="M18" s="3">
        <v>0.78807099999999997</v>
      </c>
      <c r="N18" s="3">
        <v>0</v>
      </c>
      <c r="O18" s="9">
        <v>0</v>
      </c>
      <c r="P18" s="2">
        <v>2.3353845490286758</v>
      </c>
      <c r="Q18" s="2">
        <v>45.30171425453814</v>
      </c>
      <c r="R18" s="63"/>
      <c r="S18">
        <f t="shared" si="0"/>
        <v>487</v>
      </c>
      <c r="T18">
        <f t="shared" si="1"/>
        <v>2.3912289402307264E-2</v>
      </c>
      <c r="U18">
        <f t="shared" si="2"/>
        <v>4.4651737421470428E-5</v>
      </c>
      <c r="V18" s="64"/>
      <c r="W18">
        <f t="shared" si="3"/>
        <v>457</v>
      </c>
      <c r="X18" s="21">
        <f t="shared" si="6"/>
        <v>176233.23599999998</v>
      </c>
      <c r="AA18">
        <f t="shared" si="4"/>
        <v>457</v>
      </c>
      <c r="AB18">
        <f t="shared" si="5"/>
        <v>1836.5221650067576</v>
      </c>
    </row>
    <row r="19" spans="1:28" x14ac:dyDescent="0.3">
      <c r="A19" s="6">
        <v>44774</v>
      </c>
      <c r="B19" s="2">
        <v>248.32576509677401</v>
      </c>
      <c r="C19" s="2">
        <v>241.56483870967699</v>
      </c>
      <c r="D19" s="2">
        <v>6.7609263870967702</v>
      </c>
      <c r="E19" s="2">
        <v>1717.0645161290299</v>
      </c>
      <c r="F19" s="2">
        <v>7488.51</v>
      </c>
      <c r="G19" s="12">
        <v>1.0019633669999901E-3</v>
      </c>
      <c r="H19" s="2">
        <v>53229</v>
      </c>
      <c r="I19" s="2">
        <v>209.588718</v>
      </c>
      <c r="J19" s="4">
        <v>1</v>
      </c>
      <c r="K19" s="4">
        <v>1</v>
      </c>
      <c r="L19" s="3">
        <v>2.5510585677999988E-2</v>
      </c>
      <c r="M19" s="3">
        <v>0.84129999999999994</v>
      </c>
      <c r="N19" s="3">
        <v>0</v>
      </c>
      <c r="O19" s="9">
        <v>0</v>
      </c>
      <c r="P19" s="2">
        <v>2.7226036671877347</v>
      </c>
      <c r="Q19" s="2">
        <v>44.708461923667052</v>
      </c>
      <c r="R19" s="63"/>
      <c r="S19">
        <f t="shared" si="0"/>
        <v>518</v>
      </c>
      <c r="T19">
        <f t="shared" si="1"/>
        <v>2.7988040077398607E-2</v>
      </c>
      <c r="U19">
        <f t="shared" si="2"/>
        <v>-1.2584360343303005E-4</v>
      </c>
      <c r="V19" s="64"/>
      <c r="W19">
        <f t="shared" si="3"/>
        <v>487</v>
      </c>
      <c r="X19" s="21">
        <f t="shared" si="6"/>
        <v>183161.61199999996</v>
      </c>
      <c r="AA19">
        <f t="shared" si="4"/>
        <v>487</v>
      </c>
      <c r="AB19">
        <f t="shared" si="5"/>
        <v>1729.5714401447237</v>
      </c>
    </row>
    <row r="20" spans="1:28" x14ac:dyDescent="0.3">
      <c r="A20" s="6">
        <v>44805</v>
      </c>
      <c r="B20" s="2">
        <v>474.81908533333302</v>
      </c>
      <c r="C20" s="2">
        <v>467.29103333333302</v>
      </c>
      <c r="D20" s="2">
        <v>7.5280519999999997</v>
      </c>
      <c r="E20" s="2">
        <v>3092.6</v>
      </c>
      <c r="F20" s="2">
        <v>14018.731</v>
      </c>
      <c r="G20" s="12">
        <v>1.875707573E-3</v>
      </c>
      <c r="H20" s="2">
        <v>92778</v>
      </c>
      <c r="I20" s="2">
        <v>225.84155999999999</v>
      </c>
      <c r="J20" s="4">
        <v>1</v>
      </c>
      <c r="K20" s="4">
        <v>1</v>
      </c>
      <c r="L20" s="3">
        <v>2.7386293250999987E-2</v>
      </c>
      <c r="M20" s="3">
        <v>0.93407799999999996</v>
      </c>
      <c r="N20" s="3">
        <v>0</v>
      </c>
      <c r="O20" s="9">
        <v>0</v>
      </c>
      <c r="P20" s="2">
        <v>1.5854569103335732</v>
      </c>
      <c r="Q20" s="2">
        <v>41.626810900358954</v>
      </c>
      <c r="R20" s="63"/>
      <c r="S20">
        <f t="shared" si="0"/>
        <v>549</v>
      </c>
      <c r="T20">
        <f t="shared" si="1"/>
        <v>1.61099859894594E-2</v>
      </c>
      <c r="U20">
        <f t="shared" si="2"/>
        <v>-2.3833848704483428E-4</v>
      </c>
      <c r="V20" s="64"/>
      <c r="W20">
        <f t="shared" si="3"/>
        <v>518</v>
      </c>
      <c r="X20" s="21">
        <f t="shared" si="6"/>
        <v>190650.12199999997</v>
      </c>
      <c r="AA20">
        <f t="shared" si="4"/>
        <v>518</v>
      </c>
      <c r="AB20">
        <f t="shared" si="5"/>
        <v>1625.594598074644</v>
      </c>
    </row>
    <row r="21" spans="1:28" x14ac:dyDescent="0.3">
      <c r="A21" s="6">
        <v>44835</v>
      </c>
      <c r="B21" s="2">
        <v>539.191528225806</v>
      </c>
      <c r="C21" s="2">
        <v>532.035967741935</v>
      </c>
      <c r="D21" s="2">
        <v>7.1555604838709597</v>
      </c>
      <c r="E21" s="2">
        <v>3406.0967741935401</v>
      </c>
      <c r="F21" s="2">
        <v>16493.115000000002</v>
      </c>
      <c r="G21" s="12">
        <v>2.2067803959999999E-3</v>
      </c>
      <c r="H21" s="2">
        <v>105589</v>
      </c>
      <c r="I21" s="2">
        <v>221.82237499999999</v>
      </c>
      <c r="J21" s="4">
        <v>1</v>
      </c>
      <c r="K21" s="4">
        <v>1</v>
      </c>
      <c r="L21" s="3">
        <v>2.9593073646999986E-2</v>
      </c>
      <c r="M21" s="3">
        <v>1.0396669999999999</v>
      </c>
      <c r="N21" s="3">
        <v>0</v>
      </c>
      <c r="O21" s="9">
        <v>0</v>
      </c>
      <c r="P21" s="2">
        <v>1.3270906735897954</v>
      </c>
      <c r="Q21" s="2">
        <v>40.267329258299597</v>
      </c>
      <c r="R21" s="63"/>
      <c r="S21">
        <f t="shared" si="0"/>
        <v>579</v>
      </c>
      <c r="T21">
        <f t="shared" si="1"/>
        <v>1.3449392367663716E-2</v>
      </c>
      <c r="U21">
        <f t="shared" si="2"/>
        <v>-8.1737639883705518E-5</v>
      </c>
      <c r="V21" s="64"/>
      <c r="W21">
        <f t="shared" si="3"/>
        <v>549</v>
      </c>
      <c r="X21" s="21">
        <f t="shared" si="6"/>
        <v>204668.85299999997</v>
      </c>
      <c r="AA21">
        <f t="shared" si="4"/>
        <v>549</v>
      </c>
      <c r="AB21">
        <f t="shared" si="5"/>
        <v>1527.8685435903963</v>
      </c>
    </row>
    <row r="22" spans="1:28" x14ac:dyDescent="0.3">
      <c r="A22" s="6">
        <v>44866</v>
      </c>
      <c r="B22" s="2">
        <v>496.05928320000004</v>
      </c>
      <c r="C22" s="2">
        <v>490.60183333333333</v>
      </c>
      <c r="D22" s="2">
        <v>5.4574498666666669</v>
      </c>
      <c r="E22" s="2">
        <v>3308.4</v>
      </c>
      <c r="F22" s="2">
        <v>14718.055</v>
      </c>
      <c r="G22" s="12">
        <v>1.9692771949999998E-3</v>
      </c>
      <c r="H22" s="2">
        <v>99252</v>
      </c>
      <c r="I22" s="2">
        <v>163.72349600000001</v>
      </c>
      <c r="J22" s="4">
        <v>1</v>
      </c>
      <c r="K22" s="4">
        <v>1</v>
      </c>
      <c r="L22" s="3">
        <v>3.1562350841999987E-2</v>
      </c>
      <c r="M22" s="3">
        <v>1.138919</v>
      </c>
      <c r="N22" s="3">
        <v>0</v>
      </c>
      <c r="O22" s="9">
        <v>0</v>
      </c>
      <c r="P22" s="2">
        <v>1.1001608177678928</v>
      </c>
      <c r="Q22" s="2">
        <v>42.41560651866024</v>
      </c>
      <c r="R22" s="63"/>
      <c r="S22">
        <f t="shared" si="0"/>
        <v>610</v>
      </c>
      <c r="T22">
        <f t="shared" si="1"/>
        <v>1.1123989956553363E-2</v>
      </c>
      <c r="U22">
        <f t="shared" si="2"/>
        <v>1.2337528220351183E-5</v>
      </c>
      <c r="V22" s="64"/>
      <c r="W22">
        <f t="shared" si="3"/>
        <v>579</v>
      </c>
      <c r="X22" s="21">
        <f t="shared" si="6"/>
        <v>221161.96799999996</v>
      </c>
      <c r="AA22">
        <f t="shared" si="4"/>
        <v>579</v>
      </c>
      <c r="AB22">
        <f t="shared" si="5"/>
        <v>1438.892406332455</v>
      </c>
    </row>
    <row r="23" spans="1:28" x14ac:dyDescent="0.3">
      <c r="A23" s="6">
        <v>44896</v>
      </c>
      <c r="B23" s="2">
        <v>436.23261312903225</v>
      </c>
      <c r="C23" s="2">
        <v>430.12399999999997</v>
      </c>
      <c r="D23" s="2">
        <v>6.1086131290322578</v>
      </c>
      <c r="E23" s="2">
        <v>3137.7096774193546</v>
      </c>
      <c r="F23" s="2">
        <v>13333.843999999999</v>
      </c>
      <c r="G23" s="12">
        <v>1.784069628E-3</v>
      </c>
      <c r="H23" s="2">
        <v>97269</v>
      </c>
      <c r="I23" s="2">
        <v>189.367007</v>
      </c>
      <c r="J23" s="4">
        <v>1</v>
      </c>
      <c r="K23" s="4">
        <v>1</v>
      </c>
      <c r="L23" s="8">
        <v>3.3346420469999985E-2</v>
      </c>
      <c r="M23" s="3">
        <v>1.2361880000000001</v>
      </c>
      <c r="N23" s="3">
        <v>0</v>
      </c>
      <c r="O23" s="9">
        <v>0</v>
      </c>
      <c r="P23" s="2">
        <v>1.4003109683194193</v>
      </c>
      <c r="Q23" s="2">
        <v>45.88343437946326</v>
      </c>
      <c r="R23" s="63"/>
      <c r="S23">
        <f t="shared" si="0"/>
        <v>640</v>
      </c>
      <c r="T23">
        <f t="shared" si="1"/>
        <v>1.4201981589105139E-2</v>
      </c>
      <c r="U23">
        <f t="shared" si="2"/>
        <v>6.3709140015346413E-5</v>
      </c>
      <c r="V23" s="64"/>
      <c r="W23">
        <f t="shared" si="3"/>
        <v>610</v>
      </c>
      <c r="X23" s="21">
        <f t="shared" si="6"/>
        <v>235880.02299999996</v>
      </c>
      <c r="AA23">
        <f t="shared" si="4"/>
        <v>610</v>
      </c>
      <c r="AB23">
        <f t="shared" si="5"/>
        <v>1352.3903486455245</v>
      </c>
    </row>
    <row r="24" spans="1:28" x14ac:dyDescent="0.3">
      <c r="A24" s="6">
        <v>44927</v>
      </c>
      <c r="B24" s="2">
        <v>446.20554438709598</v>
      </c>
      <c r="C24" s="2">
        <v>439.60693548387098</v>
      </c>
      <c r="D24" s="2">
        <v>6.5986089032258004</v>
      </c>
      <c r="E24" s="2">
        <v>3079.2580645161202</v>
      </c>
      <c r="F24" s="2">
        <v>13627.815000000001</v>
      </c>
      <c r="G24" s="12">
        <v>1.823402974E-3</v>
      </c>
      <c r="H24" s="2">
        <v>95457</v>
      </c>
      <c r="I24" s="2">
        <v>204.55687599999999</v>
      </c>
      <c r="J24" s="4">
        <v>1</v>
      </c>
      <c r="K24" s="4">
        <v>1</v>
      </c>
      <c r="L24" s="3">
        <v>3.5169823443999985E-2</v>
      </c>
      <c r="M24" s="3">
        <v>1.331645</v>
      </c>
      <c r="N24" s="3">
        <v>0</v>
      </c>
      <c r="O24" s="9">
        <v>0</v>
      </c>
      <c r="P24" s="2">
        <v>1.4788271876562147</v>
      </c>
      <c r="Q24" s="2">
        <v>44.057351717791875</v>
      </c>
      <c r="R24" s="63"/>
      <c r="S24">
        <f t="shared" si="0"/>
        <v>671</v>
      </c>
      <c r="T24">
        <f t="shared" si="1"/>
        <v>1.5010247497489495E-2</v>
      </c>
      <c r="U24">
        <f t="shared" si="2"/>
        <v>5.5923950313337157E-5</v>
      </c>
      <c r="V24" s="64"/>
      <c r="W24">
        <f t="shared" si="3"/>
        <v>640</v>
      </c>
      <c r="X24" s="21">
        <f t="shared" si="6"/>
        <v>249213.86699999997</v>
      </c>
      <c r="AA24">
        <f t="shared" si="4"/>
        <v>640</v>
      </c>
      <c r="AB24">
        <f t="shared" si="5"/>
        <v>1273.6332659159918</v>
      </c>
    </row>
    <row r="25" spans="1:28" x14ac:dyDescent="0.3">
      <c r="A25" s="6">
        <v>44958</v>
      </c>
      <c r="B25" s="2">
        <v>445.36456374999898</v>
      </c>
      <c r="C25" s="2">
        <v>437.63192857142798</v>
      </c>
      <c r="D25" s="2">
        <v>7.73263517857142</v>
      </c>
      <c r="E25" s="2">
        <v>2768.0714285714198</v>
      </c>
      <c r="F25" s="2">
        <v>12253.694</v>
      </c>
      <c r="G25" s="12">
        <v>1.639545448E-3</v>
      </c>
      <c r="H25" s="2">
        <v>77506</v>
      </c>
      <c r="I25" s="2">
        <v>216.51378500000001</v>
      </c>
      <c r="J25" s="4">
        <v>1</v>
      </c>
      <c r="K25" s="4">
        <v>1</v>
      </c>
      <c r="L25" s="3">
        <v>3.6809368891999983E-2</v>
      </c>
      <c r="M25" s="3">
        <v>1.409151</v>
      </c>
      <c r="N25" s="3">
        <v>0</v>
      </c>
      <c r="O25" s="9">
        <v>0</v>
      </c>
      <c r="P25" s="2">
        <v>1.7362484148855748</v>
      </c>
      <c r="Q25" s="2">
        <v>39.783696149095938</v>
      </c>
      <c r="R25" s="63"/>
      <c r="S25">
        <f t="shared" si="0"/>
        <v>702</v>
      </c>
      <c r="T25">
        <f t="shared" si="1"/>
        <v>1.7669266508532042E-2</v>
      </c>
      <c r="U25">
        <f t="shared" si="2"/>
        <v>9.6735444455234255E-5</v>
      </c>
      <c r="V25" s="64"/>
      <c r="W25">
        <f t="shared" si="3"/>
        <v>671</v>
      </c>
      <c r="X25" s="21">
        <f t="shared" si="6"/>
        <v>262841.68199999997</v>
      </c>
      <c r="AA25">
        <f t="shared" si="4"/>
        <v>671</v>
      </c>
      <c r="AB25">
        <f t="shared" si="5"/>
        <v>1197.0661106822847</v>
      </c>
    </row>
    <row r="26" spans="1:28" x14ac:dyDescent="0.3">
      <c r="A26" s="6">
        <v>44986</v>
      </c>
      <c r="B26" s="2">
        <v>454.243155</v>
      </c>
      <c r="C26" s="2">
        <v>445.02332258064502</v>
      </c>
      <c r="D26" s="2">
        <v>9.2198324193548302</v>
      </c>
      <c r="E26" s="2">
        <v>2696</v>
      </c>
      <c r="F26" s="2">
        <v>13795.723</v>
      </c>
      <c r="G26" s="12">
        <v>1.8458690819999899E-3</v>
      </c>
      <c r="H26" s="2">
        <v>83576</v>
      </c>
      <c r="I26" s="2">
        <v>285.81480499999998</v>
      </c>
      <c r="J26" s="4">
        <v>1</v>
      </c>
      <c r="K26" s="4">
        <v>1</v>
      </c>
      <c r="L26" s="3">
        <v>3.8655237973999973E-2</v>
      </c>
      <c r="M26" s="3">
        <v>1.4927270000000001</v>
      </c>
      <c r="N26" s="3">
        <v>0</v>
      </c>
      <c r="O26" s="9">
        <v>0</v>
      </c>
      <c r="P26" s="2">
        <v>2.029713011163556</v>
      </c>
      <c r="Q26" s="2">
        <v>38.104296875198202</v>
      </c>
      <c r="R26" s="63"/>
      <c r="S26">
        <f t="shared" si="0"/>
        <v>730</v>
      </c>
      <c r="T26">
        <f t="shared" si="1"/>
        <v>2.0717638720348316E-2</v>
      </c>
      <c r="U26">
        <f t="shared" si="2"/>
        <v>8.0968843462252545E-5</v>
      </c>
      <c r="V26" s="64"/>
      <c r="W26">
        <f t="shared" si="3"/>
        <v>702</v>
      </c>
      <c r="X26" s="21">
        <f t="shared" si="6"/>
        <v>275095.37599999999</v>
      </c>
      <c r="AA26">
        <f t="shared" si="4"/>
        <v>702</v>
      </c>
      <c r="AB26">
        <f t="shared" si="5"/>
        <v>1125.1019517878469</v>
      </c>
    </row>
    <row r="27" spans="1:28" x14ac:dyDescent="0.3">
      <c r="A27" s="6">
        <v>45017</v>
      </c>
      <c r="B27" s="2">
        <v>436.13495293333301</v>
      </c>
      <c r="C27" s="2">
        <v>426.56020000000001</v>
      </c>
      <c r="D27" s="2">
        <v>9.5747529333333308</v>
      </c>
      <c r="E27" s="2">
        <v>2644.2</v>
      </c>
      <c r="F27" s="2">
        <v>12796.806</v>
      </c>
      <c r="G27" s="12">
        <v>1.7122138930000001E-3</v>
      </c>
      <c r="H27" s="2">
        <v>79326</v>
      </c>
      <c r="I27" s="2">
        <v>287.24258800000001</v>
      </c>
      <c r="J27" s="4">
        <v>1</v>
      </c>
      <c r="K27" s="4">
        <v>1</v>
      </c>
      <c r="L27" s="3">
        <v>4.036745186699997E-2</v>
      </c>
      <c r="M27" s="3">
        <v>1.5720530000000001</v>
      </c>
      <c r="N27" s="3">
        <v>0</v>
      </c>
      <c r="O27" s="9">
        <v>0</v>
      </c>
      <c r="P27" s="2">
        <v>2.1953647303285297</v>
      </c>
      <c r="Q27" s="2">
        <v>38.98978188776168</v>
      </c>
      <c r="R27" s="63"/>
      <c r="S27">
        <f t="shared" si="0"/>
        <v>761</v>
      </c>
      <c r="T27">
        <f t="shared" si="1"/>
        <v>2.2446428272804943E-2</v>
      </c>
      <c r="U27">
        <f t="shared" si="2"/>
        <v>-2.4812922396187289E-5</v>
      </c>
      <c r="V27" s="64"/>
      <c r="W27">
        <f t="shared" si="3"/>
        <v>730</v>
      </c>
      <c r="X27" s="21">
        <f t="shared" si="6"/>
        <v>288891.09899999999</v>
      </c>
      <c r="AA27">
        <f t="shared" si="4"/>
        <v>730</v>
      </c>
      <c r="AB27">
        <f t="shared" si="5"/>
        <v>1063.8279272820794</v>
      </c>
    </row>
    <row r="28" spans="1:28" x14ac:dyDescent="0.3">
      <c r="A28" s="6">
        <v>45047</v>
      </c>
      <c r="B28" s="2">
        <v>388.48464887096776</v>
      </c>
      <c r="C28" s="2">
        <v>381.16474193548385</v>
      </c>
      <c r="D28" s="2">
        <v>7.3199069354838704</v>
      </c>
      <c r="E28" s="2">
        <v>2360.5806451612902</v>
      </c>
      <c r="F28" s="2">
        <v>11816.107</v>
      </c>
      <c r="G28" s="12">
        <v>1.5809962709999999E-3</v>
      </c>
      <c r="H28" s="2">
        <v>73178</v>
      </c>
      <c r="I28" s="2">
        <v>226.917115</v>
      </c>
      <c r="J28" s="4">
        <v>1</v>
      </c>
      <c r="K28" s="4">
        <v>1</v>
      </c>
      <c r="L28" s="3">
        <v>4.1948448137999972E-2</v>
      </c>
      <c r="M28" s="3">
        <v>1.6452310000000001</v>
      </c>
      <c r="N28" s="3">
        <v>0</v>
      </c>
      <c r="O28" s="9">
        <v>0</v>
      </c>
      <c r="P28" s="2">
        <v>1.8842203821328143</v>
      </c>
      <c r="Q28" s="2">
        <v>38.953183514671963</v>
      </c>
      <c r="R28" s="63"/>
      <c r="S28">
        <f t="shared" si="0"/>
        <v>791</v>
      </c>
      <c r="T28">
        <f t="shared" si="1"/>
        <v>1.9204050454180891E-2</v>
      </c>
      <c r="U28">
        <f t="shared" si="2"/>
        <v>9.2674609162922362E-5</v>
      </c>
      <c r="V28" s="64"/>
      <c r="W28">
        <f t="shared" si="3"/>
        <v>761</v>
      </c>
      <c r="X28" s="21">
        <f t="shared" si="6"/>
        <v>301687.90499999997</v>
      </c>
      <c r="AA28">
        <f t="shared" si="4"/>
        <v>761</v>
      </c>
      <c r="AB28">
        <f t="shared" si="5"/>
        <v>999.87366334286128</v>
      </c>
    </row>
    <row r="29" spans="1:28" x14ac:dyDescent="0.3">
      <c r="A29" s="6">
        <v>45078</v>
      </c>
      <c r="B29" s="2">
        <v>453.17858386666666</v>
      </c>
      <c r="C29" s="2">
        <v>440.79249999999996</v>
      </c>
      <c r="D29" s="2">
        <v>12.386083866666667</v>
      </c>
      <c r="E29" s="2">
        <v>2583.0333333333333</v>
      </c>
      <c r="F29" s="2">
        <v>13223.775</v>
      </c>
      <c r="G29" s="12">
        <v>1.7693423869999999E-3</v>
      </c>
      <c r="H29" s="2">
        <v>77491</v>
      </c>
      <c r="I29" s="2">
        <v>371.582516</v>
      </c>
      <c r="J29" s="4">
        <v>1</v>
      </c>
      <c r="K29" s="4">
        <v>1</v>
      </c>
      <c r="L29" s="3">
        <v>4.3717790524999973E-2</v>
      </c>
      <c r="M29" s="3">
        <v>1.7227220000000001</v>
      </c>
      <c r="N29" s="3">
        <v>0</v>
      </c>
      <c r="O29" s="9">
        <v>0</v>
      </c>
      <c r="P29" s="2">
        <v>2.7331573705413397</v>
      </c>
      <c r="Q29" s="2">
        <v>36.858075080678546</v>
      </c>
      <c r="R29" s="63"/>
      <c r="S29">
        <f t="shared" si="0"/>
        <v>822</v>
      </c>
      <c r="T29">
        <f t="shared" si="1"/>
        <v>2.8099579431743207E-2</v>
      </c>
      <c r="U29">
        <f t="shared" si="2"/>
        <v>-7.6545661745566255E-5</v>
      </c>
      <c r="V29" s="64"/>
      <c r="W29">
        <f t="shared" si="3"/>
        <v>791</v>
      </c>
      <c r="X29" s="21">
        <f t="shared" si="6"/>
        <v>313504.01199999999</v>
      </c>
      <c r="AA29">
        <f t="shared" si="4"/>
        <v>791</v>
      </c>
      <c r="AB29">
        <f t="shared" si="5"/>
        <v>941.64555420126385</v>
      </c>
    </row>
    <row r="30" spans="1:28" x14ac:dyDescent="0.3">
      <c r="A30" s="6">
        <v>45108</v>
      </c>
      <c r="B30" s="2">
        <v>437.60117838709675</v>
      </c>
      <c r="C30" s="2">
        <v>431.33187096774196</v>
      </c>
      <c r="D30" s="2">
        <v>6.2693074193548393</v>
      </c>
      <c r="E30" s="2">
        <v>2546.8387096774195</v>
      </c>
      <c r="F30" s="2">
        <v>13371.288</v>
      </c>
      <c r="G30" s="12">
        <v>1.7890796419999999E-3</v>
      </c>
      <c r="H30" s="2">
        <v>78952</v>
      </c>
      <c r="I30" s="2">
        <v>194.34853000000001</v>
      </c>
      <c r="J30" s="4">
        <v>1</v>
      </c>
      <c r="K30" s="4">
        <v>1</v>
      </c>
      <c r="L30" s="3">
        <v>4.5506870166999974E-2</v>
      </c>
      <c r="M30" s="3">
        <v>1.801674</v>
      </c>
      <c r="N30" s="3">
        <v>0</v>
      </c>
      <c r="O30" s="9">
        <v>0</v>
      </c>
      <c r="P30" s="2">
        <v>1.4326532306110669</v>
      </c>
      <c r="Q30" s="2">
        <v>37.138702688925697</v>
      </c>
      <c r="R30" s="63"/>
      <c r="S30">
        <f t="shared" si="0"/>
        <v>852</v>
      </c>
      <c r="T30">
        <f t="shared" si="1"/>
        <v>1.4534765087701349E-2</v>
      </c>
      <c r="U30">
        <f t="shared" si="2"/>
        <v>-2.6733025886525234E-4</v>
      </c>
      <c r="V30" s="64"/>
      <c r="W30">
        <f t="shared" si="3"/>
        <v>822</v>
      </c>
      <c r="X30" s="21">
        <f t="shared" si="6"/>
        <v>326727.78700000001</v>
      </c>
      <c r="AA30">
        <f t="shared" si="4"/>
        <v>822</v>
      </c>
      <c r="AB30">
        <f t="shared" si="5"/>
        <v>885.03654181667855</v>
      </c>
    </row>
    <row r="31" spans="1:28" x14ac:dyDescent="0.3">
      <c r="A31" s="6">
        <v>45139</v>
      </c>
      <c r="B31" s="2">
        <v>360.81004496774193</v>
      </c>
      <c r="C31" s="2">
        <v>356.60480645161289</v>
      </c>
      <c r="D31" s="2">
        <v>4.2052385161290324</v>
      </c>
      <c r="E31" s="2">
        <v>1829.1612903225807</v>
      </c>
      <c r="F31" s="2">
        <v>11054.749</v>
      </c>
      <c r="G31" s="12">
        <v>1.4791264950000001E-3</v>
      </c>
      <c r="H31" s="2">
        <v>56704</v>
      </c>
      <c r="I31" s="2">
        <v>130.36239399999999</v>
      </c>
      <c r="J31" s="4">
        <v>1</v>
      </c>
      <c r="K31" s="4">
        <v>1</v>
      </c>
      <c r="L31" s="3">
        <v>4.6985996661999971E-2</v>
      </c>
      <c r="M31" s="3">
        <v>1.8583780000000001</v>
      </c>
      <c r="N31" s="3">
        <v>0</v>
      </c>
      <c r="O31" s="9">
        <v>0</v>
      </c>
      <c r="P31" s="2">
        <v>1.1654992910480084</v>
      </c>
      <c r="Q31" s="2">
        <v>32.262769530090644</v>
      </c>
      <c r="R31" s="63"/>
      <c r="S31">
        <f t="shared" si="0"/>
        <v>883</v>
      </c>
      <c r="T31">
        <f t="shared" si="1"/>
        <v>1.1792433640962812E-2</v>
      </c>
      <c r="U31">
        <f t="shared" si="2"/>
        <v>-1.3220493582324726E-4</v>
      </c>
      <c r="V31" s="64"/>
      <c r="W31">
        <f t="shared" si="3"/>
        <v>852</v>
      </c>
      <c r="X31" s="21">
        <f t="shared" si="6"/>
        <v>340099.07500000001</v>
      </c>
      <c r="AA31">
        <f t="shared" si="4"/>
        <v>852</v>
      </c>
      <c r="AB31">
        <f t="shared" si="5"/>
        <v>833.49602600900084</v>
      </c>
    </row>
    <row r="32" spans="1:28" x14ac:dyDescent="0.3">
      <c r="A32" s="6">
        <v>45170</v>
      </c>
      <c r="B32" s="2">
        <v>508.09287393333329</v>
      </c>
      <c r="C32" s="2">
        <v>504.89283333333333</v>
      </c>
      <c r="D32" s="2">
        <v>3.2000405999999999</v>
      </c>
      <c r="E32" s="2">
        <v>2445.0333333333333</v>
      </c>
      <c r="F32" s="2">
        <v>15146.785</v>
      </c>
      <c r="G32" s="12">
        <v>2.0266413080000001E-3</v>
      </c>
      <c r="H32" s="2">
        <v>73351</v>
      </c>
      <c r="I32" s="2">
        <v>96.001217999999994</v>
      </c>
      <c r="J32" s="4">
        <v>1</v>
      </c>
      <c r="K32" s="4">
        <v>1</v>
      </c>
      <c r="L32" s="3">
        <v>4.9012637969999974E-2</v>
      </c>
      <c r="M32" s="3">
        <v>1.931729</v>
      </c>
      <c r="N32" s="3">
        <v>0</v>
      </c>
      <c r="O32" s="9">
        <v>0</v>
      </c>
      <c r="P32" s="2">
        <v>0.62981410765069612</v>
      </c>
      <c r="Q32" s="2">
        <v>30.459475050315959</v>
      </c>
      <c r="R32" s="63"/>
      <c r="S32">
        <f t="shared" si="0"/>
        <v>914</v>
      </c>
      <c r="T32">
        <f t="shared" si="1"/>
        <v>6.3380590666600204E-3</v>
      </c>
      <c r="U32">
        <f t="shared" si="2"/>
        <v>-1.9320451743396521E-4</v>
      </c>
      <c r="V32" s="64"/>
      <c r="W32">
        <f t="shared" si="3"/>
        <v>883</v>
      </c>
      <c r="X32" s="21">
        <f t="shared" si="6"/>
        <v>351153.82400000002</v>
      </c>
      <c r="AA32">
        <f t="shared" si="4"/>
        <v>883</v>
      </c>
      <c r="AB32">
        <f t="shared" si="5"/>
        <v>783.3886510542402</v>
      </c>
    </row>
    <row r="33" spans="1:28" x14ac:dyDescent="0.3">
      <c r="A33" s="6">
        <v>45200</v>
      </c>
      <c r="B33" s="2">
        <v>524.89836193548388</v>
      </c>
      <c r="C33" s="2">
        <v>524.89470967741943</v>
      </c>
      <c r="D33" s="2">
        <v>3.6522580645161292E-3</v>
      </c>
      <c r="E33" s="2">
        <v>3043.3870967741937</v>
      </c>
      <c r="F33" s="2">
        <v>16271.736000000001</v>
      </c>
      <c r="G33" s="12">
        <v>2.1771598629999997E-3</v>
      </c>
      <c r="H33" s="2">
        <v>94345</v>
      </c>
      <c r="I33" s="2">
        <v>0.11322</v>
      </c>
      <c r="J33" s="4">
        <v>1</v>
      </c>
      <c r="K33" s="4">
        <v>1</v>
      </c>
      <c r="L33" s="3">
        <v>5.1189797832999977E-2</v>
      </c>
      <c r="M33" s="3">
        <v>2.0260739999999999</v>
      </c>
      <c r="N33" s="3">
        <v>0</v>
      </c>
      <c r="O33" s="9">
        <v>0</v>
      </c>
      <c r="P33" s="2">
        <v>6.9580290764272457E-4</v>
      </c>
      <c r="Q33" s="2">
        <v>36.468830430877198</v>
      </c>
      <c r="R33" s="63"/>
      <c r="S33">
        <f t="shared" si="0"/>
        <v>944</v>
      </c>
      <c r="T33">
        <f t="shared" si="1"/>
        <v>6.9580774909327432E-6</v>
      </c>
      <c r="U33">
        <f t="shared" si="2"/>
        <v>-6.590385946346052E-5</v>
      </c>
      <c r="V33" s="64"/>
      <c r="W33">
        <f t="shared" si="3"/>
        <v>914</v>
      </c>
      <c r="X33" s="21">
        <f t="shared" si="6"/>
        <v>366300.609</v>
      </c>
      <c r="AA33">
        <f t="shared" si="4"/>
        <v>914</v>
      </c>
      <c r="AB33">
        <f t="shared" si="5"/>
        <v>736.2935868322362</v>
      </c>
    </row>
    <row r="34" spans="1:28" x14ac:dyDescent="0.3">
      <c r="A34" s="6">
        <v>45231</v>
      </c>
      <c r="B34" s="2">
        <v>519.21735633333333</v>
      </c>
      <c r="C34" s="2">
        <v>518.01663333333329</v>
      </c>
      <c r="D34" s="2">
        <v>1.200723</v>
      </c>
      <c r="E34" s="2">
        <v>3342.2</v>
      </c>
      <c r="F34" s="2">
        <v>15540.499</v>
      </c>
      <c r="G34" s="12">
        <v>2.0793202849999997E-3</v>
      </c>
      <c r="H34" s="2">
        <v>100266</v>
      </c>
      <c r="I34" s="2">
        <v>36.02169</v>
      </c>
      <c r="J34" s="4">
        <v>1</v>
      </c>
      <c r="K34" s="4">
        <v>1</v>
      </c>
      <c r="L34" s="3">
        <v>5.3269118117999975E-2</v>
      </c>
      <c r="M34" s="3">
        <v>2.1263399999999999</v>
      </c>
      <c r="N34" s="3">
        <v>0</v>
      </c>
      <c r="O34" s="9">
        <v>0</v>
      </c>
      <c r="P34" s="2">
        <v>0.23125632942615762</v>
      </c>
      <c r="Q34" s="2">
        <v>40.581263626090767</v>
      </c>
      <c r="R34" s="63"/>
      <c r="S34">
        <f t="shared" si="0"/>
        <v>975</v>
      </c>
      <c r="T34">
        <f t="shared" si="1"/>
        <v>2.3179236393889285E-3</v>
      </c>
      <c r="U34">
        <f t="shared" si="2"/>
        <v>2.3222631179185775E-4</v>
      </c>
      <c r="V34" s="64"/>
      <c r="W34">
        <f t="shared" si="3"/>
        <v>944</v>
      </c>
      <c r="X34" s="21">
        <f t="shared" si="6"/>
        <v>382572.34499999997</v>
      </c>
      <c r="AA34">
        <f t="shared" si="4"/>
        <v>944</v>
      </c>
      <c r="AB34">
        <f t="shared" si="5"/>
        <v>693.41518638413459</v>
      </c>
    </row>
    <row r="35" spans="1:28" x14ac:dyDescent="0.3">
      <c r="A35" s="6">
        <v>45261</v>
      </c>
      <c r="B35" s="2">
        <v>472.16788987096771</v>
      </c>
      <c r="C35" s="2">
        <v>465.56948387096776</v>
      </c>
      <c r="D35" s="2">
        <v>6.5984060000000007</v>
      </c>
      <c r="E35" s="2">
        <v>4108.1290322580644</v>
      </c>
      <c r="F35" s="2">
        <v>14432.654</v>
      </c>
      <c r="G35" s="12">
        <v>1.93109051E-3</v>
      </c>
      <c r="H35" s="2">
        <v>127352</v>
      </c>
      <c r="I35" s="2">
        <v>204.55058600000001</v>
      </c>
      <c r="J35" s="4">
        <v>1</v>
      </c>
      <c r="K35" s="4">
        <v>1</v>
      </c>
      <c r="L35" s="3">
        <v>5.5200208627999972E-2</v>
      </c>
      <c r="M35" s="3">
        <v>2.253692</v>
      </c>
      <c r="N35" s="3">
        <v>0</v>
      </c>
      <c r="O35" s="9">
        <v>0</v>
      </c>
      <c r="P35" s="2">
        <v>1.3974702942640143</v>
      </c>
      <c r="Q35" s="2">
        <v>55.500437383172901</v>
      </c>
      <c r="R35" s="63"/>
      <c r="S35">
        <f t="shared" si="0"/>
        <v>1005</v>
      </c>
      <c r="T35">
        <f t="shared" si="1"/>
        <v>1.4172763096794256E-2</v>
      </c>
      <c r="U35">
        <f t="shared" si="2"/>
        <v>3.9113018880837795E-4</v>
      </c>
      <c r="V35" s="64"/>
      <c r="W35">
        <f t="shared" si="3"/>
        <v>975</v>
      </c>
      <c r="X35" s="21">
        <f t="shared" si="6"/>
        <v>398112.84399999998</v>
      </c>
      <c r="AA35">
        <f t="shared" si="4"/>
        <v>975</v>
      </c>
      <c r="AB35">
        <f t="shared" si="5"/>
        <v>651.72906712350152</v>
      </c>
    </row>
    <row r="36" spans="1:28" x14ac:dyDescent="0.3">
      <c r="A36" s="6">
        <v>45292</v>
      </c>
      <c r="B36" s="2">
        <v>287.26278764516127</v>
      </c>
      <c r="C36" s="2">
        <v>279.93496774193551</v>
      </c>
      <c r="D36" s="2">
        <v>7.3278199032258069</v>
      </c>
      <c r="E36" s="2">
        <v>3351.4193548387098</v>
      </c>
      <c r="F36" s="2">
        <v>8677.9840000000004</v>
      </c>
      <c r="G36" s="12">
        <v>1.1611151070000001E-3</v>
      </c>
      <c r="H36" s="2">
        <v>103894</v>
      </c>
      <c r="I36" s="2">
        <v>227.162417</v>
      </c>
      <c r="J36" s="4">
        <v>1</v>
      </c>
      <c r="K36" s="4">
        <v>1</v>
      </c>
      <c r="L36" s="3">
        <v>5.6361323734999975E-2</v>
      </c>
      <c r="M36" s="3">
        <v>2.357586</v>
      </c>
      <c r="N36" s="3">
        <v>0</v>
      </c>
      <c r="O36" s="9">
        <v>0</v>
      </c>
      <c r="P36" s="2">
        <v>2.550911645499113</v>
      </c>
      <c r="Q36" s="2">
        <v>75.302337639709862</v>
      </c>
      <c r="R36" s="63"/>
      <c r="S36">
        <f t="shared" si="0"/>
        <v>1036</v>
      </c>
      <c r="T36">
        <f t="shared" si="1"/>
        <v>2.6176865156699987E-2</v>
      </c>
      <c r="U36">
        <f t="shared" si="2"/>
        <v>6.1275973949210085E-4</v>
      </c>
      <c r="V36" s="64"/>
      <c r="W36">
        <f t="shared" si="3"/>
        <v>1005</v>
      </c>
      <c r="X36" s="21">
        <f t="shared" si="6"/>
        <v>412545.49799999996</v>
      </c>
      <c r="AA36">
        <f t="shared" si="4"/>
        <v>1005</v>
      </c>
      <c r="AB36">
        <f t="shared" si="5"/>
        <v>613.77532092286162</v>
      </c>
    </row>
    <row r="37" spans="1:28" x14ac:dyDescent="0.3">
      <c r="A37" s="6">
        <v>45323</v>
      </c>
      <c r="B37" s="2">
        <v>275.99372072413792</v>
      </c>
      <c r="C37" s="2">
        <v>262.31058620689652</v>
      </c>
      <c r="D37" s="2">
        <v>13.683134517241379</v>
      </c>
      <c r="E37" s="2">
        <v>4305.4827586206893</v>
      </c>
      <c r="F37" s="2">
        <v>7607.0069999999996</v>
      </c>
      <c r="G37" s="12">
        <v>1.017818278E-3</v>
      </c>
      <c r="H37" s="2">
        <v>124859</v>
      </c>
      <c r="I37" s="2">
        <v>396.810901</v>
      </c>
      <c r="J37" s="4">
        <v>1</v>
      </c>
      <c r="K37" s="4">
        <v>1</v>
      </c>
      <c r="L37" s="3">
        <v>5.7379142012999977E-2</v>
      </c>
      <c r="M37" s="3">
        <v>2.4824449999999998</v>
      </c>
      <c r="N37" s="3">
        <v>0</v>
      </c>
      <c r="O37" s="9">
        <v>0</v>
      </c>
      <c r="P37" s="2">
        <v>4.9577702280110891</v>
      </c>
      <c r="Q37" s="2">
        <v>103.23878211233406</v>
      </c>
      <c r="R37" s="63"/>
      <c r="S37">
        <f t="shared" si="0"/>
        <v>1067</v>
      </c>
      <c r="T37">
        <f t="shared" si="1"/>
        <v>5.2163866945304511E-2</v>
      </c>
      <c r="U37">
        <f t="shared" si="2"/>
        <v>7.9463222198550927E-4</v>
      </c>
      <c r="V37" s="64"/>
      <c r="W37">
        <f t="shared" si="3"/>
        <v>1036</v>
      </c>
      <c r="X37" s="21">
        <f t="shared" si="6"/>
        <v>421223.48199999996</v>
      </c>
      <c r="AA37">
        <f t="shared" si="4"/>
        <v>1036</v>
      </c>
      <c r="AB37">
        <f t="shared" si="5"/>
        <v>576.87692047010637</v>
      </c>
    </row>
    <row r="38" spans="1:28" x14ac:dyDescent="0.3">
      <c r="A38" s="6">
        <v>45352</v>
      </c>
      <c r="B38" s="2">
        <v>350.05719635483871</v>
      </c>
      <c r="C38" s="2">
        <v>325.98187096774194</v>
      </c>
      <c r="D38" s="2">
        <v>24.075325387096775</v>
      </c>
      <c r="E38" s="2">
        <v>5180.2258064516127</v>
      </c>
      <c r="F38" s="2">
        <v>10105.438</v>
      </c>
      <c r="G38" s="12">
        <v>1.3521085889999999E-3</v>
      </c>
      <c r="H38" s="2">
        <v>160587</v>
      </c>
      <c r="I38" s="2">
        <v>746.33508700000004</v>
      </c>
      <c r="J38" s="4">
        <v>1</v>
      </c>
      <c r="K38" s="4">
        <v>1</v>
      </c>
      <c r="L38" s="3">
        <v>5.8731250601999976E-2</v>
      </c>
      <c r="M38" s="3">
        <v>2.6430319999999998</v>
      </c>
      <c r="N38" s="3">
        <v>0</v>
      </c>
      <c r="O38" s="9">
        <v>0</v>
      </c>
      <c r="P38" s="2">
        <v>6.8775404813254006</v>
      </c>
      <c r="Q38" s="2">
        <v>99.952135929189794</v>
      </c>
      <c r="R38" s="63"/>
      <c r="S38">
        <f t="shared" si="0"/>
        <v>1096</v>
      </c>
      <c r="T38">
        <f t="shared" si="1"/>
        <v>7.3854798475830541E-2</v>
      </c>
      <c r="U38">
        <f t="shared" si="2"/>
        <v>-7.7324474009542632E-4</v>
      </c>
      <c r="V38" s="64"/>
      <c r="W38">
        <f t="shared" si="3"/>
        <v>1067</v>
      </c>
      <c r="X38" s="21">
        <f t="shared" si="6"/>
        <v>428830.48899999994</v>
      </c>
      <c r="AA38">
        <f t="shared" si="4"/>
        <v>1067</v>
      </c>
      <c r="AB38">
        <f t="shared" si="5"/>
        <v>542.19674533459715</v>
      </c>
    </row>
    <row r="39" spans="1:28" x14ac:dyDescent="0.3">
      <c r="A39" s="6">
        <v>45383</v>
      </c>
      <c r="B39" s="2">
        <v>351.84022049999999</v>
      </c>
      <c r="C39" s="2">
        <v>349.82203333333331</v>
      </c>
      <c r="D39" s="2">
        <v>2.0181871666666664</v>
      </c>
      <c r="E39" s="2">
        <v>2060.8333333333335</v>
      </c>
      <c r="F39" s="2">
        <v>10494.661</v>
      </c>
      <c r="G39" s="12">
        <v>1.4041866649999999E-3</v>
      </c>
      <c r="H39" s="2">
        <v>61825</v>
      </c>
      <c r="I39" s="2">
        <v>60.545614999999998</v>
      </c>
      <c r="J39" s="4">
        <v>1</v>
      </c>
      <c r="K39" s="4">
        <v>1</v>
      </c>
      <c r="L39" s="3">
        <v>6.0135437266999978E-2</v>
      </c>
      <c r="M39" s="3">
        <v>2.7048569999999996</v>
      </c>
      <c r="N39" s="3">
        <v>0</v>
      </c>
      <c r="O39" s="9">
        <v>0</v>
      </c>
      <c r="P39" s="2">
        <v>0.5736089989366826</v>
      </c>
      <c r="Q39" s="2">
        <v>37.053782394686209</v>
      </c>
      <c r="R39" s="63"/>
      <c r="S39">
        <f t="shared" si="0"/>
        <v>1127</v>
      </c>
      <c r="T39">
        <f t="shared" si="1"/>
        <v>5.7691825395789339E-3</v>
      </c>
      <c r="U39">
        <f t="shared" si="2"/>
        <v>-1.2107344012431236E-3</v>
      </c>
      <c r="V39" s="64"/>
      <c r="W39">
        <f t="shared" si="3"/>
        <v>1096</v>
      </c>
      <c r="X39" s="21">
        <f t="shared" si="6"/>
        <v>438935.92699999997</v>
      </c>
      <c r="AA39">
        <f t="shared" si="4"/>
        <v>1096</v>
      </c>
      <c r="AB39">
        <f t="shared" si="5"/>
        <v>511.6439302353956</v>
      </c>
    </row>
    <row r="40" spans="1:28" x14ac:dyDescent="0.3">
      <c r="A40" s="6">
        <v>45413</v>
      </c>
      <c r="B40" s="2">
        <v>335.56454838709681</v>
      </c>
      <c r="C40" s="2">
        <v>335.56454838709681</v>
      </c>
      <c r="D40" s="2">
        <v>0</v>
      </c>
      <c r="E40" s="2">
        <v>1742.1612903225807</v>
      </c>
      <c r="F40" s="2">
        <v>10402.501</v>
      </c>
      <c r="G40" s="12">
        <v>1.391855649E-3</v>
      </c>
      <c r="H40" s="2">
        <v>54007</v>
      </c>
      <c r="I40" s="2">
        <v>0</v>
      </c>
      <c r="J40" s="4">
        <v>1</v>
      </c>
      <c r="K40" s="4">
        <v>1</v>
      </c>
      <c r="L40" s="3">
        <v>6.1527292915999975E-2</v>
      </c>
      <c r="M40" s="3">
        <v>2.7588639999999995</v>
      </c>
      <c r="N40" s="3">
        <v>0</v>
      </c>
      <c r="O40" s="9">
        <v>0</v>
      </c>
      <c r="P40" s="2">
        <v>0</v>
      </c>
      <c r="Q40" s="2">
        <v>32.654957552996144</v>
      </c>
      <c r="R40" s="63"/>
      <c r="S40">
        <f t="shared" si="0"/>
        <v>1157</v>
      </c>
      <c r="T40">
        <f t="shared" si="1"/>
        <v>0</v>
      </c>
      <c r="U40">
        <f t="shared" si="2"/>
        <v>-4.9338603556947938E-5</v>
      </c>
      <c r="V40" s="64"/>
      <c r="W40">
        <f t="shared" si="3"/>
        <v>1127</v>
      </c>
      <c r="X40" s="21">
        <f t="shared" si="6"/>
        <v>449430.58799999999</v>
      </c>
      <c r="AA40">
        <f t="shared" si="4"/>
        <v>1127</v>
      </c>
      <c r="AB40">
        <f t="shared" si="5"/>
        <v>480.88537415878221</v>
      </c>
    </row>
    <row r="41" spans="1:28" x14ac:dyDescent="0.3">
      <c r="A41" s="6">
        <v>45444</v>
      </c>
      <c r="B41" s="2">
        <v>344.66740183333332</v>
      </c>
      <c r="C41" s="2">
        <v>343.71889999999996</v>
      </c>
      <c r="D41" s="2">
        <v>0.94850183333333338</v>
      </c>
      <c r="E41" s="2">
        <v>1963.6666666666667</v>
      </c>
      <c r="F41" s="2">
        <v>10311.566999999999</v>
      </c>
      <c r="G41" s="12">
        <v>1.3796886689999999E-3</v>
      </c>
      <c r="H41" s="2">
        <v>58910</v>
      </c>
      <c r="I41" s="2">
        <v>28.455055000000002</v>
      </c>
      <c r="J41" s="4">
        <v>1</v>
      </c>
      <c r="K41" s="4">
        <v>1</v>
      </c>
      <c r="L41" s="3">
        <v>6.290698158499998E-2</v>
      </c>
      <c r="M41" s="3">
        <v>2.8177739999999996</v>
      </c>
      <c r="N41" s="3">
        <v>0</v>
      </c>
      <c r="O41" s="9">
        <v>0</v>
      </c>
      <c r="P41" s="2">
        <v>0.27519336853097265</v>
      </c>
      <c r="Q41" s="2">
        <v>35.933638214250074</v>
      </c>
      <c r="R41" s="63"/>
      <c r="S41">
        <f t="shared" si="0"/>
        <v>1188</v>
      </c>
      <c r="T41">
        <f t="shared" si="1"/>
        <v>2.7595277226051098E-3</v>
      </c>
      <c r="U41">
        <f t="shared" si="2"/>
        <v>1.9727711181618212E-4</v>
      </c>
      <c r="V41" s="64"/>
      <c r="W41">
        <f t="shared" si="3"/>
        <v>1157</v>
      </c>
      <c r="X41" s="21">
        <f t="shared" si="6"/>
        <v>459833.08899999998</v>
      </c>
      <c r="AA41">
        <f t="shared" si="4"/>
        <v>1157</v>
      </c>
      <c r="AB41">
        <f t="shared" si="5"/>
        <v>452.88079010213249</v>
      </c>
    </row>
    <row r="42" spans="1:28" x14ac:dyDescent="0.3">
      <c r="A42" s="6">
        <v>45474</v>
      </c>
      <c r="B42" s="2">
        <v>362.85159977419357</v>
      </c>
      <c r="C42" s="2">
        <v>358.53700000000003</v>
      </c>
      <c r="D42" s="2">
        <v>4.3145997741935478</v>
      </c>
      <c r="E42" s="2">
        <v>2184.9354838709678</v>
      </c>
      <c r="F42" s="2">
        <v>11114.647000000001</v>
      </c>
      <c r="G42" s="12">
        <v>1.4871408519999999E-3</v>
      </c>
      <c r="H42" s="2">
        <v>67733</v>
      </c>
      <c r="I42" s="2">
        <v>133.75259299999999</v>
      </c>
      <c r="J42" s="4">
        <v>1</v>
      </c>
      <c r="K42" s="4">
        <v>1</v>
      </c>
      <c r="L42" s="3">
        <v>6.4394122436999976E-2</v>
      </c>
      <c r="M42" s="3">
        <v>2.8855069999999996</v>
      </c>
      <c r="N42" s="3">
        <v>0</v>
      </c>
      <c r="O42" s="9">
        <v>0</v>
      </c>
      <c r="P42" s="2">
        <v>1.1890810945517589</v>
      </c>
      <c r="Q42" s="2">
        <v>38.330234275546488</v>
      </c>
      <c r="R42" s="63"/>
      <c r="S42">
        <f t="shared" si="0"/>
        <v>1218</v>
      </c>
      <c r="T42">
        <f t="shared" si="1"/>
        <v>1.2033903820787109E-2</v>
      </c>
      <c r="U42">
        <f t="shared" si="2"/>
        <v>1.4765021427951726E-4</v>
      </c>
      <c r="V42" s="64"/>
      <c r="W42">
        <f t="shared" si="3"/>
        <v>1188</v>
      </c>
      <c r="X42" s="21">
        <f t="shared" si="6"/>
        <v>470144.65599999996</v>
      </c>
      <c r="AA42">
        <f t="shared" si="4"/>
        <v>1188</v>
      </c>
      <c r="AB42">
        <f t="shared" si="5"/>
        <v>425.65490437342152</v>
      </c>
    </row>
    <row r="43" spans="1:28" x14ac:dyDescent="0.3">
      <c r="A43" s="6">
        <v>45505</v>
      </c>
      <c r="B43" s="2">
        <v>370.39865974193543</v>
      </c>
      <c r="C43" s="2">
        <v>366.09116129032253</v>
      </c>
      <c r="D43" s="2">
        <v>4.3074984516129033</v>
      </c>
      <c r="E43" s="2">
        <v>2112.1612903225805</v>
      </c>
      <c r="F43" s="2">
        <v>11348.825999999999</v>
      </c>
      <c r="G43" s="12">
        <v>1.518474026E-3</v>
      </c>
      <c r="H43" s="2">
        <v>65477</v>
      </c>
      <c r="I43" s="2">
        <v>133.53245200000001</v>
      </c>
      <c r="J43" s="4">
        <v>1</v>
      </c>
      <c r="K43" s="4">
        <v>1</v>
      </c>
      <c r="L43" s="3">
        <v>6.5912596462999976E-2</v>
      </c>
      <c r="M43" s="3">
        <v>2.9509839999999996</v>
      </c>
      <c r="N43" s="3">
        <v>0</v>
      </c>
      <c r="O43" s="9">
        <v>0</v>
      </c>
      <c r="P43" s="2">
        <v>1.1629357553869197</v>
      </c>
      <c r="Q43" s="2">
        <v>36.28897249812448</v>
      </c>
      <c r="R43" s="63"/>
      <c r="S43">
        <f t="shared" si="0"/>
        <v>1249</v>
      </c>
      <c r="T43">
        <f t="shared" si="1"/>
        <v>1.1766190793655663E-2</v>
      </c>
      <c r="U43">
        <f t="shared" si="2"/>
        <v>-9.05346897501095E-6</v>
      </c>
      <c r="V43" s="64"/>
      <c r="W43">
        <f t="shared" si="3"/>
        <v>1218</v>
      </c>
      <c r="X43" s="21">
        <f t="shared" si="6"/>
        <v>481259.30299999996</v>
      </c>
      <c r="AA43">
        <f t="shared" si="4"/>
        <v>1218</v>
      </c>
      <c r="AB43">
        <f t="shared" si="5"/>
        <v>400.86669248508326</v>
      </c>
    </row>
    <row r="44" spans="1:28" x14ac:dyDescent="0.3">
      <c r="A44" s="6">
        <v>45536</v>
      </c>
      <c r="B44" s="2">
        <v>310.05940346666665</v>
      </c>
      <c r="C44" s="2">
        <v>306.54256666666669</v>
      </c>
      <c r="D44" s="2">
        <v>3.5168368000000001</v>
      </c>
      <c r="E44" s="2">
        <v>1741.9</v>
      </c>
      <c r="F44" s="2">
        <v>9196.277</v>
      </c>
      <c r="G44" s="12">
        <v>1.2304627640000001E-3</v>
      </c>
      <c r="H44" s="2">
        <v>52257</v>
      </c>
      <c r="I44" s="2">
        <v>105.505104</v>
      </c>
      <c r="J44" s="4">
        <v>1</v>
      </c>
      <c r="K44" s="4">
        <v>1</v>
      </c>
      <c r="L44" s="3">
        <v>6.7143059226999979E-2</v>
      </c>
      <c r="M44" s="3">
        <v>3.0032409999999996</v>
      </c>
      <c r="N44" s="3">
        <v>0</v>
      </c>
      <c r="O44" s="9">
        <v>0</v>
      </c>
      <c r="P44" s="2">
        <v>1.1342461349920265</v>
      </c>
      <c r="Q44" s="2">
        <v>35.741211209710187</v>
      </c>
      <c r="R44" s="63"/>
      <c r="S44">
        <f t="shared" si="0"/>
        <v>1280</v>
      </c>
      <c r="T44">
        <f t="shared" si="1"/>
        <v>1.147258874433643E-2</v>
      </c>
      <c r="U44">
        <f t="shared" si="2"/>
        <v>-1.4272121205682808E-4</v>
      </c>
      <c r="V44" s="64"/>
      <c r="W44">
        <f t="shared" si="3"/>
        <v>1249</v>
      </c>
      <c r="X44" s="21">
        <f t="shared" si="6"/>
        <v>492608.12899999996</v>
      </c>
      <c r="AA44">
        <f t="shared" si="4"/>
        <v>1249</v>
      </c>
      <c r="AB44">
        <f t="shared" si="5"/>
        <v>376.76774415127568</v>
      </c>
    </row>
    <row r="45" spans="1:28" x14ac:dyDescent="0.3">
      <c r="A45" s="6">
        <v>45566</v>
      </c>
      <c r="B45" s="2">
        <v>230.90455438709679</v>
      </c>
      <c r="C45" s="2">
        <v>230.20009677419355</v>
      </c>
      <c r="D45" s="2">
        <v>0.70445761290322584</v>
      </c>
      <c r="E45" s="2">
        <v>1477.9677419354839</v>
      </c>
      <c r="F45" s="2">
        <v>7136.2030000000004</v>
      </c>
      <c r="G45" s="12">
        <v>9.5482465700000004E-4</v>
      </c>
      <c r="H45" s="2">
        <v>45817</v>
      </c>
      <c r="I45" s="2">
        <v>21.838186</v>
      </c>
      <c r="J45" s="4">
        <v>1</v>
      </c>
      <c r="K45" s="4">
        <v>1</v>
      </c>
      <c r="L45" s="3">
        <v>6.8097883883999982E-2</v>
      </c>
      <c r="M45" s="3">
        <v>3.0490579999999996</v>
      </c>
      <c r="N45" s="3">
        <v>0</v>
      </c>
      <c r="O45" s="9">
        <v>0</v>
      </c>
      <c r="P45" s="2">
        <v>0.30508606240925312</v>
      </c>
      <c r="Q45" s="2">
        <v>40.382787120826016</v>
      </c>
      <c r="R45" s="63"/>
      <c r="S45">
        <f t="shared" si="0"/>
        <v>1310</v>
      </c>
      <c r="T45">
        <f t="shared" si="1"/>
        <v>3.060196858189152E-3</v>
      </c>
      <c r="U45">
        <f t="shared" si="2"/>
        <v>-1.8807522531699066E-4</v>
      </c>
      <c r="V45" s="64"/>
      <c r="W45">
        <f t="shared" si="3"/>
        <v>1280</v>
      </c>
      <c r="X45" s="21">
        <f t="shared" si="6"/>
        <v>501804.40599999996</v>
      </c>
      <c r="AA45">
        <f t="shared" si="4"/>
        <v>1280</v>
      </c>
      <c r="AB45">
        <f t="shared" si="5"/>
        <v>354.11755502266749</v>
      </c>
    </row>
    <row r="46" spans="1:28" x14ac:dyDescent="0.3">
      <c r="A46" s="6">
        <v>45597</v>
      </c>
      <c r="B46" s="2">
        <v>229.49789999999999</v>
      </c>
      <c r="C46" s="2">
        <v>229.49789999999999</v>
      </c>
      <c r="D46" s="2">
        <v>0</v>
      </c>
      <c r="E46" s="2">
        <v>1412.9333333333334</v>
      </c>
      <c r="F46" s="2">
        <v>6884.9369999999999</v>
      </c>
      <c r="G46" s="12">
        <v>9.2120524100000004E-4</v>
      </c>
      <c r="H46" s="2">
        <v>42388</v>
      </c>
      <c r="I46" s="2">
        <v>0</v>
      </c>
      <c r="J46" s="4">
        <v>1</v>
      </c>
      <c r="K46" s="4">
        <v>1</v>
      </c>
      <c r="L46" s="3">
        <v>6.9019089124999988E-2</v>
      </c>
      <c r="M46" s="3">
        <v>3.0914459999999995</v>
      </c>
      <c r="N46" s="3">
        <v>0</v>
      </c>
      <c r="O46" s="9">
        <v>0</v>
      </c>
      <c r="P46" s="2">
        <v>0</v>
      </c>
      <c r="Q46" s="2">
        <v>38.723962528633159</v>
      </c>
      <c r="R46" s="63"/>
      <c r="S46">
        <f t="shared" si="0"/>
        <v>1341</v>
      </c>
      <c r="T46">
        <f t="shared" si="1"/>
        <v>0</v>
      </c>
      <c r="U46">
        <f t="shared" si="2"/>
        <v>1.5525992267589054E-4</v>
      </c>
      <c r="V46" s="64"/>
      <c r="W46">
        <f t="shared" si="3"/>
        <v>1310</v>
      </c>
      <c r="X46" s="21">
        <f t="shared" si="6"/>
        <v>508940.60899999994</v>
      </c>
      <c r="AA46">
        <f t="shared" si="4"/>
        <v>1310</v>
      </c>
      <c r="AB46">
        <f t="shared" si="5"/>
        <v>333.49535403991695</v>
      </c>
    </row>
    <row r="47" spans="1:28" x14ac:dyDescent="0.3">
      <c r="A47" s="6">
        <v>45627</v>
      </c>
      <c r="B47" s="2">
        <v>112.08862461290322</v>
      </c>
      <c r="C47" s="2">
        <v>110.70141935483872</v>
      </c>
      <c r="D47" s="2">
        <v>1.3872052580645162</v>
      </c>
      <c r="E47" s="2">
        <v>575.12903225806451</v>
      </c>
      <c r="F47" s="2">
        <v>3431.7440000000001</v>
      </c>
      <c r="G47" s="12">
        <v>4.59167682E-4</v>
      </c>
      <c r="H47" s="2">
        <v>17829</v>
      </c>
      <c r="I47" s="2">
        <v>43.003363</v>
      </c>
      <c r="J47" s="4">
        <v>1</v>
      </c>
      <c r="K47" s="4">
        <v>1</v>
      </c>
      <c r="L47" s="3">
        <v>6.9478256806999983E-2</v>
      </c>
      <c r="M47" s="3">
        <v>3.1092749999999993</v>
      </c>
      <c r="N47" s="3">
        <v>0</v>
      </c>
      <c r="O47" s="9">
        <v>0</v>
      </c>
      <c r="P47" s="2">
        <v>1.2375968238125978</v>
      </c>
      <c r="Q47" s="2">
        <v>32.67750863700789</v>
      </c>
      <c r="R47" s="63"/>
      <c r="S47">
        <f t="shared" si="0"/>
        <v>1371</v>
      </c>
      <c r="T47">
        <f t="shared" si="1"/>
        <v>1.2531052141418473E-2</v>
      </c>
      <c r="U47">
        <f t="shared" si="2"/>
        <v>6.5154831840970434E-5</v>
      </c>
      <c r="V47" s="64"/>
      <c r="W47">
        <f t="shared" si="3"/>
        <v>1341</v>
      </c>
      <c r="X47" s="21">
        <f t="shared" si="6"/>
        <v>515825.54599999991</v>
      </c>
      <c r="AA47">
        <f t="shared" si="4"/>
        <v>1341</v>
      </c>
      <c r="AB47">
        <f t="shared" si="5"/>
        <v>313.44657608645343</v>
      </c>
    </row>
    <row r="48" spans="1:28" x14ac:dyDescent="0.3">
      <c r="A48" s="6">
        <v>45658</v>
      </c>
      <c r="B48" s="2">
        <v>238.12256164516128</v>
      </c>
      <c r="C48" s="2">
        <v>237.17990322580647</v>
      </c>
      <c r="D48" s="2">
        <v>0.94265841935483874</v>
      </c>
      <c r="E48" s="2">
        <v>1137.8387096774193</v>
      </c>
      <c r="F48" s="2">
        <v>7352.5770000000002</v>
      </c>
      <c r="G48" s="12">
        <v>9.8377551899999998E-4</v>
      </c>
      <c r="H48" s="2">
        <v>35273</v>
      </c>
      <c r="I48" s="2">
        <v>29.222411000000001</v>
      </c>
      <c r="J48" s="4">
        <v>1</v>
      </c>
      <c r="K48" s="4">
        <v>1</v>
      </c>
      <c r="L48" s="3">
        <v>7.0462032325999985E-2</v>
      </c>
      <c r="M48" s="3">
        <v>3.1445479999999995</v>
      </c>
      <c r="N48" s="3">
        <v>0</v>
      </c>
      <c r="O48" s="9">
        <v>0</v>
      </c>
      <c r="P48" s="2">
        <v>0.39587110639248985</v>
      </c>
      <c r="Q48" s="2">
        <v>30.174470175558856</v>
      </c>
      <c r="R48" s="63"/>
      <c r="S48">
        <f t="shared" si="0"/>
        <v>1402</v>
      </c>
      <c r="T48">
        <f t="shared" si="1"/>
        <v>3.9744447422991967E-3</v>
      </c>
      <c r="U48">
        <f t="shared" si="2"/>
        <v>-2.0211374421642698E-4</v>
      </c>
      <c r="V48" s="64"/>
      <c r="W48">
        <f t="shared" si="3"/>
        <v>1371</v>
      </c>
      <c r="X48" s="21">
        <f t="shared" si="6"/>
        <v>519257.28999999992</v>
      </c>
      <c r="AA48">
        <f t="shared" si="4"/>
        <v>1371</v>
      </c>
      <c r="AB48">
        <f t="shared" si="5"/>
        <v>295.19286853163857</v>
      </c>
    </row>
    <row r="49" spans="1:29" x14ac:dyDescent="0.3">
      <c r="A49" s="6">
        <v>45689</v>
      </c>
      <c r="B49" s="2">
        <v>244.41132142857143</v>
      </c>
      <c r="C49" s="2">
        <v>244.41132142857143</v>
      </c>
      <c r="D49" s="2">
        <v>0</v>
      </c>
      <c r="E49" s="2">
        <v>1244.3214285714287</v>
      </c>
      <c r="F49" s="2">
        <v>6843.5169999999998</v>
      </c>
      <c r="G49" s="12">
        <v>9.1566324299999994E-4</v>
      </c>
      <c r="H49" s="2">
        <v>34841</v>
      </c>
      <c r="I49" s="2">
        <v>0</v>
      </c>
      <c r="J49" s="4">
        <v>1</v>
      </c>
      <c r="K49" s="4">
        <v>1</v>
      </c>
      <c r="L49" s="3">
        <v>7.1377695568999991E-2</v>
      </c>
      <c r="M49" s="3">
        <v>3.1793889999999996</v>
      </c>
      <c r="N49" s="3">
        <v>0</v>
      </c>
      <c r="O49" s="9">
        <v>0</v>
      </c>
      <c r="P49" s="2">
        <v>0</v>
      </c>
      <c r="Q49" s="2">
        <v>32.021973759983354</v>
      </c>
      <c r="R49" s="63"/>
      <c r="S49">
        <f t="shared" si="0"/>
        <v>1433</v>
      </c>
      <c r="T49">
        <f t="shared" si="1"/>
        <v>0</v>
      </c>
      <c r="U49">
        <f t="shared" si="2"/>
        <v>-6.7363470208460966E-5</v>
      </c>
      <c r="V49" s="64"/>
      <c r="W49">
        <f t="shared" si="3"/>
        <v>1402</v>
      </c>
      <c r="X49" s="21">
        <f t="shared" si="6"/>
        <v>526609.86699999997</v>
      </c>
      <c r="AA49">
        <f t="shared" si="4"/>
        <v>1402</v>
      </c>
      <c r="AB49">
        <f t="shared" si="5"/>
        <v>277.44672543565872</v>
      </c>
    </row>
    <row r="50" spans="1:29" x14ac:dyDescent="0.3">
      <c r="A50" s="6">
        <v>45717</v>
      </c>
      <c r="B50" s="2">
        <v>274.05932258064519</v>
      </c>
      <c r="C50" s="2">
        <v>274.05932258064519</v>
      </c>
      <c r="D50" s="2">
        <v>0</v>
      </c>
      <c r="E50" s="2">
        <v>1419.9032258064517</v>
      </c>
      <c r="F50" s="2">
        <v>8495.8389999999999</v>
      </c>
      <c r="G50" s="12">
        <v>1.136744086E-3</v>
      </c>
      <c r="H50" s="2">
        <v>44017</v>
      </c>
      <c r="I50" s="2">
        <v>0</v>
      </c>
      <c r="J50" s="4">
        <v>1</v>
      </c>
      <c r="K50" s="4">
        <v>1</v>
      </c>
      <c r="L50" s="3">
        <v>7.2514439654999985E-2</v>
      </c>
      <c r="M50" s="3">
        <v>3.2234059999999998</v>
      </c>
      <c r="N50" s="3">
        <v>0</v>
      </c>
      <c r="O50" s="9">
        <v>0</v>
      </c>
      <c r="P50" s="2">
        <v>0</v>
      </c>
      <c r="Q50" s="2">
        <v>32.587496844043301</v>
      </c>
      <c r="R50" s="63"/>
      <c r="S50">
        <f t="shared" si="0"/>
        <v>1461</v>
      </c>
      <c r="T50">
        <f t="shared" si="1"/>
        <v>0</v>
      </c>
      <c r="U50">
        <f t="shared" si="2"/>
        <v>0</v>
      </c>
      <c r="V50" s="64"/>
      <c r="W50">
        <f t="shared" si="3"/>
        <v>1433</v>
      </c>
      <c r="X50" s="21">
        <f t="shared" si="6"/>
        <v>533453.38399999996</v>
      </c>
      <c r="AA50">
        <f t="shared" si="4"/>
        <v>1433</v>
      </c>
      <c r="AB50">
        <f t="shared" si="5"/>
        <v>260.7674292332016</v>
      </c>
    </row>
    <row r="51" spans="1:29" x14ac:dyDescent="0.3">
      <c r="A51" s="6">
        <v>45748</v>
      </c>
      <c r="B51" s="2">
        <v>221.52253333333334</v>
      </c>
      <c r="C51" s="2">
        <v>221.52253333333334</v>
      </c>
      <c r="D51" s="2">
        <v>0</v>
      </c>
      <c r="E51" s="2">
        <v>1304.5</v>
      </c>
      <c r="F51" s="2">
        <v>6645.6760000000004</v>
      </c>
      <c r="G51" s="12">
        <v>8.8919209399999997E-4</v>
      </c>
      <c r="H51" s="2">
        <v>39135</v>
      </c>
      <c r="I51" s="2">
        <v>0</v>
      </c>
      <c r="J51" s="4">
        <v>1</v>
      </c>
      <c r="K51" s="4">
        <v>1</v>
      </c>
      <c r="L51" s="3">
        <v>7.3403631748999984E-2</v>
      </c>
      <c r="M51" s="3">
        <v>3.2625409999999997</v>
      </c>
      <c r="N51" s="3">
        <v>0</v>
      </c>
      <c r="O51" s="9">
        <v>0</v>
      </c>
      <c r="P51" s="2">
        <v>0</v>
      </c>
      <c r="Q51" s="2">
        <v>37.039320454382661</v>
      </c>
      <c r="R51" s="63"/>
      <c r="S51">
        <f t="shared" si="0"/>
        <v>1492</v>
      </c>
      <c r="T51">
        <f t="shared" si="1"/>
        <v>0</v>
      </c>
      <c r="U51">
        <f t="shared" si="2"/>
        <v>0</v>
      </c>
      <c r="V51" s="64"/>
      <c r="W51">
        <f t="shared" si="3"/>
        <v>1461</v>
      </c>
      <c r="X51" s="21">
        <f t="shared" si="6"/>
        <v>541949.223</v>
      </c>
      <c r="AA51">
        <f t="shared" si="4"/>
        <v>1461</v>
      </c>
      <c r="AB51">
        <f t="shared" si="5"/>
        <v>246.5658097055215</v>
      </c>
    </row>
    <row r="52" spans="1:29" x14ac:dyDescent="0.3">
      <c r="A52" s="6">
        <v>45778</v>
      </c>
      <c r="B52" s="2">
        <v>208.84990322580646</v>
      </c>
      <c r="C52" s="2">
        <v>208.84990322580646</v>
      </c>
      <c r="D52" s="2">
        <v>0</v>
      </c>
      <c r="E52" s="2">
        <v>1057.6774193548388</v>
      </c>
      <c r="F52" s="2">
        <v>6474.3469999999998</v>
      </c>
      <c r="G52" s="12">
        <v>8.6626826000000005E-4</v>
      </c>
      <c r="H52" s="2">
        <v>32788</v>
      </c>
      <c r="I52" s="2">
        <v>0</v>
      </c>
      <c r="J52" s="4">
        <v>1</v>
      </c>
      <c r="K52" s="4">
        <v>1</v>
      </c>
      <c r="L52" s="3">
        <v>7.4269900008999981E-2</v>
      </c>
      <c r="M52" s="3">
        <v>3.2953289999999997</v>
      </c>
      <c r="N52" s="3">
        <v>0</v>
      </c>
      <c r="O52" s="9">
        <v>0</v>
      </c>
      <c r="P52" s="2">
        <v>0</v>
      </c>
      <c r="Q52" s="2">
        <v>31.853399640149032</v>
      </c>
      <c r="R52" s="63"/>
      <c r="S52">
        <f t="shared" si="0"/>
        <v>1522</v>
      </c>
      <c r="T52">
        <f t="shared" si="1"/>
        <v>0</v>
      </c>
      <c r="U52">
        <f t="shared" si="2"/>
        <v>0</v>
      </c>
      <c r="V52" s="64"/>
      <c r="W52">
        <f t="shared" si="3"/>
        <v>1492</v>
      </c>
      <c r="X52" s="21">
        <f t="shared" si="6"/>
        <v>548594.89899999998</v>
      </c>
      <c r="AA52">
        <f t="shared" si="4"/>
        <v>1492</v>
      </c>
      <c r="AB52">
        <f t="shared" si="5"/>
        <v>231.74298501000789</v>
      </c>
    </row>
    <row r="53" spans="1:29" x14ac:dyDescent="0.3">
      <c r="A53" s="6">
        <v>45809</v>
      </c>
      <c r="B53" s="2">
        <v>244.4365</v>
      </c>
      <c r="C53" s="2">
        <v>244.4365</v>
      </c>
      <c r="D53" s="2">
        <v>0</v>
      </c>
      <c r="E53" s="2">
        <v>1013.5666666666667</v>
      </c>
      <c r="F53" s="2">
        <v>7333.0950000000003</v>
      </c>
      <c r="G53" s="12">
        <v>9.8116882899999987E-4</v>
      </c>
      <c r="H53" s="2">
        <v>30407</v>
      </c>
      <c r="I53" s="2">
        <v>0</v>
      </c>
      <c r="J53" s="4">
        <v>1</v>
      </c>
      <c r="K53" s="4">
        <v>1</v>
      </c>
      <c r="L53" s="3">
        <v>7.5251068837999979E-2</v>
      </c>
      <c r="M53" s="3">
        <v>3.3257359999999996</v>
      </c>
      <c r="N53" s="3">
        <v>0</v>
      </c>
      <c r="O53" s="9">
        <v>0</v>
      </c>
      <c r="P53" s="2">
        <v>0</v>
      </c>
      <c r="Q53" s="2">
        <v>26.080931530274729</v>
      </c>
      <c r="R53" s="63"/>
      <c r="S53">
        <f t="shared" si="0"/>
        <v>1553</v>
      </c>
      <c r="T53">
        <f t="shared" si="1"/>
        <v>0</v>
      </c>
      <c r="U53">
        <f t="shared" si="2"/>
        <v>0</v>
      </c>
      <c r="V53" s="64"/>
      <c r="W53">
        <f t="shared" si="3"/>
        <v>1522</v>
      </c>
      <c r="X53" s="21">
        <f t="shared" si="6"/>
        <v>555069.24599999993</v>
      </c>
      <c r="AA53">
        <f t="shared" si="4"/>
        <v>1522</v>
      </c>
      <c r="AB53">
        <f t="shared" si="5"/>
        <v>218.2473241893716</v>
      </c>
    </row>
    <row r="54" spans="1:29" x14ac:dyDescent="0.3">
      <c r="A54" s="6">
        <v>45839</v>
      </c>
      <c r="B54" s="2">
        <v>239.31180645161291</v>
      </c>
      <c r="C54" s="2">
        <v>239.31180645161291</v>
      </c>
      <c r="D54" s="2">
        <v>0</v>
      </c>
      <c r="E54" s="2">
        <v>1171.0967741935483</v>
      </c>
      <c r="F54" s="2">
        <v>7418.6660000000002</v>
      </c>
      <c r="G54" s="12">
        <v>9.9261823499999994E-4</v>
      </c>
      <c r="H54" s="2">
        <v>36304</v>
      </c>
      <c r="I54" s="2">
        <v>0</v>
      </c>
      <c r="J54" s="4">
        <v>1</v>
      </c>
      <c r="K54" s="4">
        <v>1</v>
      </c>
      <c r="L54" s="3">
        <v>7.6243687072999985E-2</v>
      </c>
      <c r="M54" s="3">
        <v>3.3620399999999995</v>
      </c>
      <c r="N54" s="3">
        <v>0</v>
      </c>
      <c r="O54" s="9">
        <v>0</v>
      </c>
      <c r="P54" s="2">
        <v>0</v>
      </c>
      <c r="Q54" s="2">
        <v>30.779778898254751</v>
      </c>
      <c r="R54" s="63"/>
      <c r="S54">
        <f t="shared" si="0"/>
        <v>1583</v>
      </c>
      <c r="T54">
        <f t="shared" si="1"/>
        <v>0</v>
      </c>
      <c r="U54">
        <f t="shared" si="2"/>
        <v>2.1383317011423134E-6</v>
      </c>
      <c r="V54" s="64"/>
      <c r="W54">
        <f t="shared" si="3"/>
        <v>1553</v>
      </c>
      <c r="X54" s="21">
        <f t="shared" si="6"/>
        <v>562402.3409999999</v>
      </c>
      <c r="AA54" s="24">
        <f t="shared" si="4"/>
        <v>1553</v>
      </c>
      <c r="AB54" s="24">
        <f t="shared" si="5"/>
        <v>205.12692509353727</v>
      </c>
    </row>
    <row r="55" spans="1:29" x14ac:dyDescent="0.3">
      <c r="A55" s="6">
        <v>45870</v>
      </c>
      <c r="B55" s="2">
        <v>225.57703293548386</v>
      </c>
      <c r="C55" s="2">
        <v>225.5476129032258</v>
      </c>
      <c r="D55" s="2">
        <v>2.9420032258064516E-2</v>
      </c>
      <c r="E55" s="2">
        <v>1324.7096774193549</v>
      </c>
      <c r="F55" s="2">
        <v>6991.9759999999997</v>
      </c>
      <c r="G55" s="12">
        <v>9.3552707199999995E-4</v>
      </c>
      <c r="H55" s="2">
        <v>41066</v>
      </c>
      <c r="I55" s="2">
        <v>0.91202099999999997</v>
      </c>
      <c r="J55" s="4">
        <v>1</v>
      </c>
      <c r="K55" s="4">
        <v>1</v>
      </c>
      <c r="L55" s="3">
        <v>7.717921414499998E-2</v>
      </c>
      <c r="M55" s="3">
        <v>3.4031059999999993</v>
      </c>
      <c r="N55" s="3">
        <v>0</v>
      </c>
      <c r="O55" s="9">
        <v>0</v>
      </c>
      <c r="P55" s="2">
        <v>1.3042122185585618E-2</v>
      </c>
      <c r="Q55" s="2">
        <v>36.941906951625697</v>
      </c>
      <c r="R55" s="63"/>
      <c r="S55">
        <f t="shared" si="0"/>
        <v>1614</v>
      </c>
      <c r="T55">
        <f t="shared" si="1"/>
        <v>1.3043823376968113E-4</v>
      </c>
      <c r="U55">
        <f t="shared" si="2"/>
        <v>2.2046307599905042E-5</v>
      </c>
      <c r="V55" s="64"/>
      <c r="W55">
        <f t="shared" si="3"/>
        <v>1583</v>
      </c>
      <c r="X55" s="21">
        <f t="shared" si="6"/>
        <v>569821.00699999987</v>
      </c>
      <c r="AA55">
        <f t="shared" si="4"/>
        <v>1583</v>
      </c>
      <c r="AB55">
        <f t="shared" si="5"/>
        <v>193.18126293628623</v>
      </c>
    </row>
    <row r="56" spans="1:29" x14ac:dyDescent="0.3">
      <c r="A56" s="6">
        <v>45901</v>
      </c>
      <c r="B56" s="2">
        <v>191.22766009999998</v>
      </c>
      <c r="C56" s="2">
        <v>190.96663333333333</v>
      </c>
      <c r="D56" s="2">
        <v>0.26102676666666669</v>
      </c>
      <c r="E56" s="2">
        <v>1837.9333333333334</v>
      </c>
      <c r="F56" s="2">
        <v>5728.9989999999998</v>
      </c>
      <c r="G56" s="12">
        <v>7.6654062200000002E-4</v>
      </c>
      <c r="H56" s="2">
        <v>55138</v>
      </c>
      <c r="I56" s="2">
        <v>7.8308030000000004</v>
      </c>
      <c r="J56" s="4">
        <v>1</v>
      </c>
      <c r="K56" s="4">
        <v>1</v>
      </c>
      <c r="L56" s="3">
        <v>7.7945754766999983E-2</v>
      </c>
      <c r="M56" s="3">
        <v>3.4582439999999992</v>
      </c>
      <c r="N56" s="3">
        <v>0</v>
      </c>
      <c r="O56" s="9">
        <v>0</v>
      </c>
      <c r="P56" s="2">
        <v>0.13650052849580765</v>
      </c>
      <c r="Q56" s="2">
        <v>60.53535572270129</v>
      </c>
      <c r="R56" s="63"/>
      <c r="S56">
        <f t="shared" si="0"/>
        <v>1645</v>
      </c>
      <c r="T56">
        <f t="shared" si="1"/>
        <v>1.3668710711941126E-3</v>
      </c>
      <c r="U56">
        <f t="shared" si="2"/>
        <v>5.8911525092584437E-5</v>
      </c>
      <c r="V56" s="64"/>
      <c r="W56">
        <f t="shared" si="3"/>
        <v>1614</v>
      </c>
      <c r="X56" s="21">
        <f t="shared" si="6"/>
        <v>576812.98299999989</v>
      </c>
      <c r="AA56">
        <f t="shared" si="4"/>
        <v>1614</v>
      </c>
      <c r="AB56">
        <f t="shared" si="5"/>
        <v>181.56776308250502</v>
      </c>
    </row>
    <row r="57" spans="1:29" x14ac:dyDescent="0.3">
      <c r="A57" s="6">
        <v>45931</v>
      </c>
      <c r="B57" s="2">
        <v>206.16566277419352</v>
      </c>
      <c r="C57" s="2">
        <v>205.40074193548386</v>
      </c>
      <c r="D57" s="2">
        <v>0.76492083870967742</v>
      </c>
      <c r="E57" s="2">
        <v>1956.6451612903227</v>
      </c>
      <c r="F57" s="2">
        <v>6367.4229999999998</v>
      </c>
      <c r="G57" s="12">
        <v>8.5196181700000003E-4</v>
      </c>
      <c r="H57" s="2">
        <v>60656</v>
      </c>
      <c r="I57" s="2">
        <v>23.712546</v>
      </c>
      <c r="J57" s="4">
        <v>1</v>
      </c>
      <c r="K57" s="4">
        <v>1</v>
      </c>
      <c r="L57" s="3">
        <v>7.8797716583999977E-2</v>
      </c>
      <c r="M57" s="3">
        <v>3.518899999999999</v>
      </c>
      <c r="N57" s="3">
        <v>0</v>
      </c>
      <c r="O57" s="9">
        <v>0</v>
      </c>
      <c r="P57" s="2">
        <v>0.37102242362612536</v>
      </c>
      <c r="Q57" s="2">
        <v>59.916564173606808</v>
      </c>
      <c r="R57" s="63"/>
      <c r="S57">
        <f t="shared" si="0"/>
        <v>1675</v>
      </c>
      <c r="T57">
        <f t="shared" si="1"/>
        <v>3.7240412644173318E-3</v>
      </c>
      <c r="U57">
        <f t="shared" si="2"/>
        <v>8.3092466333988611E-7</v>
      </c>
      <c r="V57" s="64"/>
      <c r="W57">
        <f t="shared" si="3"/>
        <v>1645</v>
      </c>
      <c r="X57" s="21">
        <f t="shared" si="6"/>
        <v>582541.98199999984</v>
      </c>
      <c r="AA57">
        <f t="shared" si="4"/>
        <v>1645</v>
      </c>
      <c r="AB57">
        <f t="shared" si="5"/>
        <v>170.65243331418537</v>
      </c>
    </row>
    <row r="58" spans="1:29" x14ac:dyDescent="0.3">
      <c r="V58" s="64"/>
      <c r="W58">
        <f t="shared" si="3"/>
        <v>1675</v>
      </c>
      <c r="X58" s="21">
        <f t="shared" si="6"/>
        <v>588909.4049999998</v>
      </c>
      <c r="AA58">
        <f t="shared" si="4"/>
        <v>1675</v>
      </c>
      <c r="AB58">
        <f t="shared" si="5"/>
        <v>160.71440926515089</v>
      </c>
    </row>
    <row r="59" spans="1:29" x14ac:dyDescent="0.3">
      <c r="AA59">
        <f>AA58+1</f>
        <v>1676</v>
      </c>
      <c r="AB59">
        <f t="shared" si="5"/>
        <v>160.39330166126038</v>
      </c>
      <c r="AC59">
        <f t="shared" ref="AC59:AC68" si="7">AC58+AB59</f>
        <v>160.39330166126038</v>
      </c>
    </row>
    <row r="60" spans="1:29" x14ac:dyDescent="0.3">
      <c r="AA60">
        <f t="shared" ref="AA60:AA123" si="8">AA59+1</f>
        <v>1677</v>
      </c>
      <c r="AB60">
        <f t="shared" si="5"/>
        <v>160.07283563079028</v>
      </c>
      <c r="AC60">
        <f t="shared" si="7"/>
        <v>320.46613729205069</v>
      </c>
    </row>
    <row r="61" spans="1:29" x14ac:dyDescent="0.3">
      <c r="AA61">
        <f t="shared" si="8"/>
        <v>1678</v>
      </c>
      <c r="AB61">
        <f t="shared" si="5"/>
        <v>159.75300989187625</v>
      </c>
      <c r="AC61">
        <f t="shared" si="7"/>
        <v>480.21914718392691</v>
      </c>
    </row>
    <row r="62" spans="1:29" x14ac:dyDescent="0.3">
      <c r="AA62">
        <f t="shared" si="8"/>
        <v>1679</v>
      </c>
      <c r="AB62">
        <f t="shared" si="5"/>
        <v>159.43382316521468</v>
      </c>
      <c r="AC62">
        <f t="shared" si="7"/>
        <v>639.65297034914158</v>
      </c>
    </row>
    <row r="63" spans="1:29" x14ac:dyDescent="0.3">
      <c r="AA63">
        <f t="shared" si="8"/>
        <v>1680</v>
      </c>
      <c r="AB63">
        <f t="shared" si="5"/>
        <v>159.11527417405841</v>
      </c>
      <c r="AC63">
        <f t="shared" si="7"/>
        <v>798.7682445232</v>
      </c>
    </row>
    <row r="64" spans="1:29" x14ac:dyDescent="0.3">
      <c r="AA64">
        <f t="shared" si="8"/>
        <v>1681</v>
      </c>
      <c r="AB64">
        <f t="shared" si="5"/>
        <v>158.79736164421095</v>
      </c>
      <c r="AC64">
        <f t="shared" si="7"/>
        <v>957.56560616741092</v>
      </c>
    </row>
    <row r="65" spans="27:29" x14ac:dyDescent="0.3">
      <c r="AA65">
        <f t="shared" si="8"/>
        <v>1682</v>
      </c>
      <c r="AB65">
        <f t="shared" si="5"/>
        <v>158.48008430402186</v>
      </c>
      <c r="AC65">
        <f t="shared" si="7"/>
        <v>1116.0456904714329</v>
      </c>
    </row>
    <row r="66" spans="27:29" x14ac:dyDescent="0.3">
      <c r="AA66">
        <f t="shared" si="8"/>
        <v>1683</v>
      </c>
      <c r="AB66">
        <f t="shared" si="5"/>
        <v>158.16344088438123</v>
      </c>
      <c r="AC66">
        <f t="shared" si="7"/>
        <v>1274.2091313558142</v>
      </c>
    </row>
    <row r="67" spans="27:29" x14ac:dyDescent="0.3">
      <c r="AA67">
        <f t="shared" si="8"/>
        <v>1684</v>
      </c>
      <c r="AB67">
        <f t="shared" si="5"/>
        <v>157.84743011871507</v>
      </c>
      <c r="AC67">
        <f t="shared" si="7"/>
        <v>1432.0565614745292</v>
      </c>
    </row>
    <row r="68" spans="27:29" x14ac:dyDescent="0.3">
      <c r="AA68">
        <f t="shared" si="8"/>
        <v>1685</v>
      </c>
      <c r="AB68">
        <f t="shared" ref="AB68:AB131" si="9" xml:space="preserve"> 4580.8*EXP(-0.002*AA68)</f>
        <v>157.53205074297981</v>
      </c>
      <c r="AC68">
        <f t="shared" si="7"/>
        <v>1589.5886122175091</v>
      </c>
    </row>
    <row r="69" spans="27:29" x14ac:dyDescent="0.3">
      <c r="AA69">
        <f t="shared" si="8"/>
        <v>1686</v>
      </c>
      <c r="AB69">
        <f t="shared" si="9"/>
        <v>157.21730149565761</v>
      </c>
      <c r="AC69">
        <f t="shared" ref="AC69:AC132" si="10">AC68+AB69</f>
        <v>1746.8059137131668</v>
      </c>
    </row>
    <row r="70" spans="27:29" x14ac:dyDescent="0.3">
      <c r="AA70">
        <f t="shared" si="8"/>
        <v>1687</v>
      </c>
      <c r="AB70">
        <f t="shared" si="9"/>
        <v>156.90318111775096</v>
      </c>
      <c r="AC70">
        <f t="shared" si="10"/>
        <v>1903.7090948309178</v>
      </c>
    </row>
    <row r="71" spans="27:29" x14ac:dyDescent="0.3">
      <c r="AA71">
        <f t="shared" si="8"/>
        <v>1688</v>
      </c>
      <c r="AB71">
        <f t="shared" si="9"/>
        <v>156.58968835277804</v>
      </c>
      <c r="AC71">
        <f t="shared" si="10"/>
        <v>2060.2987831836958</v>
      </c>
    </row>
    <row r="72" spans="27:29" x14ac:dyDescent="0.3">
      <c r="AA72">
        <f t="shared" si="8"/>
        <v>1689</v>
      </c>
      <c r="AB72">
        <f t="shared" si="9"/>
        <v>156.27682194676726</v>
      </c>
      <c r="AC72">
        <f t="shared" si="10"/>
        <v>2216.5756051304629</v>
      </c>
    </row>
    <row r="73" spans="27:29" x14ac:dyDescent="0.3">
      <c r="AA73">
        <f t="shared" si="8"/>
        <v>1690</v>
      </c>
      <c r="AB73">
        <f t="shared" si="9"/>
        <v>155.96458064825268</v>
      </c>
      <c r="AC73">
        <f t="shared" si="10"/>
        <v>2372.5401857787156</v>
      </c>
    </row>
    <row r="74" spans="27:29" x14ac:dyDescent="0.3">
      <c r="AA74">
        <f t="shared" si="8"/>
        <v>1691</v>
      </c>
      <c r="AB74">
        <f t="shared" si="9"/>
        <v>155.6529632082686</v>
      </c>
      <c r="AC74">
        <f t="shared" si="10"/>
        <v>2528.1931489869839</v>
      </c>
    </row>
    <row r="75" spans="27:29" x14ac:dyDescent="0.3">
      <c r="AA75">
        <f t="shared" si="8"/>
        <v>1692</v>
      </c>
      <c r="AB75">
        <f t="shared" si="9"/>
        <v>155.34196838034495</v>
      </c>
      <c r="AC75">
        <f t="shared" si="10"/>
        <v>2683.5351173673289</v>
      </c>
    </row>
    <row r="76" spans="27:29" x14ac:dyDescent="0.3">
      <c r="AA76">
        <f t="shared" si="8"/>
        <v>1693</v>
      </c>
      <c r="AB76">
        <f t="shared" si="9"/>
        <v>155.03159492050187</v>
      </c>
      <c r="AC76">
        <f t="shared" si="10"/>
        <v>2838.5667122878308</v>
      </c>
    </row>
    <row r="77" spans="27:29" x14ac:dyDescent="0.3">
      <c r="AA77">
        <f t="shared" si="8"/>
        <v>1694</v>
      </c>
      <c r="AB77">
        <f t="shared" si="9"/>
        <v>154.72184158724528</v>
      </c>
      <c r="AC77">
        <f t="shared" si="10"/>
        <v>2993.2885538750761</v>
      </c>
    </row>
    <row r="78" spans="27:29" x14ac:dyDescent="0.3">
      <c r="AA78">
        <f t="shared" si="8"/>
        <v>1695</v>
      </c>
      <c r="AB78">
        <f t="shared" si="9"/>
        <v>154.41270714156124</v>
      </c>
      <c r="AC78">
        <f t="shared" si="10"/>
        <v>3147.7012610166375</v>
      </c>
    </row>
    <row r="79" spans="27:29" x14ac:dyDescent="0.3">
      <c r="AA79">
        <f t="shared" si="8"/>
        <v>1696</v>
      </c>
      <c r="AB79">
        <f t="shared" si="9"/>
        <v>154.10419034691174</v>
      </c>
      <c r="AC79">
        <f t="shared" si="10"/>
        <v>3301.8054513635493</v>
      </c>
    </row>
    <row r="80" spans="27:29" x14ac:dyDescent="0.3">
      <c r="AA80">
        <f t="shared" si="8"/>
        <v>1697</v>
      </c>
      <c r="AB80">
        <f t="shared" si="9"/>
        <v>153.79628996922901</v>
      </c>
      <c r="AC80">
        <f t="shared" si="10"/>
        <v>3455.6017413327781</v>
      </c>
    </row>
    <row r="81" spans="27:29" x14ac:dyDescent="0.3">
      <c r="AA81">
        <f t="shared" si="8"/>
        <v>1698</v>
      </c>
      <c r="AB81">
        <f t="shared" si="9"/>
        <v>153.48900477691129</v>
      </c>
      <c r="AC81">
        <f t="shared" si="10"/>
        <v>3609.0907461096895</v>
      </c>
    </row>
    <row r="82" spans="27:29" x14ac:dyDescent="0.3">
      <c r="AA82">
        <f t="shared" si="8"/>
        <v>1699</v>
      </c>
      <c r="AB82">
        <f t="shared" si="9"/>
        <v>153.18233354081727</v>
      </c>
      <c r="AC82">
        <f t="shared" si="10"/>
        <v>3762.2730796505066</v>
      </c>
    </row>
    <row r="83" spans="27:29" x14ac:dyDescent="0.3">
      <c r="AA83">
        <f t="shared" si="8"/>
        <v>1700</v>
      </c>
      <c r="AB83">
        <f t="shared" si="9"/>
        <v>152.87627503426171</v>
      </c>
      <c r="AC83">
        <f t="shared" si="10"/>
        <v>3915.1493546847682</v>
      </c>
    </row>
    <row r="84" spans="27:29" x14ac:dyDescent="0.3">
      <c r="AA84">
        <f t="shared" si="8"/>
        <v>1701</v>
      </c>
      <c r="AB84">
        <f t="shared" si="9"/>
        <v>152.57082803301009</v>
      </c>
      <c r="AC84">
        <f t="shared" si="10"/>
        <v>4067.7201827177782</v>
      </c>
    </row>
    <row r="85" spans="27:29" x14ac:dyDescent="0.3">
      <c r="AA85">
        <f t="shared" si="8"/>
        <v>1702</v>
      </c>
      <c r="AB85">
        <f t="shared" si="9"/>
        <v>152.26599131527408</v>
      </c>
      <c r="AC85">
        <f t="shared" si="10"/>
        <v>4219.9861740330525</v>
      </c>
    </row>
    <row r="86" spans="27:29" x14ac:dyDescent="0.3">
      <c r="AA86">
        <f t="shared" si="8"/>
        <v>1703</v>
      </c>
      <c r="AB86">
        <f t="shared" si="9"/>
        <v>151.96176366170627</v>
      </c>
      <c r="AC86">
        <f t="shared" si="10"/>
        <v>4371.9479376947584</v>
      </c>
    </row>
    <row r="87" spans="27:29" x14ac:dyDescent="0.3">
      <c r="AA87">
        <f t="shared" si="8"/>
        <v>1704</v>
      </c>
      <c r="AB87">
        <f t="shared" si="9"/>
        <v>151.65814385539579</v>
      </c>
      <c r="AC87">
        <f t="shared" si="10"/>
        <v>4523.6060815501542</v>
      </c>
    </row>
    <row r="88" spans="27:29" x14ac:dyDescent="0.3">
      <c r="AA88">
        <f t="shared" si="8"/>
        <v>1705</v>
      </c>
      <c r="AB88">
        <f t="shared" si="9"/>
        <v>151.35513068186287</v>
      </c>
      <c r="AC88">
        <f t="shared" si="10"/>
        <v>4674.9612122320168</v>
      </c>
    </row>
    <row r="89" spans="27:29" x14ac:dyDescent="0.3">
      <c r="AA89">
        <f t="shared" si="8"/>
        <v>1706</v>
      </c>
      <c r="AB89">
        <f t="shared" si="9"/>
        <v>151.05272292905457</v>
      </c>
      <c r="AC89">
        <f t="shared" si="10"/>
        <v>4826.0139351610715</v>
      </c>
    </row>
    <row r="90" spans="27:29" x14ac:dyDescent="0.3">
      <c r="AA90">
        <f t="shared" si="8"/>
        <v>1707</v>
      </c>
      <c r="AB90">
        <f t="shared" si="9"/>
        <v>150.75091938733931</v>
      </c>
      <c r="AC90">
        <f t="shared" si="10"/>
        <v>4976.7648545484108</v>
      </c>
    </row>
    <row r="91" spans="27:29" x14ac:dyDescent="0.3">
      <c r="AA91">
        <f t="shared" si="8"/>
        <v>1708</v>
      </c>
      <c r="AB91">
        <f t="shared" si="9"/>
        <v>150.44971884950269</v>
      </c>
      <c r="AC91">
        <f t="shared" si="10"/>
        <v>5127.2145733979132</v>
      </c>
    </row>
    <row r="92" spans="27:29" x14ac:dyDescent="0.3">
      <c r="AA92">
        <f t="shared" si="8"/>
        <v>1709</v>
      </c>
      <c r="AB92">
        <f t="shared" si="9"/>
        <v>150.14912011074199</v>
      </c>
      <c r="AC92">
        <f t="shared" si="10"/>
        <v>5277.3636935086552</v>
      </c>
    </row>
    <row r="93" spans="27:29" x14ac:dyDescent="0.3">
      <c r="AA93">
        <f t="shared" si="8"/>
        <v>1710</v>
      </c>
      <c r="AB93">
        <f t="shared" si="9"/>
        <v>149.84912196866199</v>
      </c>
      <c r="AC93">
        <f t="shared" si="10"/>
        <v>5427.2128154773172</v>
      </c>
    </row>
    <row r="94" spans="27:29" x14ac:dyDescent="0.3">
      <c r="AA94">
        <f t="shared" si="8"/>
        <v>1711</v>
      </c>
      <c r="AB94">
        <f t="shared" si="9"/>
        <v>149.54972322326961</v>
      </c>
      <c r="AC94">
        <f t="shared" si="10"/>
        <v>5576.7625387005864</v>
      </c>
    </row>
    <row r="95" spans="27:29" x14ac:dyDescent="0.3">
      <c r="AA95">
        <f t="shared" si="8"/>
        <v>1712</v>
      </c>
      <c r="AB95">
        <f t="shared" si="9"/>
        <v>149.25092267696957</v>
      </c>
      <c r="AC95">
        <f t="shared" si="10"/>
        <v>5726.0134613775563</v>
      </c>
    </row>
    <row r="96" spans="27:29" x14ac:dyDescent="0.3">
      <c r="AA96">
        <f t="shared" si="8"/>
        <v>1713</v>
      </c>
      <c r="AB96">
        <f t="shared" si="9"/>
        <v>148.95271913455917</v>
      </c>
      <c r="AC96">
        <f t="shared" si="10"/>
        <v>5874.9661805121159</v>
      </c>
    </row>
    <row r="97" spans="27:29" x14ac:dyDescent="0.3">
      <c r="AA97">
        <f t="shared" si="8"/>
        <v>1714</v>
      </c>
      <c r="AB97">
        <f t="shared" si="9"/>
        <v>148.655111403224</v>
      </c>
      <c r="AC97">
        <f t="shared" si="10"/>
        <v>6023.6212919153395</v>
      </c>
    </row>
    <row r="98" spans="27:29" x14ac:dyDescent="0.3">
      <c r="AA98">
        <f t="shared" si="8"/>
        <v>1715</v>
      </c>
      <c r="AB98">
        <f t="shared" si="9"/>
        <v>148.35809829253259</v>
      </c>
      <c r="AC98">
        <f t="shared" si="10"/>
        <v>6171.9793902078718</v>
      </c>
    </row>
    <row r="99" spans="27:29" x14ac:dyDescent="0.3">
      <c r="AA99">
        <f t="shared" si="8"/>
        <v>1716</v>
      </c>
      <c r="AB99">
        <f t="shared" si="9"/>
        <v>148.06167861443217</v>
      </c>
      <c r="AC99">
        <f t="shared" si="10"/>
        <v>6320.0410688223037</v>
      </c>
    </row>
    <row r="100" spans="27:29" x14ac:dyDescent="0.3">
      <c r="AA100">
        <f t="shared" si="8"/>
        <v>1717</v>
      </c>
      <c r="AB100">
        <f t="shared" si="9"/>
        <v>147.7658511832436</v>
      </c>
      <c r="AC100">
        <f t="shared" si="10"/>
        <v>6467.806920005547</v>
      </c>
    </row>
    <row r="101" spans="27:29" x14ac:dyDescent="0.3">
      <c r="AA101">
        <f>AA100+1</f>
        <v>1718</v>
      </c>
      <c r="AB101">
        <f t="shared" si="9"/>
        <v>147.47061481565686</v>
      </c>
      <c r="AC101">
        <f t="shared" si="10"/>
        <v>6615.2775348212035</v>
      </c>
    </row>
    <row r="102" spans="27:29" x14ac:dyDescent="0.3">
      <c r="AA102">
        <f t="shared" si="8"/>
        <v>1719</v>
      </c>
      <c r="AB102">
        <f t="shared" si="9"/>
        <v>147.17596833072594</v>
      </c>
      <c r="AC102">
        <f t="shared" si="10"/>
        <v>6762.4535031519299</v>
      </c>
    </row>
    <row r="103" spans="27:29" x14ac:dyDescent="0.3">
      <c r="AA103">
        <f t="shared" si="8"/>
        <v>1720</v>
      </c>
      <c r="AB103">
        <f t="shared" si="9"/>
        <v>146.88191054986461</v>
      </c>
      <c r="AC103">
        <f t="shared" si="10"/>
        <v>6909.3354137017941</v>
      </c>
    </row>
    <row r="104" spans="27:29" x14ac:dyDescent="0.3">
      <c r="AA104">
        <f t="shared" si="8"/>
        <v>1721</v>
      </c>
      <c r="AB104">
        <f t="shared" si="9"/>
        <v>146.5884402968413</v>
      </c>
      <c r="AC104">
        <f t="shared" si="10"/>
        <v>7055.9238539986354</v>
      </c>
    </row>
    <row r="105" spans="27:29" x14ac:dyDescent="0.3">
      <c r="AA105">
        <f t="shared" si="8"/>
        <v>1722</v>
      </c>
      <c r="AB105">
        <f t="shared" si="9"/>
        <v>146.29555639777467</v>
      </c>
      <c r="AC105">
        <f t="shared" si="10"/>
        <v>7202.2194103964102</v>
      </c>
    </row>
    <row r="106" spans="27:29" x14ac:dyDescent="0.3">
      <c r="AA106">
        <f t="shared" si="8"/>
        <v>1723</v>
      </c>
      <c r="AB106">
        <f t="shared" si="9"/>
        <v>146.00325768112862</v>
      </c>
      <c r="AC106">
        <f t="shared" si="10"/>
        <v>7348.2226680775384</v>
      </c>
    </row>
    <row r="107" spans="27:29" x14ac:dyDescent="0.3">
      <c r="AA107">
        <f t="shared" si="8"/>
        <v>1724</v>
      </c>
      <c r="AB107">
        <f t="shared" si="9"/>
        <v>145.71154297770806</v>
      </c>
      <c r="AC107">
        <f t="shared" si="10"/>
        <v>7493.9342110552461</v>
      </c>
    </row>
    <row r="108" spans="27:29" x14ac:dyDescent="0.3">
      <c r="AA108">
        <f t="shared" si="8"/>
        <v>1725</v>
      </c>
      <c r="AB108">
        <f t="shared" si="9"/>
        <v>145.42041112065363</v>
      </c>
      <c r="AC108">
        <f t="shared" si="10"/>
        <v>7639.3546221758997</v>
      </c>
    </row>
    <row r="109" spans="27:29" x14ac:dyDescent="0.3">
      <c r="AA109">
        <f t="shared" si="8"/>
        <v>1726</v>
      </c>
      <c r="AB109">
        <f t="shared" si="9"/>
        <v>145.1298609454376</v>
      </c>
      <c r="AC109">
        <f t="shared" si="10"/>
        <v>7784.4844831213377</v>
      </c>
    </row>
    <row r="110" spans="27:29" x14ac:dyDescent="0.3">
      <c r="AA110">
        <f t="shared" si="8"/>
        <v>1727</v>
      </c>
      <c r="AB110">
        <f t="shared" si="9"/>
        <v>144.8398912898588</v>
      </c>
      <c r="AC110">
        <f t="shared" si="10"/>
        <v>7929.3243744111969</v>
      </c>
    </row>
    <row r="111" spans="27:29" x14ac:dyDescent="0.3">
      <c r="AA111">
        <f t="shared" si="8"/>
        <v>1728</v>
      </c>
      <c r="AB111">
        <f t="shared" si="9"/>
        <v>144.55050099403837</v>
      </c>
      <c r="AC111">
        <f t="shared" si="10"/>
        <v>8073.8748754052349</v>
      </c>
    </row>
    <row r="112" spans="27:29" x14ac:dyDescent="0.3">
      <c r="AA112">
        <f t="shared" si="8"/>
        <v>1729</v>
      </c>
      <c r="AB112">
        <f t="shared" si="9"/>
        <v>144.26168890041458</v>
      </c>
      <c r="AC112">
        <f t="shared" si="10"/>
        <v>8218.1365643056488</v>
      </c>
    </row>
    <row r="113" spans="27:29" x14ac:dyDescent="0.3">
      <c r="AA113">
        <f t="shared" si="8"/>
        <v>1730</v>
      </c>
      <c r="AB113">
        <f t="shared" si="9"/>
        <v>143.97345385373882</v>
      </c>
      <c r="AC113">
        <f t="shared" si="10"/>
        <v>8362.1100181593883</v>
      </c>
    </row>
    <row r="114" spans="27:29" x14ac:dyDescent="0.3">
      <c r="AA114">
        <f t="shared" si="8"/>
        <v>1731</v>
      </c>
      <c r="AB114">
        <f t="shared" si="9"/>
        <v>143.68579470107034</v>
      </c>
      <c r="AC114">
        <f t="shared" si="10"/>
        <v>8505.7958128604587</v>
      </c>
    </row>
    <row r="115" spans="27:29" x14ac:dyDescent="0.3">
      <c r="AA115">
        <f t="shared" si="8"/>
        <v>1732</v>
      </c>
      <c r="AB115">
        <f t="shared" si="9"/>
        <v>143.39871029177235</v>
      </c>
      <c r="AC115">
        <f t="shared" si="10"/>
        <v>8649.1945231522313</v>
      </c>
    </row>
    <row r="116" spans="27:29" x14ac:dyDescent="0.3">
      <c r="AA116">
        <f t="shared" si="8"/>
        <v>1733</v>
      </c>
      <c r="AB116">
        <f t="shared" si="9"/>
        <v>143.11219947750661</v>
      </c>
      <c r="AC116">
        <f t="shared" si="10"/>
        <v>8792.3067226297371</v>
      </c>
    </row>
    <row r="117" spans="27:29" x14ac:dyDescent="0.3">
      <c r="AA117">
        <f t="shared" si="8"/>
        <v>1734</v>
      </c>
      <c r="AB117">
        <f t="shared" si="9"/>
        <v>142.8262611122297</v>
      </c>
      <c r="AC117">
        <f t="shared" si="10"/>
        <v>8935.1329837419671</v>
      </c>
    </row>
    <row r="118" spans="27:29" x14ac:dyDescent="0.3">
      <c r="AA118">
        <f t="shared" si="8"/>
        <v>1735</v>
      </c>
      <c r="AB118">
        <f t="shared" si="9"/>
        <v>142.54089405218758</v>
      </c>
      <c r="AC118">
        <f t="shared" si="10"/>
        <v>9077.6738777941555</v>
      </c>
    </row>
    <row r="119" spans="27:29" x14ac:dyDescent="0.3">
      <c r="AA119">
        <f t="shared" si="8"/>
        <v>1736</v>
      </c>
      <c r="AB119">
        <f t="shared" si="9"/>
        <v>142.25609715591182</v>
      </c>
      <c r="AC119">
        <f t="shared" si="10"/>
        <v>9219.9299749500678</v>
      </c>
    </row>
    <row r="120" spans="27:29" x14ac:dyDescent="0.3">
      <c r="AA120">
        <f t="shared" si="8"/>
        <v>1737</v>
      </c>
      <c r="AB120">
        <f t="shared" si="9"/>
        <v>141.97186928421428</v>
      </c>
      <c r="AC120">
        <f t="shared" si="10"/>
        <v>9361.9018442342822</v>
      </c>
    </row>
    <row r="121" spans="27:29" x14ac:dyDescent="0.3">
      <c r="AA121">
        <f t="shared" si="8"/>
        <v>1738</v>
      </c>
      <c r="AB121">
        <f t="shared" si="9"/>
        <v>141.68820930018325</v>
      </c>
      <c r="AC121">
        <f t="shared" si="10"/>
        <v>9503.5900535344663</v>
      </c>
    </row>
    <row r="122" spans="27:29" x14ac:dyDescent="0.3">
      <c r="AA122">
        <f t="shared" si="8"/>
        <v>1739</v>
      </c>
      <c r="AB122">
        <f t="shared" si="9"/>
        <v>141.40511606917823</v>
      </c>
      <c r="AC122">
        <f t="shared" si="10"/>
        <v>9644.9951696036442</v>
      </c>
    </row>
    <row r="123" spans="27:29" x14ac:dyDescent="0.3">
      <c r="AA123">
        <f t="shared" si="8"/>
        <v>1740</v>
      </c>
      <c r="AB123">
        <f t="shared" si="9"/>
        <v>141.12258845882613</v>
      </c>
      <c r="AC123">
        <f t="shared" si="10"/>
        <v>9786.1177580624699</v>
      </c>
    </row>
    <row r="124" spans="27:29" x14ac:dyDescent="0.3">
      <c r="AA124">
        <f t="shared" ref="AA124:AA187" si="11">AA123+1</f>
        <v>1741</v>
      </c>
      <c r="AB124">
        <f t="shared" si="9"/>
        <v>140.84062533901596</v>
      </c>
      <c r="AC124">
        <f t="shared" si="10"/>
        <v>9926.9583834014866</v>
      </c>
    </row>
    <row r="125" spans="27:29" x14ac:dyDescent="0.3">
      <c r="AA125">
        <f t="shared" si="11"/>
        <v>1742</v>
      </c>
      <c r="AB125">
        <f t="shared" si="9"/>
        <v>140.55922558189499</v>
      </c>
      <c r="AC125">
        <f t="shared" si="10"/>
        <v>10067.517608983382</v>
      </c>
    </row>
    <row r="126" spans="27:29" x14ac:dyDescent="0.3">
      <c r="AA126">
        <f t="shared" si="11"/>
        <v>1743</v>
      </c>
      <c r="AB126">
        <f t="shared" si="9"/>
        <v>140.27838806186369</v>
      </c>
      <c r="AC126">
        <f t="shared" si="10"/>
        <v>10207.795997045247</v>
      </c>
    </row>
    <row r="127" spans="27:29" x14ac:dyDescent="0.3">
      <c r="AA127">
        <f t="shared" si="11"/>
        <v>1744</v>
      </c>
      <c r="AB127">
        <f t="shared" si="9"/>
        <v>139.99811165557176</v>
      </c>
      <c r="AC127">
        <f t="shared" si="10"/>
        <v>10347.794108700818</v>
      </c>
    </row>
    <row r="128" spans="27:29" x14ac:dyDescent="0.3">
      <c r="AA128">
        <f t="shared" si="11"/>
        <v>1745</v>
      </c>
      <c r="AB128">
        <f t="shared" si="9"/>
        <v>139.71839524191304</v>
      </c>
      <c r="AC128">
        <f t="shared" si="10"/>
        <v>10487.512503942731</v>
      </c>
    </row>
    <row r="129" spans="27:29" x14ac:dyDescent="0.3">
      <c r="AA129">
        <f t="shared" si="11"/>
        <v>1746</v>
      </c>
      <c r="AB129">
        <f t="shared" si="9"/>
        <v>139.43923770202164</v>
      </c>
      <c r="AC129">
        <f t="shared" si="10"/>
        <v>10626.951741644752</v>
      </c>
    </row>
    <row r="130" spans="27:29" x14ac:dyDescent="0.3">
      <c r="AA130">
        <f t="shared" si="11"/>
        <v>1747</v>
      </c>
      <c r="AB130">
        <f t="shared" si="9"/>
        <v>139.16063791926692</v>
      </c>
      <c r="AC130">
        <f t="shared" si="10"/>
        <v>10766.11237956402</v>
      </c>
    </row>
    <row r="131" spans="27:29" x14ac:dyDescent="0.3">
      <c r="AA131">
        <f t="shared" si="11"/>
        <v>1748</v>
      </c>
      <c r="AB131">
        <f t="shared" si="9"/>
        <v>138.88259477924947</v>
      </c>
      <c r="AC131">
        <f t="shared" si="10"/>
        <v>10904.99497434327</v>
      </c>
    </row>
    <row r="132" spans="27:29" x14ac:dyDescent="0.3">
      <c r="AA132">
        <f t="shared" si="11"/>
        <v>1749</v>
      </c>
      <c r="AB132">
        <f t="shared" ref="AB132:AB195" si="12" xml:space="preserve"> 4580.8*EXP(-0.002*AA132)</f>
        <v>138.60510716979627</v>
      </c>
      <c r="AC132">
        <f t="shared" si="10"/>
        <v>11043.600081513066</v>
      </c>
    </row>
    <row r="133" spans="27:29" x14ac:dyDescent="0.3">
      <c r="AA133">
        <f t="shared" si="11"/>
        <v>1750</v>
      </c>
      <c r="AB133">
        <f t="shared" si="12"/>
        <v>138.32817398095659</v>
      </c>
      <c r="AC133">
        <f t="shared" ref="AC133:AC196" si="13">AC132+AB133</f>
        <v>11181.928255494024</v>
      </c>
    </row>
    <row r="134" spans="27:29" x14ac:dyDescent="0.3">
      <c r="AA134">
        <f t="shared" si="11"/>
        <v>1751</v>
      </c>
      <c r="AB134">
        <f t="shared" si="12"/>
        <v>138.05179410499724</v>
      </c>
      <c r="AC134">
        <f t="shared" si="13"/>
        <v>11319.98004959902</v>
      </c>
    </row>
    <row r="135" spans="27:29" x14ac:dyDescent="0.3">
      <c r="AA135">
        <f t="shared" si="11"/>
        <v>1752</v>
      </c>
      <c r="AB135">
        <f t="shared" si="12"/>
        <v>137.77596643639842</v>
      </c>
      <c r="AC135">
        <f t="shared" si="13"/>
        <v>11457.756016035419</v>
      </c>
    </row>
    <row r="136" spans="27:29" x14ac:dyDescent="0.3">
      <c r="AA136">
        <f t="shared" si="11"/>
        <v>1753</v>
      </c>
      <c r="AB136">
        <f t="shared" si="12"/>
        <v>137.50068987184898</v>
      </c>
      <c r="AC136">
        <f t="shared" si="13"/>
        <v>11595.256705907268</v>
      </c>
    </row>
    <row r="137" spans="27:29" x14ac:dyDescent="0.3">
      <c r="AA137">
        <f t="shared" si="11"/>
        <v>1754</v>
      </c>
      <c r="AB137">
        <f t="shared" si="12"/>
        <v>137.22596331024243</v>
      </c>
      <c r="AC137">
        <f t="shared" si="13"/>
        <v>11732.48266921751</v>
      </c>
    </row>
    <row r="138" spans="27:29" x14ac:dyDescent="0.3">
      <c r="AA138">
        <f t="shared" si="11"/>
        <v>1755</v>
      </c>
      <c r="AB138">
        <f t="shared" si="12"/>
        <v>136.95178565267204</v>
      </c>
      <c r="AC138">
        <f t="shared" si="13"/>
        <v>11869.434454870183</v>
      </c>
    </row>
    <row r="139" spans="27:29" x14ac:dyDescent="0.3">
      <c r="AA139">
        <f t="shared" si="11"/>
        <v>1756</v>
      </c>
      <c r="AB139">
        <f t="shared" si="12"/>
        <v>136.67815580242691</v>
      </c>
      <c r="AC139">
        <f t="shared" si="13"/>
        <v>12006.11261067261</v>
      </c>
    </row>
    <row r="140" spans="27:29" x14ac:dyDescent="0.3">
      <c r="AA140">
        <f t="shared" si="11"/>
        <v>1757</v>
      </c>
      <c r="AB140">
        <f t="shared" si="12"/>
        <v>136.40507266498716</v>
      </c>
      <c r="AC140">
        <f t="shared" si="13"/>
        <v>12142.517683337597</v>
      </c>
    </row>
    <row r="141" spans="27:29" x14ac:dyDescent="0.3">
      <c r="AA141">
        <f t="shared" si="11"/>
        <v>1758</v>
      </c>
      <c r="AB141">
        <f t="shared" si="12"/>
        <v>136.13253514802003</v>
      </c>
      <c r="AC141">
        <f t="shared" si="13"/>
        <v>12278.650218485618</v>
      </c>
    </row>
    <row r="142" spans="27:29" x14ac:dyDescent="0.3">
      <c r="AA142">
        <f t="shared" si="11"/>
        <v>1759</v>
      </c>
      <c r="AB142">
        <f t="shared" si="12"/>
        <v>135.86054216137492</v>
      </c>
      <c r="AC142">
        <f t="shared" si="13"/>
        <v>12414.510760646994</v>
      </c>
    </row>
    <row r="143" spans="27:29" x14ac:dyDescent="0.3">
      <c r="AA143">
        <f t="shared" si="11"/>
        <v>1760</v>
      </c>
      <c r="AB143">
        <f t="shared" si="12"/>
        <v>135.58909261707967</v>
      </c>
      <c r="AC143">
        <f t="shared" si="13"/>
        <v>12550.099853264073</v>
      </c>
    </row>
    <row r="144" spans="27:29" x14ac:dyDescent="0.3">
      <c r="AA144">
        <f t="shared" si="11"/>
        <v>1761</v>
      </c>
      <c r="AB144">
        <f t="shared" si="12"/>
        <v>135.31818542933561</v>
      </c>
      <c r="AC144">
        <f t="shared" si="13"/>
        <v>12685.418038693409</v>
      </c>
    </row>
    <row r="145" spans="27:29" x14ac:dyDescent="0.3">
      <c r="AA145">
        <f t="shared" si="11"/>
        <v>1762</v>
      </c>
      <c r="AB145">
        <f t="shared" si="12"/>
        <v>135.04781951451378</v>
      </c>
      <c r="AC145">
        <f t="shared" si="13"/>
        <v>12820.465858207923</v>
      </c>
    </row>
    <row r="146" spans="27:29" x14ac:dyDescent="0.3">
      <c r="AA146">
        <f t="shared" si="11"/>
        <v>1763</v>
      </c>
      <c r="AB146">
        <f t="shared" si="12"/>
        <v>134.77799379114998</v>
      </c>
      <c r="AC146">
        <f t="shared" si="13"/>
        <v>12955.243851999072</v>
      </c>
    </row>
    <row r="147" spans="27:29" x14ac:dyDescent="0.3">
      <c r="AA147">
        <f t="shared" si="11"/>
        <v>1764</v>
      </c>
      <c r="AB147">
        <f t="shared" si="12"/>
        <v>134.5087071799411</v>
      </c>
      <c r="AC147">
        <f t="shared" si="13"/>
        <v>13089.752559179013</v>
      </c>
    </row>
    <row r="148" spans="27:29" x14ac:dyDescent="0.3">
      <c r="AA148">
        <f t="shared" si="11"/>
        <v>1765</v>
      </c>
      <c r="AB148">
        <f t="shared" si="12"/>
        <v>134.23995860374026</v>
      </c>
      <c r="AC148">
        <f t="shared" si="13"/>
        <v>13223.992517782754</v>
      </c>
    </row>
    <row r="149" spans="27:29" x14ac:dyDescent="0.3">
      <c r="AA149">
        <f t="shared" si="11"/>
        <v>1766</v>
      </c>
      <c r="AB149">
        <f t="shared" si="12"/>
        <v>133.97174698755288</v>
      </c>
      <c r="AC149">
        <f t="shared" si="13"/>
        <v>13357.964264770306</v>
      </c>
    </row>
    <row r="150" spans="27:29" x14ac:dyDescent="0.3">
      <c r="AA150">
        <f t="shared" si="11"/>
        <v>1767</v>
      </c>
      <c r="AB150">
        <f t="shared" si="12"/>
        <v>133.70407125853197</v>
      </c>
      <c r="AC150">
        <f t="shared" si="13"/>
        <v>13491.668336028837</v>
      </c>
    </row>
    <row r="151" spans="27:29" x14ac:dyDescent="0.3">
      <c r="AA151">
        <f t="shared" si="11"/>
        <v>1768</v>
      </c>
      <c r="AB151">
        <f t="shared" si="12"/>
        <v>133.43693034597447</v>
      </c>
      <c r="AC151">
        <f t="shared" si="13"/>
        <v>13625.105266374812</v>
      </c>
    </row>
    <row r="152" spans="27:29" x14ac:dyDescent="0.3">
      <c r="AA152">
        <f t="shared" si="11"/>
        <v>1769</v>
      </c>
      <c r="AB152">
        <f t="shared" si="12"/>
        <v>133.17032318131618</v>
      </c>
      <c r="AC152">
        <f t="shared" si="13"/>
        <v>13758.275589556128</v>
      </c>
    </row>
    <row r="153" spans="27:29" x14ac:dyDescent="0.3">
      <c r="AA153">
        <f t="shared" si="11"/>
        <v>1770</v>
      </c>
      <c r="AB153">
        <f t="shared" si="12"/>
        <v>132.90424869812827</v>
      </c>
      <c r="AC153">
        <f t="shared" si="13"/>
        <v>13891.179838254257</v>
      </c>
    </row>
    <row r="154" spans="27:29" x14ac:dyDescent="0.3">
      <c r="AA154">
        <f t="shared" si="11"/>
        <v>1771</v>
      </c>
      <c r="AB154">
        <f t="shared" si="12"/>
        <v>132.63870583211229</v>
      </c>
      <c r="AC154">
        <f t="shared" si="13"/>
        <v>14023.818544086369</v>
      </c>
    </row>
    <row r="155" spans="27:29" x14ac:dyDescent="0.3">
      <c r="AA155">
        <f t="shared" si="11"/>
        <v>1772</v>
      </c>
      <c r="AB155">
        <f t="shared" si="12"/>
        <v>132.37369352109653</v>
      </c>
      <c r="AC155">
        <f t="shared" si="13"/>
        <v>14156.192237607465</v>
      </c>
    </row>
    <row r="156" spans="27:29" x14ac:dyDescent="0.3">
      <c r="AA156">
        <f t="shared" si="11"/>
        <v>1773</v>
      </c>
      <c r="AB156">
        <f t="shared" si="12"/>
        <v>132.1092107050313</v>
      </c>
      <c r="AC156">
        <f t="shared" si="13"/>
        <v>14288.301448312497</v>
      </c>
    </row>
    <row r="157" spans="27:29" x14ac:dyDescent="0.3">
      <c r="AA157">
        <f t="shared" si="11"/>
        <v>1774</v>
      </c>
      <c r="AB157">
        <f t="shared" si="12"/>
        <v>131.8452563259851</v>
      </c>
      <c r="AC157">
        <f t="shared" si="13"/>
        <v>14420.146704638482</v>
      </c>
    </row>
    <row r="158" spans="27:29" x14ac:dyDescent="0.3">
      <c r="AA158">
        <f t="shared" si="11"/>
        <v>1775</v>
      </c>
      <c r="AB158">
        <f t="shared" si="12"/>
        <v>131.58182932813995</v>
      </c>
      <c r="AC158">
        <f t="shared" si="13"/>
        <v>14551.728533966621</v>
      </c>
    </row>
    <row r="159" spans="27:29" x14ac:dyDescent="0.3">
      <c r="AA159">
        <f t="shared" si="11"/>
        <v>1776</v>
      </c>
      <c r="AB159">
        <f t="shared" si="12"/>
        <v>131.31892865778761</v>
      </c>
      <c r="AC159">
        <f t="shared" si="13"/>
        <v>14683.047462624409</v>
      </c>
    </row>
    <row r="160" spans="27:29" x14ac:dyDescent="0.3">
      <c r="AA160">
        <f t="shared" si="11"/>
        <v>1777</v>
      </c>
      <c r="AB160">
        <f t="shared" si="12"/>
        <v>131.05655326332493</v>
      </c>
      <c r="AC160">
        <f t="shared" si="13"/>
        <v>14814.104015887733</v>
      </c>
    </row>
    <row r="161" spans="27:29" x14ac:dyDescent="0.3">
      <c r="AA161">
        <f t="shared" si="11"/>
        <v>1778</v>
      </c>
      <c r="AB161">
        <f t="shared" si="12"/>
        <v>130.79470209525007</v>
      </c>
      <c r="AC161">
        <f t="shared" si="13"/>
        <v>14944.898717982984</v>
      </c>
    </row>
    <row r="162" spans="27:29" x14ac:dyDescent="0.3">
      <c r="AA162">
        <f t="shared" si="11"/>
        <v>1779</v>
      </c>
      <c r="AB162">
        <f t="shared" si="12"/>
        <v>130.53337410615796</v>
      </c>
      <c r="AC162">
        <f t="shared" si="13"/>
        <v>15075.432092089142</v>
      </c>
    </row>
    <row r="163" spans="27:29" x14ac:dyDescent="0.3">
      <c r="AA163">
        <f t="shared" si="11"/>
        <v>1780</v>
      </c>
      <c r="AB163">
        <f t="shared" si="12"/>
        <v>130.27256825073638</v>
      </c>
      <c r="AC163">
        <f t="shared" si="13"/>
        <v>15205.704660339879</v>
      </c>
    </row>
    <row r="164" spans="27:29" x14ac:dyDescent="0.3">
      <c r="AA164">
        <f t="shared" si="11"/>
        <v>1781</v>
      </c>
      <c r="AB164">
        <f t="shared" si="12"/>
        <v>130.01228348576143</v>
      </c>
      <c r="AC164">
        <f t="shared" si="13"/>
        <v>15335.716943825641</v>
      </c>
    </row>
    <row r="165" spans="27:29" x14ac:dyDescent="0.3">
      <c r="AA165">
        <f t="shared" si="11"/>
        <v>1782</v>
      </c>
      <c r="AB165">
        <f t="shared" si="12"/>
        <v>129.75251877009384</v>
      </c>
      <c r="AC165">
        <f t="shared" si="13"/>
        <v>15465.469462595735</v>
      </c>
    </row>
    <row r="166" spans="27:29" x14ac:dyDescent="0.3">
      <c r="AA166">
        <f t="shared" si="11"/>
        <v>1783</v>
      </c>
      <c r="AB166">
        <f t="shared" si="12"/>
        <v>129.49327306467427</v>
      </c>
      <c r="AC166">
        <f t="shared" si="13"/>
        <v>15594.962735660409</v>
      </c>
    </row>
    <row r="167" spans="27:29" x14ac:dyDescent="0.3">
      <c r="AA167">
        <f t="shared" si="11"/>
        <v>1784</v>
      </c>
      <c r="AB167">
        <f t="shared" si="12"/>
        <v>129.2345453325197</v>
      </c>
      <c r="AC167">
        <f t="shared" si="13"/>
        <v>15724.197280992928</v>
      </c>
    </row>
    <row r="168" spans="27:29" x14ac:dyDescent="0.3">
      <c r="AA168">
        <f t="shared" si="11"/>
        <v>1785</v>
      </c>
      <c r="AB168">
        <f t="shared" si="12"/>
        <v>128.97633453871867</v>
      </c>
      <c r="AC168">
        <f t="shared" si="13"/>
        <v>15853.173615531647</v>
      </c>
    </row>
    <row r="169" spans="27:29" x14ac:dyDescent="0.3">
      <c r="AA169">
        <f t="shared" si="11"/>
        <v>1786</v>
      </c>
      <c r="AB169">
        <f t="shared" si="12"/>
        <v>128.71863965042786</v>
      </c>
      <c r="AC169">
        <f t="shared" si="13"/>
        <v>15981.892255182074</v>
      </c>
    </row>
    <row r="170" spans="27:29" x14ac:dyDescent="0.3">
      <c r="AA170">
        <f t="shared" si="11"/>
        <v>1787</v>
      </c>
      <c r="AB170">
        <f t="shared" si="12"/>
        <v>128.4614596368672</v>
      </c>
      <c r="AC170">
        <f t="shared" si="13"/>
        <v>16110.353714818941</v>
      </c>
    </row>
    <row r="171" spans="27:29" x14ac:dyDescent="0.3">
      <c r="AA171">
        <f t="shared" si="11"/>
        <v>1788</v>
      </c>
      <c r="AB171">
        <f t="shared" si="12"/>
        <v>128.2047934693164</v>
      </c>
      <c r="AC171">
        <f t="shared" si="13"/>
        <v>16238.558508288257</v>
      </c>
    </row>
    <row r="172" spans="27:29" x14ac:dyDescent="0.3">
      <c r="AA172">
        <f t="shared" si="11"/>
        <v>1789</v>
      </c>
      <c r="AB172">
        <f t="shared" si="12"/>
        <v>127.94864012111042</v>
      </c>
      <c r="AC172">
        <f t="shared" si="13"/>
        <v>16366.507148409368</v>
      </c>
    </row>
    <row r="173" spans="27:29" x14ac:dyDescent="0.3">
      <c r="AA173">
        <f t="shared" si="11"/>
        <v>1790</v>
      </c>
      <c r="AB173">
        <f t="shared" si="12"/>
        <v>127.69299856763553</v>
      </c>
      <c r="AC173">
        <f t="shared" si="13"/>
        <v>16494.200146977004</v>
      </c>
    </row>
    <row r="174" spans="27:29" x14ac:dyDescent="0.3">
      <c r="AA174">
        <f t="shared" si="11"/>
        <v>1791</v>
      </c>
      <c r="AB174">
        <f t="shared" si="12"/>
        <v>127.43786778632513</v>
      </c>
      <c r="AC174">
        <f t="shared" si="13"/>
        <v>16621.638014763328</v>
      </c>
    </row>
    <row r="175" spans="27:29" x14ac:dyDescent="0.3">
      <c r="AA175">
        <f t="shared" si="11"/>
        <v>1792</v>
      </c>
      <c r="AB175">
        <f t="shared" si="12"/>
        <v>127.18324675665585</v>
      </c>
      <c r="AC175">
        <f t="shared" si="13"/>
        <v>16748.821261519985</v>
      </c>
    </row>
    <row r="176" spans="27:29" x14ac:dyDescent="0.3">
      <c r="AA176">
        <f t="shared" si="11"/>
        <v>1793</v>
      </c>
      <c r="AB176">
        <f t="shared" si="12"/>
        <v>126.92913446014317</v>
      </c>
      <c r="AC176">
        <f t="shared" si="13"/>
        <v>16875.750395980129</v>
      </c>
    </row>
    <row r="177" spans="27:29" x14ac:dyDescent="0.3">
      <c r="AA177">
        <f t="shared" si="11"/>
        <v>1794</v>
      </c>
      <c r="AB177">
        <f t="shared" si="12"/>
        <v>126.67552988033752</v>
      </c>
      <c r="AC177">
        <f t="shared" si="13"/>
        <v>17002.425925860465</v>
      </c>
    </row>
    <row r="178" spans="27:29" x14ac:dyDescent="0.3">
      <c r="AA178">
        <f t="shared" si="11"/>
        <v>1795</v>
      </c>
      <c r="AB178">
        <f t="shared" si="12"/>
        <v>126.42243200282034</v>
      </c>
      <c r="AC178">
        <f t="shared" si="13"/>
        <v>17128.848357863284</v>
      </c>
    </row>
    <row r="179" spans="27:29" x14ac:dyDescent="0.3">
      <c r="AA179">
        <f t="shared" si="11"/>
        <v>1796</v>
      </c>
      <c r="AB179">
        <f t="shared" si="12"/>
        <v>126.16983981519969</v>
      </c>
      <c r="AC179">
        <f t="shared" si="13"/>
        <v>17255.018197678484</v>
      </c>
    </row>
    <row r="180" spans="27:29" x14ac:dyDescent="0.3">
      <c r="AA180">
        <f t="shared" si="11"/>
        <v>1797</v>
      </c>
      <c r="AB180">
        <f t="shared" si="12"/>
        <v>125.91775230710658</v>
      </c>
      <c r="AC180">
        <f t="shared" si="13"/>
        <v>17380.935949985589</v>
      </c>
    </row>
    <row r="181" spans="27:29" x14ac:dyDescent="0.3">
      <c r="AA181">
        <f t="shared" si="11"/>
        <v>1798</v>
      </c>
      <c r="AB181">
        <f t="shared" si="12"/>
        <v>125.66616847019051</v>
      </c>
      <c r="AC181">
        <f t="shared" si="13"/>
        <v>17506.602118455779</v>
      </c>
    </row>
    <row r="182" spans="27:29" x14ac:dyDescent="0.3">
      <c r="AA182">
        <f t="shared" si="11"/>
        <v>1799</v>
      </c>
      <c r="AB182">
        <f t="shared" si="12"/>
        <v>125.41508729811595</v>
      </c>
      <c r="AC182">
        <f t="shared" si="13"/>
        <v>17632.017205753895</v>
      </c>
    </row>
    <row r="183" spans="27:29" x14ac:dyDescent="0.3">
      <c r="AA183">
        <f t="shared" si="11"/>
        <v>1800</v>
      </c>
      <c r="AB183">
        <f t="shared" si="12"/>
        <v>125.16450778655776</v>
      </c>
      <c r="AC183">
        <f t="shared" si="13"/>
        <v>17757.181713540453</v>
      </c>
    </row>
    <row r="184" spans="27:29" x14ac:dyDescent="0.3">
      <c r="AA184">
        <f t="shared" si="11"/>
        <v>1801</v>
      </c>
      <c r="AB184">
        <f t="shared" si="12"/>
        <v>124.91442893319764</v>
      </c>
      <c r="AC184">
        <f t="shared" si="13"/>
        <v>17882.096142473649</v>
      </c>
    </row>
    <row r="185" spans="27:29" x14ac:dyDescent="0.3">
      <c r="AA185">
        <f t="shared" si="11"/>
        <v>1802</v>
      </c>
      <c r="AB185">
        <f t="shared" si="12"/>
        <v>124.66484973771975</v>
      </c>
      <c r="AC185">
        <f t="shared" si="13"/>
        <v>18006.76099221137</v>
      </c>
    </row>
    <row r="186" spans="27:29" x14ac:dyDescent="0.3">
      <c r="AA186">
        <f t="shared" si="11"/>
        <v>1803</v>
      </c>
      <c r="AB186">
        <f t="shared" si="12"/>
        <v>124.41576920180709</v>
      </c>
      <c r="AC186">
        <f t="shared" si="13"/>
        <v>18131.176761413179</v>
      </c>
    </row>
    <row r="187" spans="27:29" x14ac:dyDescent="0.3">
      <c r="AA187">
        <f t="shared" si="11"/>
        <v>1804</v>
      </c>
      <c r="AB187">
        <f t="shared" si="12"/>
        <v>124.16718632913708</v>
      </c>
      <c r="AC187">
        <f t="shared" si="13"/>
        <v>18255.343947742316</v>
      </c>
    </row>
    <row r="188" spans="27:29" x14ac:dyDescent="0.3">
      <c r="AA188">
        <f t="shared" ref="AA188:AA251" si="14">AA187+1</f>
        <v>1805</v>
      </c>
      <c r="AB188">
        <f t="shared" si="12"/>
        <v>123.91910012537799</v>
      </c>
      <c r="AC188">
        <f t="shared" si="13"/>
        <v>18379.263047867695</v>
      </c>
    </row>
    <row r="189" spans="27:29" x14ac:dyDescent="0.3">
      <c r="AA189">
        <f t="shared" si="14"/>
        <v>1806</v>
      </c>
      <c r="AB189">
        <f t="shared" si="12"/>
        <v>123.67150959818457</v>
      </c>
      <c r="AC189">
        <f t="shared" si="13"/>
        <v>18502.93455746588</v>
      </c>
    </row>
    <row r="190" spans="27:29" x14ac:dyDescent="0.3">
      <c r="AA190">
        <f t="shared" si="14"/>
        <v>1807</v>
      </c>
      <c r="AB190">
        <f t="shared" si="12"/>
        <v>123.42441375719449</v>
      </c>
      <c r="AC190">
        <f t="shared" si="13"/>
        <v>18626.358971223075</v>
      </c>
    </row>
    <row r="191" spans="27:29" x14ac:dyDescent="0.3">
      <c r="AA191">
        <f t="shared" si="14"/>
        <v>1808</v>
      </c>
      <c r="AB191">
        <f t="shared" si="12"/>
        <v>123.17781161402395</v>
      </c>
      <c r="AC191">
        <f t="shared" si="13"/>
        <v>18749.536782837098</v>
      </c>
    </row>
    <row r="192" spans="27:29" x14ac:dyDescent="0.3">
      <c r="AA192">
        <f t="shared" si="14"/>
        <v>1809</v>
      </c>
      <c r="AB192">
        <f t="shared" si="12"/>
        <v>122.93170218226416</v>
      </c>
      <c r="AC192">
        <f t="shared" si="13"/>
        <v>18872.468485019363</v>
      </c>
    </row>
    <row r="193" spans="27:29" x14ac:dyDescent="0.3">
      <c r="AA193">
        <f t="shared" si="14"/>
        <v>1810</v>
      </c>
      <c r="AB193">
        <f t="shared" si="12"/>
        <v>122.68608447747695</v>
      </c>
      <c r="AC193">
        <f t="shared" si="13"/>
        <v>18995.154569496841</v>
      </c>
    </row>
    <row r="194" spans="27:29" x14ac:dyDescent="0.3">
      <c r="AA194">
        <f t="shared" si="14"/>
        <v>1811</v>
      </c>
      <c r="AB194">
        <f t="shared" si="12"/>
        <v>122.44095751719131</v>
      </c>
      <c r="AC194">
        <f t="shared" si="13"/>
        <v>19117.595527014033</v>
      </c>
    </row>
    <row r="195" spans="27:29" x14ac:dyDescent="0.3">
      <c r="AA195">
        <f t="shared" si="14"/>
        <v>1812</v>
      </c>
      <c r="AB195">
        <f t="shared" si="12"/>
        <v>122.19632032089889</v>
      </c>
      <c r="AC195">
        <f t="shared" si="13"/>
        <v>19239.791847334931</v>
      </c>
    </row>
    <row r="196" spans="27:29" x14ac:dyDescent="0.3">
      <c r="AA196">
        <f t="shared" si="14"/>
        <v>1813</v>
      </c>
      <c r="AB196">
        <f t="shared" ref="AB196:AB259" si="15" xml:space="preserve"> 4580.8*EXP(-0.002*AA196)</f>
        <v>121.95217191005078</v>
      </c>
      <c r="AC196">
        <f t="shared" si="13"/>
        <v>19361.744019244983</v>
      </c>
    </row>
    <row r="197" spans="27:29" x14ac:dyDescent="0.3">
      <c r="AA197">
        <f t="shared" si="14"/>
        <v>1814</v>
      </c>
      <c r="AB197">
        <f t="shared" si="15"/>
        <v>121.70851130805285</v>
      </c>
      <c r="AC197">
        <f t="shared" ref="AC197:AC260" si="16">AC196+AB197</f>
        <v>19483.452530553037</v>
      </c>
    </row>
    <row r="198" spans="27:29" x14ac:dyDescent="0.3">
      <c r="AA198">
        <f t="shared" si="14"/>
        <v>1815</v>
      </c>
      <c r="AB198">
        <f t="shared" si="15"/>
        <v>121.46533754026247</v>
      </c>
      <c r="AC198">
        <f t="shared" si="16"/>
        <v>19604.9178680933</v>
      </c>
    </row>
    <row r="199" spans="27:29" x14ac:dyDescent="0.3">
      <c r="AA199">
        <f t="shared" si="14"/>
        <v>1816</v>
      </c>
      <c r="AB199">
        <f t="shared" si="15"/>
        <v>121.22264963398416</v>
      </c>
      <c r="AC199">
        <f t="shared" si="16"/>
        <v>19726.140517727283</v>
      </c>
    </row>
    <row r="200" spans="27:29" x14ac:dyDescent="0.3">
      <c r="AA200">
        <f t="shared" si="14"/>
        <v>1817</v>
      </c>
      <c r="AB200">
        <f t="shared" si="15"/>
        <v>120.98044661846606</v>
      </c>
      <c r="AC200">
        <f t="shared" si="16"/>
        <v>19847.120964345748</v>
      </c>
    </row>
    <row r="201" spans="27:29" x14ac:dyDescent="0.3">
      <c r="AA201">
        <f t="shared" si="14"/>
        <v>1818</v>
      </c>
      <c r="AB201">
        <f t="shared" si="15"/>
        <v>120.73872752489571</v>
      </c>
      <c r="AC201">
        <f t="shared" si="16"/>
        <v>19967.859691870643</v>
      </c>
    </row>
    <row r="202" spans="27:29" x14ac:dyDescent="0.3">
      <c r="AA202">
        <f t="shared" si="14"/>
        <v>1819</v>
      </c>
      <c r="AB202">
        <f t="shared" si="15"/>
        <v>120.49749138639649</v>
      </c>
      <c r="AC202">
        <f t="shared" si="16"/>
        <v>20088.357183257038</v>
      </c>
    </row>
    <row r="203" spans="27:29" x14ac:dyDescent="0.3">
      <c r="AA203">
        <f t="shared" si="14"/>
        <v>1820</v>
      </c>
      <c r="AB203">
        <f t="shared" si="15"/>
        <v>120.25673723802342</v>
      </c>
      <c r="AC203">
        <f t="shared" si="16"/>
        <v>20208.61392049506</v>
      </c>
    </row>
    <row r="204" spans="27:29" x14ac:dyDescent="0.3">
      <c r="AA204">
        <f t="shared" si="14"/>
        <v>1821</v>
      </c>
      <c r="AB204">
        <f t="shared" si="15"/>
        <v>120.01646411675968</v>
      </c>
      <c r="AC204">
        <f t="shared" si="16"/>
        <v>20328.630384611821</v>
      </c>
    </row>
    <row r="205" spans="27:29" x14ac:dyDescent="0.3">
      <c r="AA205">
        <f t="shared" si="14"/>
        <v>1822</v>
      </c>
      <c r="AB205">
        <f t="shared" si="15"/>
        <v>119.77667106151242</v>
      </c>
      <c r="AC205">
        <f t="shared" si="16"/>
        <v>20448.407055673335</v>
      </c>
    </row>
    <row r="206" spans="27:29" x14ac:dyDescent="0.3">
      <c r="AA206">
        <f t="shared" si="14"/>
        <v>1823</v>
      </c>
      <c r="AB206">
        <f t="shared" si="15"/>
        <v>119.53735711310912</v>
      </c>
      <c r="AC206">
        <f t="shared" si="16"/>
        <v>20567.944412786444</v>
      </c>
    </row>
    <row r="207" spans="27:29" x14ac:dyDescent="0.3">
      <c r="AA207">
        <f t="shared" si="14"/>
        <v>1824</v>
      </c>
      <c r="AB207">
        <f t="shared" si="15"/>
        <v>119.29852131429362</v>
      </c>
      <c r="AC207">
        <f t="shared" si="16"/>
        <v>20687.242934100737</v>
      </c>
    </row>
    <row r="208" spans="27:29" x14ac:dyDescent="0.3">
      <c r="AA208">
        <f t="shared" si="14"/>
        <v>1825</v>
      </c>
      <c r="AB208">
        <f t="shared" si="15"/>
        <v>119.0601627097225</v>
      </c>
      <c r="AC208">
        <f t="shared" si="16"/>
        <v>20806.303096810461</v>
      </c>
    </row>
    <row r="209" spans="27:29" x14ac:dyDescent="0.3">
      <c r="AA209">
        <f t="shared" si="14"/>
        <v>1826</v>
      </c>
      <c r="AB209">
        <f t="shared" si="15"/>
        <v>118.82228034596091</v>
      </c>
      <c r="AC209">
        <f t="shared" si="16"/>
        <v>20925.125377156422</v>
      </c>
    </row>
    <row r="210" spans="27:29" x14ac:dyDescent="0.3">
      <c r="AA210">
        <f t="shared" si="14"/>
        <v>1827</v>
      </c>
      <c r="AB210">
        <f t="shared" si="15"/>
        <v>118.58487327147918</v>
      </c>
      <c r="AC210">
        <f t="shared" si="16"/>
        <v>21043.710250427903</v>
      </c>
    </row>
    <row r="211" spans="27:29" x14ac:dyDescent="0.3">
      <c r="AA211">
        <f t="shared" si="14"/>
        <v>1828</v>
      </c>
      <c r="AB211">
        <f t="shared" si="15"/>
        <v>118.34794053664858</v>
      </c>
      <c r="AC211">
        <f t="shared" si="16"/>
        <v>21162.058190964552</v>
      </c>
    </row>
    <row r="212" spans="27:29" x14ac:dyDescent="0.3">
      <c r="AA212">
        <f t="shared" si="14"/>
        <v>1829</v>
      </c>
      <c r="AB212">
        <f t="shared" si="15"/>
        <v>118.11148119373802</v>
      </c>
      <c r="AC212">
        <f t="shared" si="16"/>
        <v>21280.169672158288</v>
      </c>
    </row>
    <row r="213" spans="27:29" x14ac:dyDescent="0.3">
      <c r="AA213">
        <f t="shared" si="14"/>
        <v>1830</v>
      </c>
      <c r="AB213">
        <f t="shared" si="15"/>
        <v>117.87549429690962</v>
      </c>
      <c r="AC213">
        <f t="shared" si="16"/>
        <v>21398.045166455198</v>
      </c>
    </row>
    <row r="214" spans="27:29" x14ac:dyDescent="0.3">
      <c r="AA214">
        <f t="shared" si="14"/>
        <v>1831</v>
      </c>
      <c r="AB214">
        <f t="shared" si="15"/>
        <v>117.63997890221566</v>
      </c>
      <c r="AC214">
        <f t="shared" si="16"/>
        <v>21515.685145357413</v>
      </c>
    </row>
    <row r="215" spans="27:29" x14ac:dyDescent="0.3">
      <c r="AA215">
        <f t="shared" si="14"/>
        <v>1832</v>
      </c>
      <c r="AB215">
        <f t="shared" si="15"/>
        <v>117.4049340675941</v>
      </c>
      <c r="AC215">
        <f t="shared" si="16"/>
        <v>21633.090079425008</v>
      </c>
    </row>
    <row r="216" spans="27:29" x14ac:dyDescent="0.3">
      <c r="AA216">
        <f t="shared" si="14"/>
        <v>1833</v>
      </c>
      <c r="AB216">
        <f t="shared" si="15"/>
        <v>117.17035885286539</v>
      </c>
      <c r="AC216">
        <f t="shared" si="16"/>
        <v>21750.260438277874</v>
      </c>
    </row>
    <row r="217" spans="27:29" x14ac:dyDescent="0.3">
      <c r="AA217">
        <f t="shared" si="14"/>
        <v>1834</v>
      </c>
      <c r="AB217">
        <f t="shared" si="15"/>
        <v>116.93625231972828</v>
      </c>
      <c r="AC217">
        <f t="shared" si="16"/>
        <v>21867.196690597601</v>
      </c>
    </row>
    <row r="218" spans="27:29" x14ac:dyDescent="0.3">
      <c r="AA218">
        <f t="shared" si="14"/>
        <v>1835</v>
      </c>
      <c r="AB218">
        <f t="shared" si="15"/>
        <v>116.7026135317564</v>
      </c>
      <c r="AC218">
        <f t="shared" si="16"/>
        <v>21983.899304129358</v>
      </c>
    </row>
    <row r="219" spans="27:29" x14ac:dyDescent="0.3">
      <c r="AA219">
        <f t="shared" si="14"/>
        <v>1836</v>
      </c>
      <c r="AB219">
        <f t="shared" si="15"/>
        <v>116.46944155439421</v>
      </c>
      <c r="AC219">
        <f t="shared" si="16"/>
        <v>22100.368745683751</v>
      </c>
    </row>
    <row r="220" spans="27:29" x14ac:dyDescent="0.3">
      <c r="AA220">
        <f t="shared" si="14"/>
        <v>1837</v>
      </c>
      <c r="AB220">
        <f t="shared" si="15"/>
        <v>116.23673545495359</v>
      </c>
      <c r="AC220">
        <f t="shared" si="16"/>
        <v>22216.605481138704</v>
      </c>
    </row>
    <row r="221" spans="27:29" x14ac:dyDescent="0.3">
      <c r="AA221">
        <f t="shared" si="14"/>
        <v>1838</v>
      </c>
      <c r="AB221">
        <f t="shared" si="15"/>
        <v>116.00449430260971</v>
      </c>
      <c r="AC221">
        <f t="shared" si="16"/>
        <v>22332.609975441315</v>
      </c>
    </row>
    <row r="222" spans="27:29" x14ac:dyDescent="0.3">
      <c r="AA222">
        <f t="shared" si="14"/>
        <v>1839</v>
      </c>
      <c r="AB222">
        <f t="shared" si="15"/>
        <v>115.77271716839776</v>
      </c>
      <c r="AC222">
        <f t="shared" si="16"/>
        <v>22448.382692609714</v>
      </c>
    </row>
    <row r="223" spans="27:29" x14ac:dyDescent="0.3">
      <c r="AA223">
        <f t="shared" si="14"/>
        <v>1840</v>
      </c>
      <c r="AB223">
        <f t="shared" si="15"/>
        <v>115.54140312520882</v>
      </c>
      <c r="AC223">
        <f t="shared" si="16"/>
        <v>22563.924095734921</v>
      </c>
    </row>
    <row r="224" spans="27:29" x14ac:dyDescent="0.3">
      <c r="AA224">
        <f t="shared" si="14"/>
        <v>1841</v>
      </c>
      <c r="AB224">
        <f t="shared" si="15"/>
        <v>115.31055124778646</v>
      </c>
      <c r="AC224">
        <f t="shared" si="16"/>
        <v>22679.234646982706</v>
      </c>
    </row>
    <row r="225" spans="27:29" x14ac:dyDescent="0.3">
      <c r="AA225">
        <f t="shared" si="14"/>
        <v>1842</v>
      </c>
      <c r="AB225">
        <f t="shared" si="15"/>
        <v>115.08016061272281</v>
      </c>
      <c r="AC225">
        <f t="shared" si="16"/>
        <v>22794.31480759543</v>
      </c>
    </row>
    <row r="226" spans="27:29" x14ac:dyDescent="0.3">
      <c r="AA226">
        <f t="shared" si="14"/>
        <v>1843</v>
      </c>
      <c r="AB226">
        <f t="shared" si="15"/>
        <v>114.85023029845509</v>
      </c>
      <c r="AC226">
        <f t="shared" si="16"/>
        <v>22909.165037893887</v>
      </c>
    </row>
    <row r="227" spans="27:29" x14ac:dyDescent="0.3">
      <c r="AA227">
        <f t="shared" si="14"/>
        <v>1844</v>
      </c>
      <c r="AB227">
        <f t="shared" si="15"/>
        <v>114.62075938526164</v>
      </c>
      <c r="AC227">
        <f t="shared" si="16"/>
        <v>23023.78579727915</v>
      </c>
    </row>
    <row r="228" spans="27:29" x14ac:dyDescent="0.3">
      <c r="AA228">
        <f t="shared" si="14"/>
        <v>1845</v>
      </c>
      <c r="AB228">
        <f t="shared" si="15"/>
        <v>114.39174695525861</v>
      </c>
      <c r="AC228">
        <f t="shared" si="16"/>
        <v>23138.177544234408</v>
      </c>
    </row>
    <row r="229" spans="27:29" x14ac:dyDescent="0.3">
      <c r="AA229">
        <f t="shared" si="14"/>
        <v>1846</v>
      </c>
      <c r="AB229">
        <f t="shared" si="15"/>
        <v>114.16319209239587</v>
      </c>
      <c r="AC229">
        <f t="shared" si="16"/>
        <v>23252.340736326805</v>
      </c>
    </row>
    <row r="230" spans="27:29" x14ac:dyDescent="0.3">
      <c r="AA230">
        <f t="shared" si="14"/>
        <v>1847</v>
      </c>
      <c r="AB230">
        <f t="shared" si="15"/>
        <v>113.9350938824538</v>
      </c>
      <c r="AC230">
        <f t="shared" si="16"/>
        <v>23366.275830209259</v>
      </c>
    </row>
    <row r="231" spans="27:29" x14ac:dyDescent="0.3">
      <c r="AA231">
        <f t="shared" si="14"/>
        <v>1848</v>
      </c>
      <c r="AB231">
        <f t="shared" si="15"/>
        <v>113.7074514130391</v>
      </c>
      <c r="AC231">
        <f t="shared" si="16"/>
        <v>23479.983281622299</v>
      </c>
    </row>
    <row r="232" spans="27:29" x14ac:dyDescent="0.3">
      <c r="AA232">
        <f t="shared" si="14"/>
        <v>1849</v>
      </c>
      <c r="AB232">
        <f t="shared" si="15"/>
        <v>113.4802637735817</v>
      </c>
      <c r="AC232">
        <f t="shared" si="16"/>
        <v>23593.46354539588</v>
      </c>
    </row>
    <row r="233" spans="27:29" x14ac:dyDescent="0.3">
      <c r="AA233">
        <f t="shared" si="14"/>
        <v>1850</v>
      </c>
      <c r="AB233">
        <f t="shared" si="15"/>
        <v>113.25353005533067</v>
      </c>
      <c r="AC233">
        <f t="shared" si="16"/>
        <v>23706.717075451212</v>
      </c>
    </row>
    <row r="234" spans="27:29" x14ac:dyDescent="0.3">
      <c r="AA234">
        <f t="shared" si="14"/>
        <v>1851</v>
      </c>
      <c r="AB234">
        <f t="shared" si="15"/>
        <v>113.0272493513509</v>
      </c>
      <c r="AC234">
        <f t="shared" si="16"/>
        <v>23819.744324802563</v>
      </c>
    </row>
    <row r="235" spans="27:29" x14ac:dyDescent="0.3">
      <c r="AA235">
        <f t="shared" si="14"/>
        <v>1852</v>
      </c>
      <c r="AB235">
        <f t="shared" si="15"/>
        <v>112.80142075651921</v>
      </c>
      <c r="AC235">
        <f t="shared" si="16"/>
        <v>23932.54574555908</v>
      </c>
    </row>
    <row r="236" spans="27:29" x14ac:dyDescent="0.3">
      <c r="AA236">
        <f t="shared" si="14"/>
        <v>1853</v>
      </c>
      <c r="AB236">
        <f t="shared" si="15"/>
        <v>112.57604336752097</v>
      </c>
      <c r="AC236">
        <f t="shared" si="16"/>
        <v>24045.121788926601</v>
      </c>
    </row>
    <row r="237" spans="27:29" x14ac:dyDescent="0.3">
      <c r="AA237">
        <f t="shared" si="14"/>
        <v>1854</v>
      </c>
      <c r="AB237">
        <f t="shared" si="15"/>
        <v>112.35111628284628</v>
      </c>
      <c r="AC237">
        <f t="shared" si="16"/>
        <v>24157.472905209448</v>
      </c>
    </row>
    <row r="238" spans="27:29" x14ac:dyDescent="0.3">
      <c r="AA238">
        <f t="shared" si="14"/>
        <v>1855</v>
      </c>
      <c r="AB238">
        <f t="shared" si="15"/>
        <v>112.12663860278656</v>
      </c>
      <c r="AC238">
        <f t="shared" si="16"/>
        <v>24269.599543812234</v>
      </c>
    </row>
    <row r="239" spans="27:29" x14ac:dyDescent="0.3">
      <c r="AA239">
        <f t="shared" si="14"/>
        <v>1856</v>
      </c>
      <c r="AB239">
        <f t="shared" si="15"/>
        <v>111.90260942943071</v>
      </c>
      <c r="AC239">
        <f t="shared" si="16"/>
        <v>24381.502153241665</v>
      </c>
    </row>
    <row r="240" spans="27:29" x14ac:dyDescent="0.3">
      <c r="AA240">
        <f t="shared" si="14"/>
        <v>1857</v>
      </c>
      <c r="AB240">
        <f t="shared" si="15"/>
        <v>111.67902786666183</v>
      </c>
      <c r="AC240">
        <f t="shared" si="16"/>
        <v>24493.181181108328</v>
      </c>
    </row>
    <row r="241" spans="27:29" x14ac:dyDescent="0.3">
      <c r="AA241">
        <f t="shared" si="14"/>
        <v>1858</v>
      </c>
      <c r="AB241">
        <f t="shared" si="15"/>
        <v>111.45589302015325</v>
      </c>
      <c r="AC241">
        <f t="shared" si="16"/>
        <v>24604.637074128481</v>
      </c>
    </row>
    <row r="242" spans="27:29" x14ac:dyDescent="0.3">
      <c r="AA242">
        <f t="shared" si="14"/>
        <v>1859</v>
      </c>
      <c r="AB242">
        <f t="shared" si="15"/>
        <v>111.23320399736542</v>
      </c>
      <c r="AC242">
        <f t="shared" si="16"/>
        <v>24715.870278125847</v>
      </c>
    </row>
    <row r="243" spans="27:29" x14ac:dyDescent="0.3">
      <c r="AA243">
        <f t="shared" si="14"/>
        <v>1860</v>
      </c>
      <c r="AB243">
        <f t="shared" si="15"/>
        <v>111.01095990754186</v>
      </c>
      <c r="AC243">
        <f t="shared" si="16"/>
        <v>24826.881238033387</v>
      </c>
    </row>
    <row r="244" spans="27:29" x14ac:dyDescent="0.3">
      <c r="AA244">
        <f t="shared" si="14"/>
        <v>1861</v>
      </c>
      <c r="AB244">
        <f t="shared" si="15"/>
        <v>110.78915986170597</v>
      </c>
      <c r="AC244">
        <f t="shared" si="16"/>
        <v>24937.670397895094</v>
      </c>
    </row>
    <row r="245" spans="27:29" x14ac:dyDescent="0.3">
      <c r="AA245">
        <f t="shared" si="14"/>
        <v>1862</v>
      </c>
      <c r="AB245">
        <f t="shared" si="15"/>
        <v>110.56780297265722</v>
      </c>
      <c r="AC245">
        <f t="shared" si="16"/>
        <v>25048.238200867752</v>
      </c>
    </row>
    <row r="246" spans="27:29" x14ac:dyDescent="0.3">
      <c r="AA246">
        <f t="shared" si="14"/>
        <v>1863</v>
      </c>
      <c r="AB246">
        <f t="shared" si="15"/>
        <v>110.34688835496782</v>
      </c>
      <c r="AC246">
        <f t="shared" si="16"/>
        <v>25158.585089222721</v>
      </c>
    </row>
    <row r="247" spans="27:29" x14ac:dyDescent="0.3">
      <c r="AA247">
        <f t="shared" si="14"/>
        <v>1864</v>
      </c>
      <c r="AB247">
        <f t="shared" si="15"/>
        <v>110.12641512497892</v>
      </c>
      <c r="AC247">
        <f t="shared" si="16"/>
        <v>25268.711504347699</v>
      </c>
    </row>
    <row r="248" spans="27:29" x14ac:dyDescent="0.3">
      <c r="AA248">
        <f t="shared" si="14"/>
        <v>1865</v>
      </c>
      <c r="AB248">
        <f t="shared" si="15"/>
        <v>109.9063824007974</v>
      </c>
      <c r="AC248">
        <f t="shared" si="16"/>
        <v>25378.617886748496</v>
      </c>
    </row>
    <row r="249" spans="27:29" x14ac:dyDescent="0.3">
      <c r="AA249">
        <f t="shared" si="14"/>
        <v>1866</v>
      </c>
      <c r="AB249">
        <f t="shared" si="15"/>
        <v>109.68678930229198</v>
      </c>
      <c r="AC249">
        <f t="shared" si="16"/>
        <v>25488.30467605079</v>
      </c>
    </row>
    <row r="250" spans="27:29" x14ac:dyDescent="0.3">
      <c r="AA250">
        <f t="shared" si="14"/>
        <v>1867</v>
      </c>
      <c r="AB250">
        <f t="shared" si="15"/>
        <v>109.46763495109006</v>
      </c>
      <c r="AC250">
        <f t="shared" si="16"/>
        <v>25597.772311001878</v>
      </c>
    </row>
    <row r="251" spans="27:29" x14ac:dyDescent="0.3">
      <c r="AA251">
        <f t="shared" si="14"/>
        <v>1868</v>
      </c>
      <c r="AB251">
        <f t="shared" si="15"/>
        <v>109.24891847057387</v>
      </c>
      <c r="AC251">
        <f t="shared" si="16"/>
        <v>25707.021229472452</v>
      </c>
    </row>
    <row r="252" spans="27:29" x14ac:dyDescent="0.3">
      <c r="AA252">
        <f t="shared" ref="AA252:AA315" si="17">AA251+1</f>
        <v>1869</v>
      </c>
      <c r="AB252">
        <f t="shared" si="15"/>
        <v>109.03063898587726</v>
      </c>
      <c r="AC252">
        <f t="shared" si="16"/>
        <v>25816.051868458329</v>
      </c>
    </row>
    <row r="253" spans="27:29" x14ac:dyDescent="0.3">
      <c r="AA253">
        <f t="shared" si="17"/>
        <v>1870</v>
      </c>
      <c r="AB253">
        <f t="shared" si="15"/>
        <v>108.81279562388194</v>
      </c>
      <c r="AC253">
        <f t="shared" si="16"/>
        <v>25924.864664082212</v>
      </c>
    </row>
    <row r="254" spans="27:29" x14ac:dyDescent="0.3">
      <c r="AA254">
        <f t="shared" si="17"/>
        <v>1871</v>
      </c>
      <c r="AB254">
        <f t="shared" si="15"/>
        <v>108.59538751321422</v>
      </c>
      <c r="AC254">
        <f t="shared" si="16"/>
        <v>26033.460051595426</v>
      </c>
    </row>
    <row r="255" spans="27:29" x14ac:dyDescent="0.3">
      <c r="AA255">
        <f t="shared" si="17"/>
        <v>1872</v>
      </c>
      <c r="AB255">
        <f t="shared" si="15"/>
        <v>108.3784137842413</v>
      </c>
      <c r="AC255">
        <f t="shared" si="16"/>
        <v>26141.838465379667</v>
      </c>
    </row>
    <row r="256" spans="27:29" x14ac:dyDescent="0.3">
      <c r="AA256">
        <f t="shared" si="17"/>
        <v>1873</v>
      </c>
      <c r="AB256">
        <f t="shared" si="15"/>
        <v>108.16187356906809</v>
      </c>
      <c r="AC256">
        <f t="shared" si="16"/>
        <v>26250.000338948736</v>
      </c>
    </row>
    <row r="257" spans="27:29" x14ac:dyDescent="0.3">
      <c r="AA257">
        <f t="shared" si="17"/>
        <v>1874</v>
      </c>
      <c r="AB257">
        <f t="shared" si="15"/>
        <v>107.94576600153331</v>
      </c>
      <c r="AC257">
        <f t="shared" si="16"/>
        <v>26357.946104950268</v>
      </c>
    </row>
    <row r="258" spans="27:29" x14ac:dyDescent="0.3">
      <c r="AA258">
        <f t="shared" si="17"/>
        <v>1875</v>
      </c>
      <c r="AB258">
        <f t="shared" si="15"/>
        <v>107.73009021720652</v>
      </c>
      <c r="AC258">
        <f t="shared" si="16"/>
        <v>26465.676195167474</v>
      </c>
    </row>
    <row r="259" spans="27:29" x14ac:dyDescent="0.3">
      <c r="AA259">
        <f t="shared" si="17"/>
        <v>1876</v>
      </c>
      <c r="AB259">
        <f t="shared" si="15"/>
        <v>107.5148453533842</v>
      </c>
      <c r="AC259">
        <f t="shared" si="16"/>
        <v>26573.191040520858</v>
      </c>
    </row>
    <row r="260" spans="27:29" x14ac:dyDescent="0.3">
      <c r="AA260">
        <f t="shared" si="17"/>
        <v>1877</v>
      </c>
      <c r="AB260">
        <f t="shared" ref="AB260:AB323" si="18" xml:space="preserve"> 4580.8*EXP(-0.002*AA260)</f>
        <v>107.30003054908667</v>
      </c>
      <c r="AC260">
        <f t="shared" si="16"/>
        <v>26680.491071069944</v>
      </c>
    </row>
    <row r="261" spans="27:29" x14ac:dyDescent="0.3">
      <c r="AA261">
        <f t="shared" si="17"/>
        <v>1878</v>
      </c>
      <c r="AB261">
        <f t="shared" si="18"/>
        <v>107.08564494505438</v>
      </c>
      <c r="AC261">
        <f t="shared" ref="AC261:AC324" si="19">AC260+AB261</f>
        <v>26787.576716014999</v>
      </c>
    </row>
    <row r="262" spans="27:29" x14ac:dyDescent="0.3">
      <c r="AA262">
        <f t="shared" si="17"/>
        <v>1879</v>
      </c>
      <c r="AB262">
        <f t="shared" si="18"/>
        <v>106.87168768374468</v>
      </c>
      <c r="AC262">
        <f t="shared" si="19"/>
        <v>26894.448403698745</v>
      </c>
    </row>
    <row r="263" spans="27:29" x14ac:dyDescent="0.3">
      <c r="AA263">
        <f t="shared" si="17"/>
        <v>1880</v>
      </c>
      <c r="AB263">
        <f t="shared" si="18"/>
        <v>106.65815790932818</v>
      </c>
      <c r="AC263">
        <f t="shared" si="19"/>
        <v>27001.106561608074</v>
      </c>
    </row>
    <row r="264" spans="27:29" x14ac:dyDescent="0.3">
      <c r="AA264">
        <f t="shared" si="17"/>
        <v>1881</v>
      </c>
      <c r="AB264">
        <f t="shared" si="18"/>
        <v>106.44505476768556</v>
      </c>
      <c r="AC264">
        <f t="shared" si="19"/>
        <v>27107.55161637576</v>
      </c>
    </row>
    <row r="265" spans="27:29" x14ac:dyDescent="0.3">
      <c r="AA265">
        <f t="shared" si="17"/>
        <v>1882</v>
      </c>
      <c r="AB265">
        <f t="shared" si="18"/>
        <v>106.2323774064039</v>
      </c>
      <c r="AC265">
        <f t="shared" si="19"/>
        <v>27213.783993782163</v>
      </c>
    </row>
    <row r="266" spans="27:29" x14ac:dyDescent="0.3">
      <c r="AA266">
        <f t="shared" si="17"/>
        <v>1883</v>
      </c>
      <c r="AB266">
        <f t="shared" si="18"/>
        <v>106.02012497477355</v>
      </c>
      <c r="AC266">
        <f t="shared" si="19"/>
        <v>27319.804118756936</v>
      </c>
    </row>
    <row r="267" spans="27:29" x14ac:dyDescent="0.3">
      <c r="AA267">
        <f t="shared" si="17"/>
        <v>1884</v>
      </c>
      <c r="AB267">
        <f t="shared" si="18"/>
        <v>105.80829662378441</v>
      </c>
      <c r="AC267">
        <f t="shared" si="19"/>
        <v>27425.612415380721</v>
      </c>
    </row>
    <row r="268" spans="27:29" x14ac:dyDescent="0.3">
      <c r="AA268">
        <f t="shared" si="17"/>
        <v>1885</v>
      </c>
      <c r="AB268">
        <f t="shared" si="18"/>
        <v>105.5968915061229</v>
      </c>
      <c r="AC268">
        <f t="shared" si="19"/>
        <v>27531.209306886845</v>
      </c>
    </row>
    <row r="269" spans="27:29" x14ac:dyDescent="0.3">
      <c r="AA269">
        <f t="shared" si="17"/>
        <v>1886</v>
      </c>
      <c r="AB269">
        <f t="shared" si="18"/>
        <v>105.38590877616815</v>
      </c>
      <c r="AC269">
        <f t="shared" si="19"/>
        <v>27636.595215663012</v>
      </c>
    </row>
    <row r="270" spans="27:29" x14ac:dyDescent="0.3">
      <c r="AA270">
        <f t="shared" si="17"/>
        <v>1887</v>
      </c>
      <c r="AB270">
        <f t="shared" si="18"/>
        <v>105.17534758998907</v>
      </c>
      <c r="AC270">
        <f t="shared" si="19"/>
        <v>27741.770563253001</v>
      </c>
    </row>
    <row r="271" spans="27:29" x14ac:dyDescent="0.3">
      <c r="AA271">
        <f t="shared" si="17"/>
        <v>1888</v>
      </c>
      <c r="AB271">
        <f t="shared" si="18"/>
        <v>104.96520710534055</v>
      </c>
      <c r="AC271">
        <f t="shared" si="19"/>
        <v>27846.73577035834</v>
      </c>
    </row>
    <row r="272" spans="27:29" x14ac:dyDescent="0.3">
      <c r="AA272">
        <f t="shared" si="17"/>
        <v>1889</v>
      </c>
      <c r="AB272">
        <f t="shared" si="18"/>
        <v>104.75548648166044</v>
      </c>
      <c r="AC272">
        <f t="shared" si="19"/>
        <v>27951.49125684</v>
      </c>
    </row>
    <row r="273" spans="27:29" x14ac:dyDescent="0.3">
      <c r="AA273">
        <f t="shared" si="17"/>
        <v>1890</v>
      </c>
      <c r="AB273">
        <f t="shared" si="18"/>
        <v>104.54618488006588</v>
      </c>
      <c r="AC273">
        <f t="shared" si="19"/>
        <v>28056.037441720066</v>
      </c>
    </row>
    <row r="274" spans="27:29" x14ac:dyDescent="0.3">
      <c r="AA274">
        <f t="shared" si="17"/>
        <v>1891</v>
      </c>
      <c r="AB274">
        <f t="shared" si="18"/>
        <v>104.3373014633503</v>
      </c>
      <c r="AC274">
        <f t="shared" si="19"/>
        <v>28160.374743183416</v>
      </c>
    </row>
    <row r="275" spans="27:29" x14ac:dyDescent="0.3">
      <c r="AA275">
        <f t="shared" si="17"/>
        <v>1892</v>
      </c>
      <c r="AB275">
        <f t="shared" si="18"/>
        <v>104.12883539597962</v>
      </c>
      <c r="AC275">
        <f t="shared" si="19"/>
        <v>28264.503578579395</v>
      </c>
    </row>
    <row r="276" spans="27:29" x14ac:dyDescent="0.3">
      <c r="AA276">
        <f t="shared" si="17"/>
        <v>1893</v>
      </c>
      <c r="AB276">
        <f t="shared" si="18"/>
        <v>103.92078584408942</v>
      </c>
      <c r="AC276">
        <f t="shared" si="19"/>
        <v>28368.424364423485</v>
      </c>
    </row>
    <row r="277" spans="27:29" x14ac:dyDescent="0.3">
      <c r="AA277">
        <f t="shared" si="17"/>
        <v>1894</v>
      </c>
      <c r="AB277">
        <f t="shared" si="18"/>
        <v>103.71315197548111</v>
      </c>
      <c r="AC277">
        <f t="shared" si="19"/>
        <v>28472.137516398965</v>
      </c>
    </row>
    <row r="278" spans="27:29" x14ac:dyDescent="0.3">
      <c r="AA278">
        <f t="shared" si="17"/>
        <v>1895</v>
      </c>
      <c r="AB278">
        <f t="shared" si="18"/>
        <v>103.50593295961903</v>
      </c>
      <c r="AC278">
        <f t="shared" si="19"/>
        <v>28575.643449358584</v>
      </c>
    </row>
    <row r="279" spans="27:29" x14ac:dyDescent="0.3">
      <c r="AA279">
        <f t="shared" si="17"/>
        <v>1896</v>
      </c>
      <c r="AB279">
        <f t="shared" si="18"/>
        <v>103.29912796762676</v>
      </c>
      <c r="AC279">
        <f t="shared" si="19"/>
        <v>28678.942577326212</v>
      </c>
    </row>
    <row r="280" spans="27:29" x14ac:dyDescent="0.3">
      <c r="AA280">
        <f t="shared" si="17"/>
        <v>1897</v>
      </c>
      <c r="AB280">
        <f t="shared" si="18"/>
        <v>103.09273617228413</v>
      </c>
      <c r="AC280">
        <f t="shared" si="19"/>
        <v>28782.035313498494</v>
      </c>
    </row>
    <row r="281" spans="27:29" x14ac:dyDescent="0.3">
      <c r="AA281">
        <f t="shared" si="17"/>
        <v>1898</v>
      </c>
      <c r="AB281">
        <f t="shared" si="18"/>
        <v>102.88675674802361</v>
      </c>
      <c r="AC281">
        <f t="shared" si="19"/>
        <v>28884.922070246517</v>
      </c>
    </row>
    <row r="282" spans="27:29" x14ac:dyDescent="0.3">
      <c r="AA282">
        <f t="shared" si="17"/>
        <v>1899</v>
      </c>
      <c r="AB282">
        <f t="shared" si="18"/>
        <v>102.6811888709273</v>
      </c>
      <c r="AC282">
        <f t="shared" si="19"/>
        <v>28987.603259117444</v>
      </c>
    </row>
    <row r="283" spans="27:29" x14ac:dyDescent="0.3">
      <c r="AA283">
        <f t="shared" si="17"/>
        <v>1900</v>
      </c>
      <c r="AB283">
        <f t="shared" si="18"/>
        <v>102.47603171872335</v>
      </c>
      <c r="AC283">
        <f t="shared" si="19"/>
        <v>29090.079290836169</v>
      </c>
    </row>
    <row r="284" spans="27:29" x14ac:dyDescent="0.3">
      <c r="AA284">
        <f t="shared" si="17"/>
        <v>1901</v>
      </c>
      <c r="AB284">
        <f t="shared" si="18"/>
        <v>102.27128447078293</v>
      </c>
      <c r="AC284">
        <f t="shared" si="19"/>
        <v>29192.350575306951</v>
      </c>
    </row>
    <row r="285" spans="27:29" x14ac:dyDescent="0.3">
      <c r="AA285">
        <f t="shared" si="17"/>
        <v>1902</v>
      </c>
      <c r="AB285">
        <f t="shared" si="18"/>
        <v>102.06694630811673</v>
      </c>
      <c r="AC285">
        <f t="shared" si="19"/>
        <v>29294.417521615069</v>
      </c>
    </row>
    <row r="286" spans="27:29" x14ac:dyDescent="0.3">
      <c r="AA286">
        <f t="shared" si="17"/>
        <v>1903</v>
      </c>
      <c r="AB286">
        <f t="shared" si="18"/>
        <v>101.86301641337189</v>
      </c>
      <c r="AC286">
        <f t="shared" si="19"/>
        <v>29396.280538028441</v>
      </c>
    </row>
    <row r="287" spans="27:29" x14ac:dyDescent="0.3">
      <c r="AA287">
        <f t="shared" si="17"/>
        <v>1904</v>
      </c>
      <c r="AB287">
        <f t="shared" si="18"/>
        <v>101.65949397082846</v>
      </c>
      <c r="AC287">
        <f t="shared" si="19"/>
        <v>29497.940031999271</v>
      </c>
    </row>
    <row r="288" spans="27:29" x14ac:dyDescent="0.3">
      <c r="AA288">
        <f t="shared" si="17"/>
        <v>1905</v>
      </c>
      <c r="AB288">
        <f t="shared" si="18"/>
        <v>101.45637816639653</v>
      </c>
      <c r="AC288">
        <f t="shared" si="19"/>
        <v>29599.396410165667</v>
      </c>
    </row>
    <row r="289" spans="27:29" x14ac:dyDescent="0.3">
      <c r="AA289">
        <f t="shared" si="17"/>
        <v>1906</v>
      </c>
      <c r="AB289">
        <f t="shared" si="18"/>
        <v>101.25366818761249</v>
      </c>
      <c r="AC289">
        <f t="shared" si="19"/>
        <v>29700.650078353279</v>
      </c>
    </row>
    <row r="290" spans="27:29" x14ac:dyDescent="0.3">
      <c r="AA290">
        <f t="shared" si="17"/>
        <v>1907</v>
      </c>
      <c r="AB290">
        <f t="shared" si="18"/>
        <v>101.05136322363624</v>
      </c>
      <c r="AC290">
        <f t="shared" si="19"/>
        <v>29801.701441576915</v>
      </c>
    </row>
    <row r="291" spans="27:29" x14ac:dyDescent="0.3">
      <c r="AA291">
        <f t="shared" si="17"/>
        <v>1908</v>
      </c>
      <c r="AB291">
        <f t="shared" si="18"/>
        <v>100.8494624652476</v>
      </c>
      <c r="AC291">
        <f t="shared" si="19"/>
        <v>29902.550904042164</v>
      </c>
    </row>
    <row r="292" spans="27:29" x14ac:dyDescent="0.3">
      <c r="AA292">
        <f t="shared" si="17"/>
        <v>1909</v>
      </c>
      <c r="AB292">
        <f t="shared" si="18"/>
        <v>100.64796510484329</v>
      </c>
      <c r="AC292">
        <f t="shared" si="19"/>
        <v>30003.198869147007</v>
      </c>
    </row>
    <row r="293" spans="27:29" x14ac:dyDescent="0.3">
      <c r="AA293">
        <f t="shared" si="17"/>
        <v>1910</v>
      </c>
      <c r="AB293">
        <f t="shared" si="18"/>
        <v>100.44687033643359</v>
      </c>
      <c r="AC293">
        <f t="shared" si="19"/>
        <v>30103.64573948344</v>
      </c>
    </row>
    <row r="294" spans="27:29" x14ac:dyDescent="0.3">
      <c r="AA294">
        <f t="shared" si="17"/>
        <v>1911</v>
      </c>
      <c r="AB294">
        <f t="shared" si="18"/>
        <v>100.24617735563919</v>
      </c>
      <c r="AC294">
        <f t="shared" si="19"/>
        <v>30203.891916839078</v>
      </c>
    </row>
    <row r="295" spans="27:29" x14ac:dyDescent="0.3">
      <c r="AA295">
        <f t="shared" si="17"/>
        <v>1912</v>
      </c>
      <c r="AB295">
        <f t="shared" si="18"/>
        <v>100.04588535968784</v>
      </c>
      <c r="AC295">
        <f t="shared" si="19"/>
        <v>30303.937802198765</v>
      </c>
    </row>
    <row r="296" spans="27:29" x14ac:dyDescent="0.3">
      <c r="AA296">
        <f t="shared" si="17"/>
        <v>1913</v>
      </c>
      <c r="AB296">
        <f t="shared" si="18"/>
        <v>99.845993547411354</v>
      </c>
      <c r="AC296">
        <f t="shared" si="19"/>
        <v>30403.783795746178</v>
      </c>
    </row>
    <row r="297" spans="27:29" x14ac:dyDescent="0.3">
      <c r="AA297">
        <f t="shared" si="17"/>
        <v>1914</v>
      </c>
      <c r="AB297">
        <f t="shared" si="18"/>
        <v>99.64650111924216</v>
      </c>
      <c r="AC297">
        <f t="shared" si="19"/>
        <v>30503.430296865419</v>
      </c>
    </row>
    <row r="298" spans="27:29" x14ac:dyDescent="0.3">
      <c r="AA298">
        <f t="shared" si="17"/>
        <v>1915</v>
      </c>
      <c r="AB298">
        <f t="shared" si="18"/>
        <v>99.447407277210331</v>
      </c>
      <c r="AC298">
        <f t="shared" si="19"/>
        <v>30602.877704142629</v>
      </c>
    </row>
    <row r="299" spans="27:29" x14ac:dyDescent="0.3">
      <c r="AA299">
        <f t="shared" si="17"/>
        <v>1916</v>
      </c>
      <c r="AB299">
        <f t="shared" si="18"/>
        <v>99.24871122494018</v>
      </c>
      <c r="AC299">
        <f t="shared" si="19"/>
        <v>30702.126415367569</v>
      </c>
    </row>
    <row r="300" spans="27:29" x14ac:dyDescent="0.3">
      <c r="AA300">
        <f t="shared" si="17"/>
        <v>1917</v>
      </c>
      <c r="AB300">
        <f t="shared" si="18"/>
        <v>99.050412167647295</v>
      </c>
      <c r="AC300">
        <f t="shared" si="19"/>
        <v>30801.176827535215</v>
      </c>
    </row>
    <row r="301" spans="27:29" x14ac:dyDescent="0.3">
      <c r="AA301">
        <f t="shared" si="17"/>
        <v>1918</v>
      </c>
      <c r="AB301">
        <f t="shared" si="18"/>
        <v>98.852509312135098</v>
      </c>
      <c r="AC301">
        <f t="shared" si="19"/>
        <v>30900.02933684735</v>
      </c>
    </row>
    <row r="302" spans="27:29" x14ac:dyDescent="0.3">
      <c r="AA302">
        <f t="shared" si="17"/>
        <v>1919</v>
      </c>
      <c r="AB302">
        <f t="shared" si="18"/>
        <v>98.655001866792006</v>
      </c>
      <c r="AC302">
        <f t="shared" si="19"/>
        <v>30998.684338714142</v>
      </c>
    </row>
    <row r="303" spans="27:29" x14ac:dyDescent="0.3">
      <c r="AA303">
        <f t="shared" si="17"/>
        <v>1920</v>
      </c>
      <c r="AB303">
        <f t="shared" si="18"/>
        <v>98.457889041587919</v>
      </c>
      <c r="AC303">
        <f t="shared" si="19"/>
        <v>31097.142227755729</v>
      </c>
    </row>
    <row r="304" spans="27:29" x14ac:dyDescent="0.3">
      <c r="AA304">
        <f t="shared" si="17"/>
        <v>1921</v>
      </c>
      <c r="AB304">
        <f t="shared" si="18"/>
        <v>98.261170048071222</v>
      </c>
      <c r="AC304">
        <f t="shared" si="19"/>
        <v>31195.403397803799</v>
      </c>
    </row>
    <row r="305" spans="27:29" x14ac:dyDescent="0.3">
      <c r="AA305">
        <f t="shared" si="17"/>
        <v>1922</v>
      </c>
      <c r="AB305">
        <f t="shared" si="18"/>
        <v>98.0648440993658</v>
      </c>
      <c r="AC305">
        <f t="shared" si="19"/>
        <v>31293.468241903163</v>
      </c>
    </row>
    <row r="306" spans="27:29" x14ac:dyDescent="0.3">
      <c r="AA306">
        <f t="shared" si="17"/>
        <v>1923</v>
      </c>
      <c r="AB306">
        <f t="shared" si="18"/>
        <v>97.868910410167459</v>
      </c>
      <c r="AC306">
        <f t="shared" si="19"/>
        <v>31391.337152313332</v>
      </c>
    </row>
    <row r="307" spans="27:29" x14ac:dyDescent="0.3">
      <c r="AA307">
        <f t="shared" si="17"/>
        <v>1924</v>
      </c>
      <c r="AB307">
        <f t="shared" si="18"/>
        <v>97.673368196741322</v>
      </c>
      <c r="AC307">
        <f t="shared" si="19"/>
        <v>31489.010520510074</v>
      </c>
    </row>
    <row r="308" spans="27:29" x14ac:dyDescent="0.3">
      <c r="AA308">
        <f t="shared" si="17"/>
        <v>1925</v>
      </c>
      <c r="AB308">
        <f t="shared" si="18"/>
        <v>97.478216676918137</v>
      </c>
      <c r="AC308">
        <f t="shared" si="19"/>
        <v>31586.488737186992</v>
      </c>
    </row>
    <row r="309" spans="27:29" x14ac:dyDescent="0.3">
      <c r="AA309">
        <f t="shared" si="17"/>
        <v>1926</v>
      </c>
      <c r="AB309">
        <f t="shared" si="18"/>
        <v>97.283455070091676</v>
      </c>
      <c r="AC309">
        <f t="shared" si="19"/>
        <v>31683.772192257082</v>
      </c>
    </row>
    <row r="310" spans="27:29" x14ac:dyDescent="0.3">
      <c r="AA310">
        <f t="shared" si="17"/>
        <v>1927</v>
      </c>
      <c r="AB310">
        <f t="shared" si="18"/>
        <v>97.089082597215153</v>
      </c>
      <c r="AC310">
        <f t="shared" si="19"/>
        <v>31780.861274854298</v>
      </c>
    </row>
    <row r="311" spans="27:29" x14ac:dyDescent="0.3">
      <c r="AA311">
        <f t="shared" si="17"/>
        <v>1928</v>
      </c>
      <c r="AB311">
        <f t="shared" si="18"/>
        <v>96.895098480798552</v>
      </c>
      <c r="AC311">
        <f t="shared" si="19"/>
        <v>31877.756373335098</v>
      </c>
    </row>
    <row r="312" spans="27:29" x14ac:dyDescent="0.3">
      <c r="AA312">
        <f t="shared" si="17"/>
        <v>1929</v>
      </c>
      <c r="AB312">
        <f t="shared" si="18"/>
        <v>96.70150194490499</v>
      </c>
      <c r="AC312">
        <f t="shared" si="19"/>
        <v>31974.457875280004</v>
      </c>
    </row>
    <row r="313" spans="27:29" x14ac:dyDescent="0.3">
      <c r="AA313">
        <f t="shared" si="17"/>
        <v>1930</v>
      </c>
      <c r="AB313">
        <f t="shared" si="18"/>
        <v>96.508292215148202</v>
      </c>
      <c r="AC313">
        <f t="shared" si="19"/>
        <v>32070.966167495153</v>
      </c>
    </row>
    <row r="314" spans="27:29" x14ac:dyDescent="0.3">
      <c r="AA314">
        <f t="shared" si="17"/>
        <v>1931</v>
      </c>
      <c r="AB314">
        <f t="shared" si="18"/>
        <v>96.315468518688903</v>
      </c>
      <c r="AC314">
        <f t="shared" si="19"/>
        <v>32167.281636013842</v>
      </c>
    </row>
    <row r="315" spans="27:29" x14ac:dyDescent="0.3">
      <c r="AA315">
        <f t="shared" si="17"/>
        <v>1932</v>
      </c>
      <c r="AB315">
        <f t="shared" si="18"/>
        <v>96.123030084232141</v>
      </c>
      <c r="AC315">
        <f t="shared" si="19"/>
        <v>32263.404666098075</v>
      </c>
    </row>
    <row r="316" spans="27:29" x14ac:dyDescent="0.3">
      <c r="AA316">
        <f t="shared" ref="AA316:AA379" si="20">AA315+1</f>
        <v>1933</v>
      </c>
      <c r="AB316">
        <f t="shared" si="18"/>
        <v>95.930976142023837</v>
      </c>
      <c r="AC316">
        <f t="shared" si="19"/>
        <v>32359.335642240098</v>
      </c>
    </row>
    <row r="317" spans="27:29" x14ac:dyDescent="0.3">
      <c r="AA317">
        <f t="shared" si="20"/>
        <v>1934</v>
      </c>
      <c r="AB317">
        <f t="shared" si="18"/>
        <v>95.739305923848065</v>
      </c>
      <c r="AC317">
        <f t="shared" si="19"/>
        <v>32455.074948163947</v>
      </c>
    </row>
    <row r="318" spans="27:29" x14ac:dyDescent="0.3">
      <c r="AA318">
        <f t="shared" si="20"/>
        <v>1935</v>
      </c>
      <c r="AB318">
        <f t="shared" si="18"/>
        <v>95.548018663023569</v>
      </c>
      <c r="AC318">
        <f t="shared" si="19"/>
        <v>32550.62296682697</v>
      </c>
    </row>
    <row r="319" spans="27:29" x14ac:dyDescent="0.3">
      <c r="AA319">
        <f t="shared" si="20"/>
        <v>1936</v>
      </c>
      <c r="AB319">
        <f t="shared" si="18"/>
        <v>95.357113594401198</v>
      </c>
      <c r="AC319">
        <f t="shared" si="19"/>
        <v>32645.98008042137</v>
      </c>
    </row>
    <row r="320" spans="27:29" x14ac:dyDescent="0.3">
      <c r="AA320">
        <f t="shared" si="20"/>
        <v>1937</v>
      </c>
      <c r="AB320">
        <f t="shared" si="18"/>
        <v>95.16658995436029</v>
      </c>
      <c r="AC320">
        <f t="shared" si="19"/>
        <v>32741.146670375729</v>
      </c>
    </row>
    <row r="321" spans="27:29" x14ac:dyDescent="0.3">
      <c r="AA321">
        <f t="shared" si="20"/>
        <v>1938</v>
      </c>
      <c r="AB321">
        <f t="shared" si="18"/>
        <v>94.976446980806131</v>
      </c>
      <c r="AC321">
        <f t="shared" si="19"/>
        <v>32836.123117356532</v>
      </c>
    </row>
    <row r="322" spans="27:29" x14ac:dyDescent="0.3">
      <c r="AA322">
        <f t="shared" si="20"/>
        <v>1939</v>
      </c>
      <c r="AB322">
        <f t="shared" si="18"/>
        <v>94.786683913166499</v>
      </c>
      <c r="AC322">
        <f t="shared" si="19"/>
        <v>32930.9098012697</v>
      </c>
    </row>
    <row r="323" spans="27:29" x14ac:dyDescent="0.3">
      <c r="AA323">
        <f t="shared" si="20"/>
        <v>1940</v>
      </c>
      <c r="AB323">
        <f t="shared" si="18"/>
        <v>94.597299992388926</v>
      </c>
      <c r="AC323">
        <f t="shared" si="19"/>
        <v>33025.50710126209</v>
      </c>
    </row>
    <row r="324" spans="27:29" x14ac:dyDescent="0.3">
      <c r="AA324">
        <f t="shared" si="20"/>
        <v>1941</v>
      </c>
      <c r="AB324">
        <f t="shared" ref="AB324:AB387" si="21" xml:space="preserve"> 4580.8*EXP(-0.002*AA324)</f>
        <v>94.408294460937412</v>
      </c>
      <c r="AC324">
        <f t="shared" si="19"/>
        <v>33119.91539572303</v>
      </c>
    </row>
    <row r="325" spans="27:29" x14ac:dyDescent="0.3">
      <c r="AA325">
        <f t="shared" si="20"/>
        <v>1942</v>
      </c>
      <c r="AB325">
        <f t="shared" si="21"/>
        <v>94.219666562789683</v>
      </c>
      <c r="AC325">
        <f t="shared" ref="AC325:AC388" si="22">AC324+AB325</f>
        <v>33214.135062285823</v>
      </c>
    </row>
    <row r="326" spans="27:29" x14ac:dyDescent="0.3">
      <c r="AA326">
        <f t="shared" si="20"/>
        <v>1943</v>
      </c>
      <c r="AB326">
        <f t="shared" si="21"/>
        <v>94.031415543433766</v>
      </c>
      <c r="AC326">
        <f t="shared" si="22"/>
        <v>33308.166477829254</v>
      </c>
    </row>
    <row r="327" spans="27:29" x14ac:dyDescent="0.3">
      <c r="AA327">
        <f t="shared" si="20"/>
        <v>1944</v>
      </c>
      <c r="AB327">
        <f t="shared" si="21"/>
        <v>93.843540649865432</v>
      </c>
      <c r="AC327">
        <f t="shared" si="22"/>
        <v>33402.010018479123</v>
      </c>
    </row>
    <row r="328" spans="27:29" x14ac:dyDescent="0.3">
      <c r="AA328">
        <f t="shared" si="20"/>
        <v>1945</v>
      </c>
      <c r="AB328">
        <f t="shared" si="21"/>
        <v>93.656041130584796</v>
      </c>
      <c r="AC328">
        <f t="shared" si="22"/>
        <v>33495.666059609706</v>
      </c>
    </row>
    <row r="329" spans="27:29" x14ac:dyDescent="0.3">
      <c r="AA329">
        <f t="shared" si="20"/>
        <v>1946</v>
      </c>
      <c r="AB329">
        <f t="shared" si="21"/>
        <v>93.468916235593611</v>
      </c>
      <c r="AC329">
        <f t="shared" si="22"/>
        <v>33589.1349758453</v>
      </c>
    </row>
    <row r="330" spans="27:29" x14ac:dyDescent="0.3">
      <c r="AA330">
        <f t="shared" si="20"/>
        <v>1947</v>
      </c>
      <c r="AB330">
        <f t="shared" si="21"/>
        <v>93.282165216391945</v>
      </c>
      <c r="AC330">
        <f t="shared" si="22"/>
        <v>33682.417141061691</v>
      </c>
    </row>
    <row r="331" spans="27:29" x14ac:dyDescent="0.3">
      <c r="AA331">
        <f t="shared" si="20"/>
        <v>1948</v>
      </c>
      <c r="AB331">
        <f t="shared" si="21"/>
        <v>93.095787325975564</v>
      </c>
      <c r="AC331">
        <f t="shared" si="22"/>
        <v>33775.512928387667</v>
      </c>
    </row>
    <row r="332" spans="27:29" x14ac:dyDescent="0.3">
      <c r="AA332">
        <f t="shared" si="20"/>
        <v>1949</v>
      </c>
      <c r="AB332">
        <f t="shared" si="21"/>
        <v>92.909781818832556</v>
      </c>
      <c r="AC332">
        <f t="shared" si="22"/>
        <v>33868.422710206498</v>
      </c>
    </row>
    <row r="333" spans="27:29" x14ac:dyDescent="0.3">
      <c r="AA333">
        <f t="shared" si="20"/>
        <v>1950</v>
      </c>
      <c r="AB333">
        <f t="shared" si="21"/>
        <v>92.724147950940761</v>
      </c>
      <c r="AC333">
        <f t="shared" si="22"/>
        <v>33961.146858157437</v>
      </c>
    </row>
    <row r="334" spans="27:29" x14ac:dyDescent="0.3">
      <c r="AA334">
        <f t="shared" si="20"/>
        <v>1951</v>
      </c>
      <c r="AB334">
        <f t="shared" si="21"/>
        <v>92.538884979764347</v>
      </c>
      <c r="AC334">
        <f t="shared" si="22"/>
        <v>34053.685743137205</v>
      </c>
    </row>
    <row r="335" spans="27:29" x14ac:dyDescent="0.3">
      <c r="AA335">
        <f t="shared" si="20"/>
        <v>1952</v>
      </c>
      <c r="AB335">
        <f t="shared" si="21"/>
        <v>92.353992164251295</v>
      </c>
      <c r="AC335">
        <f t="shared" si="22"/>
        <v>34146.039735301456</v>
      </c>
    </row>
    <row r="336" spans="27:29" x14ac:dyDescent="0.3">
      <c r="AA336">
        <f t="shared" si="20"/>
        <v>1953</v>
      </c>
      <c r="AB336">
        <f t="shared" si="21"/>
        <v>92.169468764829986</v>
      </c>
      <c r="AC336">
        <f t="shared" si="22"/>
        <v>34238.209204066283</v>
      </c>
    </row>
    <row r="337" spans="27:29" x14ac:dyDescent="0.3">
      <c r="AA337">
        <f t="shared" si="20"/>
        <v>1954</v>
      </c>
      <c r="AB337">
        <f t="shared" si="21"/>
        <v>91.98531404340666</v>
      </c>
      <c r="AC337">
        <f t="shared" si="22"/>
        <v>34330.194518109689</v>
      </c>
    </row>
    <row r="338" spans="27:29" x14ac:dyDescent="0.3">
      <c r="AA338">
        <f t="shared" si="20"/>
        <v>1955</v>
      </c>
      <c r="AB338">
        <f t="shared" si="21"/>
        <v>91.801527263362132</v>
      </c>
      <c r="AC338">
        <f t="shared" si="22"/>
        <v>34421.996045373053</v>
      </c>
    </row>
    <row r="339" spans="27:29" x14ac:dyDescent="0.3">
      <c r="AA339">
        <f t="shared" si="20"/>
        <v>1956</v>
      </c>
      <c r="AB339">
        <f t="shared" si="21"/>
        <v>91.618107689549106</v>
      </c>
      <c r="AC339">
        <f t="shared" si="22"/>
        <v>34513.614153062605</v>
      </c>
    </row>
    <row r="340" spans="27:29" x14ac:dyDescent="0.3">
      <c r="AA340">
        <f t="shared" si="20"/>
        <v>1957</v>
      </c>
      <c r="AB340">
        <f t="shared" si="21"/>
        <v>91.435054588288935</v>
      </c>
      <c r="AC340">
        <f t="shared" si="22"/>
        <v>34605.049207650896</v>
      </c>
    </row>
    <row r="341" spans="27:29" x14ac:dyDescent="0.3">
      <c r="AA341">
        <f t="shared" si="20"/>
        <v>1958</v>
      </c>
      <c r="AB341">
        <f t="shared" si="21"/>
        <v>91.252367227369078</v>
      </c>
      <c r="AC341">
        <f t="shared" si="22"/>
        <v>34696.301574878264</v>
      </c>
    </row>
    <row r="342" spans="27:29" x14ac:dyDescent="0.3">
      <c r="AA342">
        <f t="shared" si="20"/>
        <v>1959</v>
      </c>
      <c r="AB342">
        <f t="shared" si="21"/>
        <v>91.070044876039759</v>
      </c>
      <c r="AC342">
        <f t="shared" si="22"/>
        <v>34787.371619754304</v>
      </c>
    </row>
    <row r="343" spans="27:29" x14ac:dyDescent="0.3">
      <c r="AA343">
        <f t="shared" si="20"/>
        <v>1960</v>
      </c>
      <c r="AB343">
        <f t="shared" si="21"/>
        <v>90.888086805011412</v>
      </c>
      <c r="AC343">
        <f t="shared" si="22"/>
        <v>34878.259706559315</v>
      </c>
    </row>
    <row r="344" spans="27:29" x14ac:dyDescent="0.3">
      <c r="AA344">
        <f t="shared" si="20"/>
        <v>1961</v>
      </c>
      <c r="AB344">
        <f t="shared" si="21"/>
        <v>90.70649228645145</v>
      </c>
      <c r="AC344">
        <f t="shared" si="22"/>
        <v>34968.966198845766</v>
      </c>
    </row>
    <row r="345" spans="27:29" x14ac:dyDescent="0.3">
      <c r="AA345">
        <f t="shared" si="20"/>
        <v>1962</v>
      </c>
      <c r="AB345">
        <f t="shared" si="21"/>
        <v>90.525260593981571</v>
      </c>
      <c r="AC345">
        <f t="shared" si="22"/>
        <v>35059.491459439749</v>
      </c>
    </row>
    <row r="346" spans="27:29" x14ac:dyDescent="0.3">
      <c r="AA346">
        <f t="shared" si="20"/>
        <v>1963</v>
      </c>
      <c r="AB346">
        <f t="shared" si="21"/>
        <v>90.344391002674769</v>
      </c>
      <c r="AC346">
        <f t="shared" si="22"/>
        <v>35149.835850442425</v>
      </c>
    </row>
    <row r="347" spans="27:29" x14ac:dyDescent="0.3">
      <c r="AA347">
        <f t="shared" si="20"/>
        <v>1964</v>
      </c>
      <c r="AB347">
        <f t="shared" si="21"/>
        <v>90.163882789052451</v>
      </c>
      <c r="AC347">
        <f t="shared" si="22"/>
        <v>35239.999733231474</v>
      </c>
    </row>
    <row r="348" spans="27:29" x14ac:dyDescent="0.3">
      <c r="AA348">
        <f t="shared" si="20"/>
        <v>1965</v>
      </c>
      <c r="AB348">
        <f t="shared" si="21"/>
        <v>89.983735231081496</v>
      </c>
      <c r="AC348">
        <f t="shared" si="22"/>
        <v>35329.983468462553</v>
      </c>
    </row>
    <row r="349" spans="27:29" x14ac:dyDescent="0.3">
      <c r="AA349">
        <f t="shared" si="20"/>
        <v>1966</v>
      </c>
      <c r="AB349">
        <f t="shared" si="21"/>
        <v>89.80394760817147</v>
      </c>
      <c r="AC349">
        <f t="shared" si="22"/>
        <v>35419.787416070722</v>
      </c>
    </row>
    <row r="350" spans="27:29" x14ac:dyDescent="0.3">
      <c r="AA350">
        <f t="shared" si="20"/>
        <v>1967</v>
      </c>
      <c r="AB350">
        <f t="shared" si="21"/>
        <v>89.624519201171566</v>
      </c>
      <c r="AC350">
        <f t="shared" si="22"/>
        <v>35509.411935271892</v>
      </c>
    </row>
    <row r="351" spans="27:29" x14ac:dyDescent="0.3">
      <c r="AA351">
        <f t="shared" si="20"/>
        <v>1968</v>
      </c>
      <c r="AB351">
        <f t="shared" si="21"/>
        <v>89.445449292368011</v>
      </c>
      <c r="AC351">
        <f t="shared" si="22"/>
        <v>35598.85738456426</v>
      </c>
    </row>
    <row r="352" spans="27:29" x14ac:dyDescent="0.3">
      <c r="AA352">
        <f t="shared" si="20"/>
        <v>1969</v>
      </c>
      <c r="AB352">
        <f t="shared" si="21"/>
        <v>89.266737165480833</v>
      </c>
      <c r="AC352">
        <f t="shared" si="22"/>
        <v>35688.124121729743</v>
      </c>
    </row>
    <row r="353" spans="27:29" x14ac:dyDescent="0.3">
      <c r="AA353">
        <f t="shared" si="20"/>
        <v>1970</v>
      </c>
      <c r="AB353">
        <f t="shared" si="21"/>
        <v>89.088382105661395</v>
      </c>
      <c r="AC353">
        <f t="shared" si="22"/>
        <v>35777.212503835406</v>
      </c>
    </row>
    <row r="354" spans="27:29" x14ac:dyDescent="0.3">
      <c r="AA354">
        <f t="shared" si="20"/>
        <v>1971</v>
      </c>
      <c r="AB354">
        <f t="shared" si="21"/>
        <v>88.910383399489135</v>
      </c>
      <c r="AC354">
        <f t="shared" si="22"/>
        <v>35866.122887234895</v>
      </c>
    </row>
    <row r="355" spans="27:29" x14ac:dyDescent="0.3">
      <c r="AA355">
        <f t="shared" si="20"/>
        <v>1972</v>
      </c>
      <c r="AB355">
        <f t="shared" si="21"/>
        <v>88.732740334969051</v>
      </c>
      <c r="AC355">
        <f t="shared" si="22"/>
        <v>35954.855627569865</v>
      </c>
    </row>
    <row r="356" spans="27:29" x14ac:dyDescent="0.3">
      <c r="AA356">
        <f t="shared" si="20"/>
        <v>1973</v>
      </c>
      <c r="AB356">
        <f t="shared" si="21"/>
        <v>88.555452201528567</v>
      </c>
      <c r="AC356">
        <f t="shared" si="22"/>
        <v>36043.411079771395</v>
      </c>
    </row>
    <row r="357" spans="27:29" x14ac:dyDescent="0.3">
      <c r="AA357">
        <f t="shared" si="20"/>
        <v>1974</v>
      </c>
      <c r="AB357">
        <f t="shared" si="21"/>
        <v>88.378518290015009</v>
      </c>
      <c r="AC357">
        <f t="shared" si="22"/>
        <v>36131.789598061412</v>
      </c>
    </row>
    <row r="358" spans="27:29" x14ac:dyDescent="0.3">
      <c r="AA358">
        <f t="shared" si="20"/>
        <v>1975</v>
      </c>
      <c r="AB358">
        <f t="shared" si="21"/>
        <v>88.201937892692413</v>
      </c>
      <c r="AC358">
        <f t="shared" si="22"/>
        <v>36219.991535954105</v>
      </c>
    </row>
    <row r="359" spans="27:29" x14ac:dyDescent="0.3">
      <c r="AA359">
        <f t="shared" si="20"/>
        <v>1976</v>
      </c>
      <c r="AB359">
        <f t="shared" si="21"/>
        <v>88.025710303239023</v>
      </c>
      <c r="AC359">
        <f t="shared" si="22"/>
        <v>36308.017246257346</v>
      </c>
    </row>
    <row r="360" spans="27:29" x14ac:dyDescent="0.3">
      <c r="AA360">
        <f t="shared" si="20"/>
        <v>1977</v>
      </c>
      <c r="AB360">
        <f t="shared" si="21"/>
        <v>87.849834816744178</v>
      </c>
      <c r="AC360">
        <f t="shared" si="22"/>
        <v>36395.867081074088</v>
      </c>
    </row>
    <row r="361" spans="27:29" x14ac:dyDescent="0.3">
      <c r="AA361">
        <f t="shared" si="20"/>
        <v>1978</v>
      </c>
      <c r="AB361">
        <f t="shared" si="21"/>
        <v>87.67431072970578</v>
      </c>
      <c r="AC361">
        <f t="shared" si="22"/>
        <v>36483.541391803796</v>
      </c>
    </row>
    <row r="362" spans="27:29" x14ac:dyDescent="0.3">
      <c r="AA362">
        <f t="shared" si="20"/>
        <v>1979</v>
      </c>
      <c r="AB362">
        <f t="shared" si="21"/>
        <v>87.499137340027147</v>
      </c>
      <c r="AC362">
        <f t="shared" si="22"/>
        <v>36571.040529143822</v>
      </c>
    </row>
    <row r="363" spans="27:29" x14ac:dyDescent="0.3">
      <c r="AA363">
        <f t="shared" si="20"/>
        <v>1980</v>
      </c>
      <c r="AB363">
        <f t="shared" si="21"/>
        <v>87.324313947014588</v>
      </c>
      <c r="AC363">
        <f t="shared" si="22"/>
        <v>36658.364843090836</v>
      </c>
    </row>
    <row r="364" spans="27:29" x14ac:dyDescent="0.3">
      <c r="AA364">
        <f t="shared" si="20"/>
        <v>1981</v>
      </c>
      <c r="AB364">
        <f t="shared" si="21"/>
        <v>87.14983985137421</v>
      </c>
      <c r="AC364">
        <f t="shared" si="22"/>
        <v>36745.514682942208</v>
      </c>
    </row>
    <row r="365" spans="27:29" x14ac:dyDescent="0.3">
      <c r="AA365">
        <f t="shared" si="20"/>
        <v>1982</v>
      </c>
      <c r="AB365">
        <f t="shared" si="21"/>
        <v>86.975714355209476</v>
      </c>
      <c r="AC365">
        <f t="shared" si="22"/>
        <v>36832.490397297421</v>
      </c>
    </row>
    <row r="366" spans="27:29" x14ac:dyDescent="0.3">
      <c r="AA366">
        <f t="shared" si="20"/>
        <v>1983</v>
      </c>
      <c r="AB366">
        <f t="shared" si="21"/>
        <v>86.801936762018073</v>
      </c>
      <c r="AC366">
        <f t="shared" si="22"/>
        <v>36919.292334059435</v>
      </c>
    </row>
    <row r="367" spans="27:29" x14ac:dyDescent="0.3">
      <c r="AA367">
        <f t="shared" si="20"/>
        <v>1984</v>
      </c>
      <c r="AB367">
        <f t="shared" si="21"/>
        <v>86.628506376689515</v>
      </c>
      <c r="AC367">
        <f t="shared" si="22"/>
        <v>37005.920840436127</v>
      </c>
    </row>
    <row r="368" spans="27:29" x14ac:dyDescent="0.3">
      <c r="AA368">
        <f t="shared" si="20"/>
        <v>1985</v>
      </c>
      <c r="AB368">
        <f t="shared" si="21"/>
        <v>86.455422505501929</v>
      </c>
      <c r="AC368">
        <f t="shared" si="22"/>
        <v>37092.376262941631</v>
      </c>
    </row>
    <row r="369" spans="27:29" x14ac:dyDescent="0.3">
      <c r="AA369">
        <f t="shared" si="20"/>
        <v>1986</v>
      </c>
      <c r="AB369">
        <f t="shared" si="21"/>
        <v>86.282684456119668</v>
      </c>
      <c r="AC369">
        <f t="shared" si="22"/>
        <v>37178.658947397751</v>
      </c>
    </row>
    <row r="370" spans="27:29" x14ac:dyDescent="0.3">
      <c r="AA370">
        <f t="shared" si="20"/>
        <v>1987</v>
      </c>
      <c r="AB370">
        <f t="shared" si="21"/>
        <v>86.110291537590243</v>
      </c>
      <c r="AC370">
        <f t="shared" si="22"/>
        <v>37264.76923893534</v>
      </c>
    </row>
    <row r="371" spans="27:29" x14ac:dyDescent="0.3">
      <c r="AA371">
        <f t="shared" si="20"/>
        <v>1988</v>
      </c>
      <c r="AB371">
        <f t="shared" si="21"/>
        <v>85.938243060341819</v>
      </c>
      <c r="AC371">
        <f t="shared" si="22"/>
        <v>37350.707481995683</v>
      </c>
    </row>
    <row r="372" spans="27:29" x14ac:dyDescent="0.3">
      <c r="AA372">
        <f t="shared" si="20"/>
        <v>1989</v>
      </c>
      <c r="AB372">
        <f t="shared" si="21"/>
        <v>85.766538336180176</v>
      </c>
      <c r="AC372">
        <f t="shared" si="22"/>
        <v>37436.474020331865</v>
      </c>
    </row>
    <row r="373" spans="27:29" x14ac:dyDescent="0.3">
      <c r="AA373">
        <f t="shared" si="20"/>
        <v>1990</v>
      </c>
      <c r="AB373">
        <f t="shared" si="21"/>
        <v>85.595176678286293</v>
      </c>
      <c r="AC373">
        <f t="shared" si="22"/>
        <v>37522.069197010154</v>
      </c>
    </row>
    <row r="374" spans="27:29" x14ac:dyDescent="0.3">
      <c r="AA374">
        <f t="shared" si="20"/>
        <v>1991</v>
      </c>
      <c r="AB374">
        <f t="shared" si="21"/>
        <v>85.424157401213179</v>
      </c>
      <c r="AC374">
        <f t="shared" si="22"/>
        <v>37607.493354411366</v>
      </c>
    </row>
    <row r="375" spans="27:29" x14ac:dyDescent="0.3">
      <c r="AA375">
        <f t="shared" si="20"/>
        <v>1992</v>
      </c>
      <c r="AB375">
        <f t="shared" si="21"/>
        <v>85.253479820883641</v>
      </c>
      <c r="AC375">
        <f t="shared" si="22"/>
        <v>37692.746834232254</v>
      </c>
    </row>
    <row r="376" spans="27:29" x14ac:dyDescent="0.3">
      <c r="AA376">
        <f t="shared" si="20"/>
        <v>1993</v>
      </c>
      <c r="AB376">
        <f t="shared" si="21"/>
        <v>85.083143254587</v>
      </c>
      <c r="AC376">
        <f t="shared" si="22"/>
        <v>37777.829977486843</v>
      </c>
    </row>
    <row r="377" spans="27:29" x14ac:dyDescent="0.3">
      <c r="AA377">
        <f t="shared" si="20"/>
        <v>1994</v>
      </c>
      <c r="AB377">
        <f t="shared" si="21"/>
        <v>84.913147020976851</v>
      </c>
      <c r="AC377">
        <f t="shared" si="22"/>
        <v>37862.743124507819</v>
      </c>
    </row>
    <row r="378" spans="27:29" x14ac:dyDescent="0.3">
      <c r="AA378">
        <f t="shared" si="20"/>
        <v>1995</v>
      </c>
      <c r="AB378">
        <f t="shared" si="21"/>
        <v>84.743490440067987</v>
      </c>
      <c r="AC378">
        <f t="shared" si="22"/>
        <v>37947.486614947884</v>
      </c>
    </row>
    <row r="379" spans="27:29" x14ac:dyDescent="0.3">
      <c r="AA379">
        <f t="shared" si="20"/>
        <v>1996</v>
      </c>
      <c r="AB379">
        <f t="shared" si="21"/>
        <v>84.574172833233888</v>
      </c>
      <c r="AC379">
        <f t="shared" si="22"/>
        <v>38032.06078778112</v>
      </c>
    </row>
    <row r="380" spans="27:29" x14ac:dyDescent="0.3">
      <c r="AA380">
        <f t="shared" ref="AA380:AA443" si="23">AA379+1</f>
        <v>1997</v>
      </c>
      <c r="AB380">
        <f t="shared" si="21"/>
        <v>84.405193523203877</v>
      </c>
      <c r="AC380">
        <f t="shared" si="22"/>
        <v>38116.465981304325</v>
      </c>
    </row>
    <row r="381" spans="27:29" x14ac:dyDescent="0.3">
      <c r="AA381">
        <f t="shared" si="23"/>
        <v>1998</v>
      </c>
      <c r="AB381">
        <f t="shared" si="21"/>
        <v>84.236551834060521</v>
      </c>
      <c r="AC381">
        <f t="shared" si="22"/>
        <v>38200.702533138385</v>
      </c>
    </row>
    <row r="382" spans="27:29" x14ac:dyDescent="0.3">
      <c r="AA382">
        <f t="shared" si="23"/>
        <v>1999</v>
      </c>
      <c r="AB382">
        <f t="shared" si="21"/>
        <v>84.068247091236785</v>
      </c>
      <c r="AC382">
        <f t="shared" si="22"/>
        <v>38284.770780229621</v>
      </c>
    </row>
    <row r="383" spans="27:29" x14ac:dyDescent="0.3">
      <c r="AA383">
        <f t="shared" si="23"/>
        <v>2000</v>
      </c>
      <c r="AB383">
        <f t="shared" si="21"/>
        <v>83.900278621513536</v>
      </c>
      <c r="AC383">
        <f t="shared" si="22"/>
        <v>38368.671058851134</v>
      </c>
    </row>
    <row r="384" spans="27:29" x14ac:dyDescent="0.3">
      <c r="AA384">
        <f t="shared" si="23"/>
        <v>2001</v>
      </c>
      <c r="AB384">
        <f t="shared" si="21"/>
        <v>83.732645753016641</v>
      </c>
      <c r="AC384">
        <f t="shared" si="22"/>
        <v>38452.403704604149</v>
      </c>
    </row>
    <row r="385" spans="27:29" x14ac:dyDescent="0.3">
      <c r="AA385">
        <f t="shared" si="23"/>
        <v>2002</v>
      </c>
      <c r="AB385">
        <f t="shared" si="21"/>
        <v>83.565347815214338</v>
      </c>
      <c r="AC385">
        <f t="shared" si="22"/>
        <v>38535.969052419365</v>
      </c>
    </row>
    <row r="386" spans="27:29" x14ac:dyDescent="0.3">
      <c r="AA386">
        <f t="shared" si="23"/>
        <v>2003</v>
      </c>
      <c r="AB386">
        <f t="shared" si="21"/>
        <v>83.398384138914778</v>
      </c>
      <c r="AC386">
        <f t="shared" si="22"/>
        <v>38619.367436558277</v>
      </c>
    </row>
    <row r="387" spans="27:29" x14ac:dyDescent="0.3">
      <c r="AA387">
        <f t="shared" si="23"/>
        <v>2004</v>
      </c>
      <c r="AB387">
        <f t="shared" si="21"/>
        <v>83.231754056262972</v>
      </c>
      <c r="AC387">
        <f t="shared" si="22"/>
        <v>38702.599190614543</v>
      </c>
    </row>
    <row r="388" spans="27:29" x14ac:dyDescent="0.3">
      <c r="AA388">
        <f t="shared" si="23"/>
        <v>2005</v>
      </c>
      <c r="AB388">
        <f t="shared" ref="AB388:AB451" si="24" xml:space="preserve"> 4580.8*EXP(-0.002*AA388)</f>
        <v>83.065456900738369</v>
      </c>
      <c r="AC388">
        <f t="shared" si="22"/>
        <v>38785.664647515281</v>
      </c>
    </row>
    <row r="389" spans="27:29" x14ac:dyDescent="0.3">
      <c r="AA389">
        <f t="shared" si="23"/>
        <v>2006</v>
      </c>
      <c r="AB389">
        <f t="shared" si="24"/>
        <v>82.899492007152048</v>
      </c>
      <c r="AC389">
        <f t="shared" ref="AC389:AC452" si="25">AC388+AB389</f>
        <v>38868.56413952243</v>
      </c>
    </row>
    <row r="390" spans="27:29" x14ac:dyDescent="0.3">
      <c r="AA390">
        <f t="shared" si="23"/>
        <v>2007</v>
      </c>
      <c r="AB390">
        <f t="shared" si="24"/>
        <v>82.733858711644373</v>
      </c>
      <c r="AC390">
        <f t="shared" si="25"/>
        <v>38951.297998234077</v>
      </c>
    </row>
    <row r="391" spans="27:29" x14ac:dyDescent="0.3">
      <c r="AA391">
        <f t="shared" si="23"/>
        <v>2008</v>
      </c>
      <c r="AB391">
        <f t="shared" si="24"/>
        <v>82.568556351681849</v>
      </c>
      <c r="AC391">
        <f t="shared" si="25"/>
        <v>39033.866554585758</v>
      </c>
    </row>
    <row r="392" spans="27:29" x14ac:dyDescent="0.3">
      <c r="AA392">
        <f t="shared" si="23"/>
        <v>2009</v>
      </c>
      <c r="AB392">
        <f t="shared" si="24"/>
        <v>82.403584266054821</v>
      </c>
      <c r="AC392">
        <f t="shared" si="25"/>
        <v>39116.270138851811</v>
      </c>
    </row>
    <row r="393" spans="27:29" x14ac:dyDescent="0.3">
      <c r="AA393">
        <f t="shared" si="23"/>
        <v>2010</v>
      </c>
      <c r="AB393">
        <f t="shared" si="24"/>
        <v>82.238941794874648</v>
      </c>
      <c r="AC393">
        <f t="shared" si="25"/>
        <v>39198.509080646683</v>
      </c>
    </row>
    <row r="394" spans="27:29" x14ac:dyDescent="0.3">
      <c r="AA394">
        <f t="shared" si="23"/>
        <v>2011</v>
      </c>
      <c r="AB394">
        <f t="shared" si="24"/>
        <v>82.0746282795714</v>
      </c>
      <c r="AC394">
        <f t="shared" si="25"/>
        <v>39280.583708926257</v>
      </c>
    </row>
    <row r="395" spans="27:29" x14ac:dyDescent="0.3">
      <c r="AA395">
        <f t="shared" si="23"/>
        <v>2012</v>
      </c>
      <c r="AB395">
        <f t="shared" si="24"/>
        <v>81.910643062890685</v>
      </c>
      <c r="AC395">
        <f t="shared" si="25"/>
        <v>39362.494351989146</v>
      </c>
    </row>
    <row r="396" spans="27:29" x14ac:dyDescent="0.3">
      <c r="AA396">
        <f t="shared" si="23"/>
        <v>2013</v>
      </c>
      <c r="AB396">
        <f t="shared" si="24"/>
        <v>81.746985488891454</v>
      </c>
      <c r="AC396">
        <f t="shared" si="25"/>
        <v>39444.241337478037</v>
      </c>
    </row>
    <row r="397" spans="27:29" x14ac:dyDescent="0.3">
      <c r="AA397">
        <f t="shared" si="23"/>
        <v>2014</v>
      </c>
      <c r="AB397">
        <f t="shared" si="24"/>
        <v>81.583654902943081</v>
      </c>
      <c r="AC397">
        <f t="shared" si="25"/>
        <v>39525.824992380978</v>
      </c>
    </row>
    <row r="398" spans="27:29" x14ac:dyDescent="0.3">
      <c r="AA398">
        <f t="shared" si="23"/>
        <v>2015</v>
      </c>
      <c r="AB398">
        <f t="shared" si="24"/>
        <v>81.420650651723179</v>
      </c>
      <c r="AC398">
        <f t="shared" si="25"/>
        <v>39607.2456430327</v>
      </c>
    </row>
    <row r="399" spans="27:29" x14ac:dyDescent="0.3">
      <c r="AA399">
        <f t="shared" si="23"/>
        <v>2016</v>
      </c>
      <c r="AB399">
        <f t="shared" si="24"/>
        <v>81.25797208321444</v>
      </c>
      <c r="AC399">
        <f t="shared" si="25"/>
        <v>39688.503615115915</v>
      </c>
    </row>
    <row r="400" spans="27:29" x14ac:dyDescent="0.3">
      <c r="AA400">
        <f t="shared" si="23"/>
        <v>2017</v>
      </c>
      <c r="AB400">
        <f t="shared" si="24"/>
        <v>81.095618546702397</v>
      </c>
      <c r="AC400">
        <f t="shared" si="25"/>
        <v>39769.599233662615</v>
      </c>
    </row>
    <row r="401" spans="27:29" x14ac:dyDescent="0.3">
      <c r="AA401">
        <f t="shared" si="23"/>
        <v>2018</v>
      </c>
      <c r="AB401">
        <f t="shared" si="24"/>
        <v>80.933589392772561</v>
      </c>
      <c r="AC401">
        <f t="shared" si="25"/>
        <v>39850.532823055386</v>
      </c>
    </row>
    <row r="402" spans="27:29" x14ac:dyDescent="0.3">
      <c r="AA402">
        <f t="shared" si="23"/>
        <v>2019</v>
      </c>
      <c r="AB402">
        <f t="shared" si="24"/>
        <v>80.77188397330832</v>
      </c>
      <c r="AC402">
        <f t="shared" si="25"/>
        <v>39931.304707028692</v>
      </c>
    </row>
    <row r="403" spans="27:29" x14ac:dyDescent="0.3">
      <c r="AA403">
        <f t="shared" si="23"/>
        <v>2020</v>
      </c>
      <c r="AB403">
        <f t="shared" si="24"/>
        <v>80.610501641487645</v>
      </c>
      <c r="AC403">
        <f t="shared" si="25"/>
        <v>40011.91520867018</v>
      </c>
    </row>
    <row r="404" spans="27:29" x14ac:dyDescent="0.3">
      <c r="AA404">
        <f t="shared" si="23"/>
        <v>2021</v>
      </c>
      <c r="AB404">
        <f t="shared" si="24"/>
        <v>80.449441751781023</v>
      </c>
      <c r="AC404">
        <f t="shared" si="25"/>
        <v>40092.364650421958</v>
      </c>
    </row>
    <row r="405" spans="27:29" x14ac:dyDescent="0.3">
      <c r="AA405">
        <f t="shared" si="23"/>
        <v>2022</v>
      </c>
      <c r="AB405">
        <f t="shared" si="24"/>
        <v>80.288703659948595</v>
      </c>
      <c r="AC405">
        <f t="shared" si="25"/>
        <v>40172.653354081907</v>
      </c>
    </row>
    <row r="406" spans="27:29" x14ac:dyDescent="0.3">
      <c r="AA406">
        <f t="shared" si="23"/>
        <v>2023</v>
      </c>
      <c r="AB406">
        <f t="shared" si="24"/>
        <v>80.128286723037931</v>
      </c>
      <c r="AC406">
        <f t="shared" si="25"/>
        <v>40252.781640804948</v>
      </c>
    </row>
    <row r="407" spans="27:29" x14ac:dyDescent="0.3">
      <c r="AA407">
        <f t="shared" si="23"/>
        <v>2024</v>
      </c>
      <c r="AB407">
        <f t="shared" si="24"/>
        <v>79.968190299381007</v>
      </c>
      <c r="AC407">
        <f t="shared" si="25"/>
        <v>40332.749831104331</v>
      </c>
    </row>
    <row r="408" spans="27:29" x14ac:dyDescent="0.3">
      <c r="AA408">
        <f t="shared" si="23"/>
        <v>2025</v>
      </c>
      <c r="AB408">
        <f t="shared" si="24"/>
        <v>79.808413748591889</v>
      </c>
      <c r="AC408">
        <f t="shared" si="25"/>
        <v>40412.558244852924</v>
      </c>
    </row>
    <row r="409" spans="27:29" x14ac:dyDescent="0.3">
      <c r="AA409">
        <f t="shared" si="23"/>
        <v>2026</v>
      </c>
      <c r="AB409">
        <f t="shared" si="24"/>
        <v>79.64895643156413</v>
      </c>
      <c r="AC409">
        <f t="shared" si="25"/>
        <v>40492.207201284487</v>
      </c>
    </row>
    <row r="410" spans="27:29" x14ac:dyDescent="0.3">
      <c r="AA410">
        <f t="shared" si="23"/>
        <v>2027</v>
      </c>
      <c r="AB410">
        <f t="shared" si="24"/>
        <v>79.489817710468344</v>
      </c>
      <c r="AC410">
        <f t="shared" si="25"/>
        <v>40571.697018994957</v>
      </c>
    </row>
    <row r="411" spans="27:29" x14ac:dyDescent="0.3">
      <c r="AA411">
        <f t="shared" si="23"/>
        <v>2028</v>
      </c>
      <c r="AB411">
        <f t="shared" si="24"/>
        <v>79.330996948749402</v>
      </c>
      <c r="AC411">
        <f t="shared" si="25"/>
        <v>40651.02801594371</v>
      </c>
    </row>
    <row r="412" spans="27:29" x14ac:dyDescent="0.3">
      <c r="AA412">
        <f t="shared" si="23"/>
        <v>2029</v>
      </c>
      <c r="AB412">
        <f t="shared" si="24"/>
        <v>79.172493511124017</v>
      </c>
      <c r="AC412">
        <f t="shared" si="25"/>
        <v>40730.200509454837</v>
      </c>
    </row>
    <row r="413" spans="27:29" x14ac:dyDescent="0.3">
      <c r="AA413">
        <f t="shared" si="23"/>
        <v>2030</v>
      </c>
      <c r="AB413">
        <f t="shared" si="24"/>
        <v>79.014306763578176</v>
      </c>
      <c r="AC413">
        <f t="shared" si="25"/>
        <v>40809.214816218417</v>
      </c>
    </row>
    <row r="414" spans="27:29" x14ac:dyDescent="0.3">
      <c r="AA414">
        <f t="shared" si="23"/>
        <v>2031</v>
      </c>
      <c r="AB414">
        <f t="shared" si="24"/>
        <v>78.85643607336479</v>
      </c>
      <c r="AC414">
        <f t="shared" si="25"/>
        <v>40888.071252291782</v>
      </c>
    </row>
    <row r="415" spans="27:29" x14ac:dyDescent="0.3">
      <c r="AA415">
        <f t="shared" si="23"/>
        <v>2032</v>
      </c>
      <c r="AB415">
        <f t="shared" si="24"/>
        <v>78.698880809000869</v>
      </c>
      <c r="AC415">
        <f t="shared" si="25"/>
        <v>40966.770133100785</v>
      </c>
    </row>
    <row r="416" spans="27:29" x14ac:dyDescent="0.3">
      <c r="AA416">
        <f t="shared" si="23"/>
        <v>2033</v>
      </c>
      <c r="AB416">
        <f t="shared" si="24"/>
        <v>78.541640340265118</v>
      </c>
      <c r="AC416">
        <f t="shared" si="25"/>
        <v>41045.311773441048</v>
      </c>
    </row>
    <row r="417" spans="27:29" x14ac:dyDescent="0.3">
      <c r="AA417">
        <f t="shared" si="23"/>
        <v>2034</v>
      </c>
      <c r="AB417">
        <f t="shared" si="24"/>
        <v>78.384714038195369</v>
      </c>
      <c r="AC417">
        <f t="shared" si="25"/>
        <v>41123.696487479247</v>
      </c>
    </row>
    <row r="418" spans="27:29" x14ac:dyDescent="0.3">
      <c r="AA418">
        <f t="shared" si="23"/>
        <v>2035</v>
      </c>
      <c r="AB418">
        <f t="shared" si="24"/>
        <v>78.228101275086345</v>
      </c>
      <c r="AC418">
        <f t="shared" si="25"/>
        <v>41201.924588754329</v>
      </c>
    </row>
    <row r="419" spans="27:29" x14ac:dyDescent="0.3">
      <c r="AA419">
        <f t="shared" si="23"/>
        <v>2036</v>
      </c>
      <c r="AB419">
        <f t="shared" si="24"/>
        <v>78.071801424486736</v>
      </c>
      <c r="AC419">
        <f t="shared" si="25"/>
        <v>41279.996390178814</v>
      </c>
    </row>
    <row r="420" spans="27:29" x14ac:dyDescent="0.3">
      <c r="AA420">
        <f t="shared" si="23"/>
        <v>2037</v>
      </c>
      <c r="AB420">
        <f t="shared" si="24"/>
        <v>77.915813861196924</v>
      </c>
      <c r="AC420">
        <f t="shared" si="25"/>
        <v>41357.912204040011</v>
      </c>
    </row>
    <row r="421" spans="27:29" x14ac:dyDescent="0.3">
      <c r="AA421">
        <f t="shared" si="23"/>
        <v>2038</v>
      </c>
      <c r="AB421">
        <f t="shared" si="24"/>
        <v>77.760137961266381</v>
      </c>
      <c r="AC421">
        <f t="shared" si="25"/>
        <v>41435.672342001279</v>
      </c>
    </row>
    <row r="422" spans="27:29" x14ac:dyDescent="0.3">
      <c r="AA422">
        <f t="shared" si="23"/>
        <v>2039</v>
      </c>
      <c r="AB422">
        <f t="shared" si="24"/>
        <v>77.604773101991412</v>
      </c>
      <c r="AC422">
        <f t="shared" si="25"/>
        <v>41513.277115103272</v>
      </c>
    </row>
    <row r="423" spans="27:29" x14ac:dyDescent="0.3">
      <c r="AA423">
        <f t="shared" si="23"/>
        <v>2040</v>
      </c>
      <c r="AB423">
        <f t="shared" si="24"/>
        <v>77.449718661912343</v>
      </c>
      <c r="AC423">
        <f t="shared" si="25"/>
        <v>41590.726833765184</v>
      </c>
    </row>
    <row r="424" spans="27:29" x14ac:dyDescent="0.3">
      <c r="AA424">
        <f t="shared" si="23"/>
        <v>2041</v>
      </c>
      <c r="AB424">
        <f t="shared" si="24"/>
        <v>77.294974020811182</v>
      </c>
      <c r="AC424">
        <f t="shared" si="25"/>
        <v>41668.021807785997</v>
      </c>
    </row>
    <row r="425" spans="27:29" x14ac:dyDescent="0.3">
      <c r="AA425">
        <f t="shared" si="23"/>
        <v>2042</v>
      </c>
      <c r="AB425">
        <f t="shared" si="24"/>
        <v>77.140538559709086</v>
      </c>
      <c r="AC425">
        <f t="shared" si="25"/>
        <v>41745.162346345707</v>
      </c>
    </row>
    <row r="426" spans="27:29" x14ac:dyDescent="0.3">
      <c r="AA426">
        <f t="shared" si="23"/>
        <v>2043</v>
      </c>
      <c r="AB426">
        <f t="shared" si="24"/>
        <v>76.986411660864164</v>
      </c>
      <c r="AC426">
        <f t="shared" si="25"/>
        <v>41822.148758006573</v>
      </c>
    </row>
    <row r="427" spans="27:29" x14ac:dyDescent="0.3">
      <c r="AA427">
        <f t="shared" si="23"/>
        <v>2044</v>
      </c>
      <c r="AB427">
        <f t="shared" si="24"/>
        <v>76.832592707768512</v>
      </c>
      <c r="AC427">
        <f t="shared" si="25"/>
        <v>41898.981350714341</v>
      </c>
    </row>
    <row r="428" spans="27:29" x14ac:dyDescent="0.3">
      <c r="AA428">
        <f t="shared" si="23"/>
        <v>2045</v>
      </c>
      <c r="AB428">
        <f t="shared" si="24"/>
        <v>76.679081085146166</v>
      </c>
      <c r="AC428">
        <f t="shared" si="25"/>
        <v>41975.660431799486</v>
      </c>
    </row>
    <row r="429" spans="27:29" x14ac:dyDescent="0.3">
      <c r="AA429">
        <f t="shared" si="23"/>
        <v>2046</v>
      </c>
      <c r="AB429">
        <f t="shared" si="24"/>
        <v>76.525876178950327</v>
      </c>
      <c r="AC429">
        <f t="shared" si="25"/>
        <v>42052.186307978438</v>
      </c>
    </row>
    <row r="430" spans="27:29" x14ac:dyDescent="0.3">
      <c r="AA430">
        <f t="shared" si="23"/>
        <v>2047</v>
      </c>
      <c r="AB430">
        <f t="shared" si="24"/>
        <v>76.372977376361291</v>
      </c>
      <c r="AC430">
        <f t="shared" si="25"/>
        <v>42128.559285354801</v>
      </c>
    </row>
    <row r="431" spans="27:29" x14ac:dyDescent="0.3">
      <c r="AA431">
        <f t="shared" si="23"/>
        <v>2048</v>
      </c>
      <c r="AB431">
        <f t="shared" si="24"/>
        <v>76.220384065783577</v>
      </c>
      <c r="AC431">
        <f t="shared" si="25"/>
        <v>42204.779669420583</v>
      </c>
    </row>
    <row r="432" spans="27:29" x14ac:dyDescent="0.3">
      <c r="AA432">
        <f t="shared" si="23"/>
        <v>2049</v>
      </c>
      <c r="AB432">
        <f t="shared" si="24"/>
        <v>76.068095636843793</v>
      </c>
      <c r="AC432">
        <f t="shared" si="25"/>
        <v>42280.847765057428</v>
      </c>
    </row>
    <row r="433" spans="27:29" x14ac:dyDescent="0.3">
      <c r="AA433">
        <f t="shared" si="23"/>
        <v>2050</v>
      </c>
      <c r="AB433">
        <f t="shared" si="24"/>
        <v>75.916111480387954</v>
      </c>
      <c r="AC433">
        <f t="shared" si="25"/>
        <v>42356.763876537814</v>
      </c>
    </row>
    <row r="434" spans="27:29" x14ac:dyDescent="0.3">
      <c r="AA434">
        <f t="shared" si="23"/>
        <v>2051</v>
      </c>
      <c r="AB434">
        <f t="shared" si="24"/>
        <v>75.764430988479205</v>
      </c>
      <c r="AC434">
        <f t="shared" si="25"/>
        <v>42432.528307526292</v>
      </c>
    </row>
    <row r="435" spans="27:29" x14ac:dyDescent="0.3">
      <c r="AA435">
        <f t="shared" si="23"/>
        <v>2052</v>
      </c>
      <c r="AB435">
        <f t="shared" si="24"/>
        <v>75.613053554395478</v>
      </c>
      <c r="AC435">
        <f t="shared" si="25"/>
        <v>42508.141361080685</v>
      </c>
    </row>
    <row r="436" spans="27:29" x14ac:dyDescent="0.3">
      <c r="AA436">
        <f t="shared" si="23"/>
        <v>2053</v>
      </c>
      <c r="AB436">
        <f t="shared" si="24"/>
        <v>75.461978572626805</v>
      </c>
      <c r="AC436">
        <f t="shared" si="25"/>
        <v>42583.603339653309</v>
      </c>
    </row>
    <row r="437" spans="27:29" x14ac:dyDescent="0.3">
      <c r="AA437">
        <f t="shared" si="23"/>
        <v>2054</v>
      </c>
      <c r="AB437">
        <f t="shared" si="24"/>
        <v>75.311205438873017</v>
      </c>
      <c r="AC437">
        <f t="shared" si="25"/>
        <v>42658.914545092186</v>
      </c>
    </row>
    <row r="438" spans="27:29" x14ac:dyDescent="0.3">
      <c r="AA438">
        <f t="shared" si="23"/>
        <v>2055</v>
      </c>
      <c r="AB438">
        <f t="shared" si="24"/>
        <v>75.160733550041357</v>
      </c>
      <c r="AC438">
        <f t="shared" si="25"/>
        <v>42734.075278642231</v>
      </c>
    </row>
    <row r="439" spans="27:29" x14ac:dyDescent="0.3">
      <c r="AA439">
        <f t="shared" si="23"/>
        <v>2056</v>
      </c>
      <c r="AB439">
        <f t="shared" si="24"/>
        <v>75.010562304244161</v>
      </c>
      <c r="AC439">
        <f t="shared" si="25"/>
        <v>42809.085840946478</v>
      </c>
    </row>
    <row r="440" spans="27:29" x14ac:dyDescent="0.3">
      <c r="AA440">
        <f t="shared" si="23"/>
        <v>2057</v>
      </c>
      <c r="AB440">
        <f t="shared" si="24"/>
        <v>74.860691100796203</v>
      </c>
      <c r="AC440">
        <f t="shared" si="25"/>
        <v>42883.946532047274</v>
      </c>
    </row>
    <row r="441" spans="27:29" x14ac:dyDescent="0.3">
      <c r="AA441">
        <f t="shared" si="23"/>
        <v>2058</v>
      </c>
      <c r="AB441">
        <f t="shared" si="24"/>
        <v>74.711119340212463</v>
      </c>
      <c r="AC441">
        <f t="shared" si="25"/>
        <v>42958.65765138749</v>
      </c>
    </row>
    <row r="442" spans="27:29" x14ac:dyDescent="0.3">
      <c r="AA442">
        <f t="shared" si="23"/>
        <v>2059</v>
      </c>
      <c r="AB442">
        <f t="shared" si="24"/>
        <v>74.561846424205626</v>
      </c>
      <c r="AC442">
        <f t="shared" si="25"/>
        <v>43033.219497811697</v>
      </c>
    </row>
    <row r="443" spans="27:29" x14ac:dyDescent="0.3">
      <c r="AA443">
        <f t="shared" si="23"/>
        <v>2060</v>
      </c>
      <c r="AB443">
        <f t="shared" si="24"/>
        <v>74.412871755683966</v>
      </c>
      <c r="AC443">
        <f t="shared" si="25"/>
        <v>43107.632369567378</v>
      </c>
    </row>
    <row r="444" spans="27:29" x14ac:dyDescent="0.3">
      <c r="AA444">
        <f t="shared" ref="AA444:AA507" si="26">AA443+1</f>
        <v>2061</v>
      </c>
      <c r="AB444">
        <f t="shared" si="24"/>
        <v>74.264194738748557</v>
      </c>
      <c r="AC444">
        <f t="shared" si="25"/>
        <v>43181.896564306124</v>
      </c>
    </row>
    <row r="445" spans="27:29" x14ac:dyDescent="0.3">
      <c r="AA445">
        <f t="shared" si="26"/>
        <v>2062</v>
      </c>
      <c r="AB445">
        <f t="shared" si="24"/>
        <v>74.115814778691117</v>
      </c>
      <c r="AC445">
        <f t="shared" si="25"/>
        <v>43256.012379084816</v>
      </c>
    </row>
    <row r="446" spans="27:29" x14ac:dyDescent="0.3">
      <c r="AA446">
        <f t="shared" si="26"/>
        <v>2063</v>
      </c>
      <c r="AB446">
        <f t="shared" si="24"/>
        <v>73.967731281991547</v>
      </c>
      <c r="AC446">
        <f t="shared" si="25"/>
        <v>43329.980110366807</v>
      </c>
    </row>
    <row r="447" spans="27:29" x14ac:dyDescent="0.3">
      <c r="AA447">
        <f t="shared" si="26"/>
        <v>2064</v>
      </c>
      <c r="AB447">
        <f t="shared" si="24"/>
        <v>73.819943656315786</v>
      </c>
      <c r="AC447">
        <f t="shared" si="25"/>
        <v>43403.800054023122</v>
      </c>
    </row>
    <row r="448" spans="27:29" x14ac:dyDescent="0.3">
      <c r="AA448">
        <f t="shared" si="26"/>
        <v>2065</v>
      </c>
      <c r="AB448">
        <f t="shared" si="24"/>
        <v>73.672451310513097</v>
      </c>
      <c r="AC448">
        <f t="shared" si="25"/>
        <v>43477.472505333637</v>
      </c>
    </row>
    <row r="449" spans="27:29" x14ac:dyDescent="0.3">
      <c r="AA449">
        <f t="shared" si="26"/>
        <v>2066</v>
      </c>
      <c r="AB449">
        <f t="shared" si="24"/>
        <v>73.525253654613877</v>
      </c>
      <c r="AC449">
        <f t="shared" si="25"/>
        <v>43550.997758988247</v>
      </c>
    </row>
    <row r="450" spans="27:29" x14ac:dyDescent="0.3">
      <c r="AA450">
        <f t="shared" si="26"/>
        <v>2067</v>
      </c>
      <c r="AB450">
        <f t="shared" si="24"/>
        <v>73.378350099827216</v>
      </c>
      <c r="AC450">
        <f t="shared" si="25"/>
        <v>43624.376109088073</v>
      </c>
    </row>
    <row r="451" spans="27:29" x14ac:dyDescent="0.3">
      <c r="AA451">
        <f t="shared" si="26"/>
        <v>2068</v>
      </c>
      <c r="AB451">
        <f t="shared" si="24"/>
        <v>73.23174005853889</v>
      </c>
      <c r="AC451">
        <f t="shared" si="25"/>
        <v>43697.607849146611</v>
      </c>
    </row>
    <row r="452" spans="27:29" x14ac:dyDescent="0.3">
      <c r="AA452">
        <f t="shared" si="26"/>
        <v>2069</v>
      </c>
      <c r="AB452">
        <f t="shared" ref="AB452:AB515" si="27" xml:space="preserve"> 4580.8*EXP(-0.002*AA452)</f>
        <v>73.085422944308419</v>
      </c>
      <c r="AC452">
        <f t="shared" si="25"/>
        <v>43770.693272090917</v>
      </c>
    </row>
    <row r="453" spans="27:29" x14ac:dyDescent="0.3">
      <c r="AA453">
        <f t="shared" si="26"/>
        <v>2070</v>
      </c>
      <c r="AB453">
        <f t="shared" si="27"/>
        <v>72.939398171867182</v>
      </c>
      <c r="AC453">
        <f t="shared" ref="AC453:AC516" si="28">AC452+AB453</f>
        <v>43843.632670262785</v>
      </c>
    </row>
    <row r="454" spans="27:29" x14ac:dyDescent="0.3">
      <c r="AA454">
        <f t="shared" si="26"/>
        <v>2071</v>
      </c>
      <c r="AB454">
        <f t="shared" si="27"/>
        <v>72.793665157115825</v>
      </c>
      <c r="AC454">
        <f t="shared" si="28"/>
        <v>43916.426335419899</v>
      </c>
    </row>
    <row r="455" spans="27:29" x14ac:dyDescent="0.3">
      <c r="AA455">
        <f t="shared" si="26"/>
        <v>2072</v>
      </c>
      <c r="AB455">
        <f t="shared" si="27"/>
        <v>72.648223317122202</v>
      </c>
      <c r="AC455">
        <f t="shared" si="28"/>
        <v>43989.074558737018</v>
      </c>
    </row>
    <row r="456" spans="27:29" x14ac:dyDescent="0.3">
      <c r="AA456">
        <f t="shared" si="26"/>
        <v>2073</v>
      </c>
      <c r="AB456">
        <f t="shared" si="27"/>
        <v>72.503072070118733</v>
      </c>
      <c r="AC456">
        <f t="shared" si="28"/>
        <v>44061.577630807136</v>
      </c>
    </row>
    <row r="457" spans="27:29" x14ac:dyDescent="0.3">
      <c r="AA457">
        <f t="shared" si="26"/>
        <v>2074</v>
      </c>
      <c r="AB457">
        <f t="shared" si="27"/>
        <v>72.358210835500202</v>
      </c>
      <c r="AC457">
        <f t="shared" si="28"/>
        <v>44133.935841642633</v>
      </c>
    </row>
    <row r="458" spans="27:29" x14ac:dyDescent="0.3">
      <c r="AA458">
        <f t="shared" si="26"/>
        <v>2075</v>
      </c>
      <c r="AB458">
        <f t="shared" si="27"/>
        <v>72.213639033821437</v>
      </c>
      <c r="AC458">
        <f t="shared" si="28"/>
        <v>44206.149480676453</v>
      </c>
    </row>
    <row r="459" spans="27:29" x14ac:dyDescent="0.3">
      <c r="AA459">
        <f t="shared" si="26"/>
        <v>2076</v>
      </c>
      <c r="AB459">
        <f t="shared" si="27"/>
        <v>72.069356086795139</v>
      </c>
      <c r="AC459">
        <f t="shared" si="28"/>
        <v>44278.218836763248</v>
      </c>
    </row>
    <row r="460" spans="27:29" x14ac:dyDescent="0.3">
      <c r="AA460">
        <f t="shared" si="26"/>
        <v>2077</v>
      </c>
      <c r="AB460">
        <f t="shared" si="27"/>
        <v>71.925361417289281</v>
      </c>
      <c r="AC460">
        <f t="shared" si="28"/>
        <v>44350.14419818054</v>
      </c>
    </row>
    <row r="461" spans="27:29" x14ac:dyDescent="0.3">
      <c r="AA461">
        <f t="shared" si="26"/>
        <v>2078</v>
      </c>
      <c r="AB461">
        <f t="shared" si="27"/>
        <v>71.781654449325018</v>
      </c>
      <c r="AC461">
        <f t="shared" si="28"/>
        <v>44421.925852629865</v>
      </c>
    </row>
    <row r="462" spans="27:29" x14ac:dyDescent="0.3">
      <c r="AA462">
        <f t="shared" si="26"/>
        <v>2079</v>
      </c>
      <c r="AB462">
        <f t="shared" si="27"/>
        <v>71.638234608074171</v>
      </c>
      <c r="AC462">
        <f t="shared" si="28"/>
        <v>44493.564087237937</v>
      </c>
    </row>
    <row r="463" spans="27:29" x14ac:dyDescent="0.3">
      <c r="AA463">
        <f t="shared" si="26"/>
        <v>2080</v>
      </c>
      <c r="AB463">
        <f t="shared" si="27"/>
        <v>71.495101319857355</v>
      </c>
      <c r="AC463">
        <f t="shared" si="28"/>
        <v>44565.059188557796</v>
      </c>
    </row>
    <row r="464" spans="27:29" x14ac:dyDescent="0.3">
      <c r="AA464">
        <f t="shared" si="26"/>
        <v>2081</v>
      </c>
      <c r="AB464">
        <f t="shared" si="27"/>
        <v>71.352254012141131</v>
      </c>
      <c r="AC464">
        <f t="shared" si="28"/>
        <v>44636.411442569937</v>
      </c>
    </row>
    <row r="465" spans="27:29" x14ac:dyDescent="0.3">
      <c r="AA465">
        <f t="shared" si="26"/>
        <v>2082</v>
      </c>
      <c r="AB465">
        <f t="shared" si="27"/>
        <v>71.209692113536107</v>
      </c>
      <c r="AC465">
        <f t="shared" si="28"/>
        <v>44707.621134683475</v>
      </c>
    </row>
    <row r="466" spans="27:29" x14ac:dyDescent="0.3">
      <c r="AA466">
        <f t="shared" si="26"/>
        <v>2083</v>
      </c>
      <c r="AB466">
        <f t="shared" si="27"/>
        <v>71.067415053794406</v>
      </c>
      <c r="AC466">
        <f t="shared" si="28"/>
        <v>44778.688549737271</v>
      </c>
    </row>
    <row r="467" spans="27:29" x14ac:dyDescent="0.3">
      <c r="AA467">
        <f t="shared" si="26"/>
        <v>2084</v>
      </c>
      <c r="AB467">
        <f t="shared" si="27"/>
        <v>70.925422263807747</v>
      </c>
      <c r="AC467">
        <f t="shared" si="28"/>
        <v>44849.613972001076</v>
      </c>
    </row>
    <row r="468" spans="27:29" x14ac:dyDescent="0.3">
      <c r="AA468">
        <f t="shared" si="26"/>
        <v>2085</v>
      </c>
      <c r="AB468">
        <f t="shared" si="27"/>
        <v>70.783713175604717</v>
      </c>
      <c r="AC468">
        <f t="shared" si="28"/>
        <v>44920.397685176678</v>
      </c>
    </row>
    <row r="469" spans="27:29" x14ac:dyDescent="0.3">
      <c r="AA469">
        <f t="shared" si="26"/>
        <v>2086</v>
      </c>
      <c r="AB469">
        <f t="shared" si="27"/>
        <v>70.642287222348756</v>
      </c>
      <c r="AC469">
        <f t="shared" si="28"/>
        <v>44991.039972399027</v>
      </c>
    </row>
    <row r="470" spans="27:29" x14ac:dyDescent="0.3">
      <c r="AA470">
        <f t="shared" si="26"/>
        <v>2087</v>
      </c>
      <c r="AB470">
        <f t="shared" si="27"/>
        <v>70.501143838335821</v>
      </c>
      <c r="AC470">
        <f t="shared" si="28"/>
        <v>45061.541116237364</v>
      </c>
    </row>
    <row r="471" spans="27:29" x14ac:dyDescent="0.3">
      <c r="AA471">
        <f t="shared" si="26"/>
        <v>2088</v>
      </c>
      <c r="AB471">
        <f t="shared" si="27"/>
        <v>70.360282458992302</v>
      </c>
      <c r="AC471">
        <f t="shared" si="28"/>
        <v>45131.901398696355</v>
      </c>
    </row>
    <row r="472" spans="27:29" x14ac:dyDescent="0.3">
      <c r="AA472">
        <f t="shared" si="26"/>
        <v>2089</v>
      </c>
      <c r="AB472">
        <f t="shared" si="27"/>
        <v>70.219702520872431</v>
      </c>
      <c r="AC472">
        <f t="shared" si="28"/>
        <v>45202.121101217228</v>
      </c>
    </row>
    <row r="473" spans="27:29" x14ac:dyDescent="0.3">
      <c r="AA473">
        <f t="shared" si="26"/>
        <v>2090</v>
      </c>
      <c r="AB473">
        <f t="shared" si="27"/>
        <v>70.079403461656256</v>
      </c>
      <c r="AC473">
        <f t="shared" si="28"/>
        <v>45272.200504678884</v>
      </c>
    </row>
    <row r="474" spans="27:29" x14ac:dyDescent="0.3">
      <c r="AA474">
        <f t="shared" si="26"/>
        <v>2091</v>
      </c>
      <c r="AB474">
        <f t="shared" si="27"/>
        <v>69.939384720147316</v>
      </c>
      <c r="AC474">
        <f t="shared" si="28"/>
        <v>45342.139889399034</v>
      </c>
    </row>
    <row r="475" spans="27:29" x14ac:dyDescent="0.3">
      <c r="AA475">
        <f t="shared" si="26"/>
        <v>2092</v>
      </c>
      <c r="AB475">
        <f t="shared" si="27"/>
        <v>69.799645736270577</v>
      </c>
      <c r="AC475">
        <f t="shared" si="28"/>
        <v>45411.939535135301</v>
      </c>
    </row>
    <row r="476" spans="27:29" x14ac:dyDescent="0.3">
      <c r="AA476">
        <f t="shared" si="26"/>
        <v>2093</v>
      </c>
      <c r="AB476">
        <f t="shared" si="27"/>
        <v>69.660185951069835</v>
      </c>
      <c r="AC476">
        <f t="shared" si="28"/>
        <v>45481.599721086372</v>
      </c>
    </row>
    <row r="477" spans="27:29" x14ac:dyDescent="0.3">
      <c r="AA477">
        <f t="shared" si="26"/>
        <v>2094</v>
      </c>
      <c r="AB477">
        <f t="shared" si="27"/>
        <v>69.52100480670579</v>
      </c>
      <c r="AC477">
        <f t="shared" si="28"/>
        <v>45551.120725893081</v>
      </c>
    </row>
    <row r="478" spans="27:29" x14ac:dyDescent="0.3">
      <c r="AA478">
        <f t="shared" si="26"/>
        <v>2095</v>
      </c>
      <c r="AB478">
        <f t="shared" si="27"/>
        <v>69.382101746453614</v>
      </c>
      <c r="AC478">
        <f t="shared" si="28"/>
        <v>45620.502827639531</v>
      </c>
    </row>
    <row r="479" spans="27:29" x14ac:dyDescent="0.3">
      <c r="AA479">
        <f t="shared" si="26"/>
        <v>2096</v>
      </c>
      <c r="AB479">
        <f t="shared" si="27"/>
        <v>69.243476214700976</v>
      </c>
      <c r="AC479">
        <f t="shared" si="28"/>
        <v>45689.746303854234</v>
      </c>
    </row>
    <row r="480" spans="27:29" x14ac:dyDescent="0.3">
      <c r="AA480">
        <f t="shared" si="26"/>
        <v>2097</v>
      </c>
      <c r="AB480">
        <f t="shared" si="27"/>
        <v>69.105127656945527</v>
      </c>
      <c r="AC480">
        <f t="shared" si="28"/>
        <v>45758.851431511182</v>
      </c>
    </row>
    <row r="481" spans="27:29" x14ac:dyDescent="0.3">
      <c r="AA481">
        <f t="shared" si="26"/>
        <v>2098</v>
      </c>
      <c r="AB481">
        <f t="shared" si="27"/>
        <v>68.967055519792851</v>
      </c>
      <c r="AC481">
        <f t="shared" si="28"/>
        <v>45827.818487030978</v>
      </c>
    </row>
    <row r="482" spans="27:29" x14ac:dyDescent="0.3">
      <c r="AA482">
        <f t="shared" si="26"/>
        <v>2099</v>
      </c>
      <c r="AB482">
        <f t="shared" si="27"/>
        <v>68.829259250954138</v>
      </c>
      <c r="AC482">
        <f t="shared" si="28"/>
        <v>45896.647746281931</v>
      </c>
    </row>
    <row r="483" spans="27:29" x14ac:dyDescent="0.3">
      <c r="AA483">
        <f t="shared" si="26"/>
        <v>2100</v>
      </c>
      <c r="AB483">
        <f t="shared" si="27"/>
        <v>68.691738299244264</v>
      </c>
      <c r="AC483">
        <f t="shared" si="28"/>
        <v>45965.339484581178</v>
      </c>
    </row>
    <row r="484" spans="27:29" x14ac:dyDescent="0.3">
      <c r="AA484">
        <f t="shared" si="26"/>
        <v>2101</v>
      </c>
      <c r="AB484">
        <f t="shared" si="27"/>
        <v>68.55449211457919</v>
      </c>
      <c r="AC484">
        <f t="shared" si="28"/>
        <v>46033.893976695756</v>
      </c>
    </row>
    <row r="485" spans="27:29" x14ac:dyDescent="0.3">
      <c r="AA485">
        <f t="shared" si="26"/>
        <v>2102</v>
      </c>
      <c r="AB485">
        <f t="shared" si="27"/>
        <v>68.41752014797396</v>
      </c>
      <c r="AC485">
        <f t="shared" si="28"/>
        <v>46102.311496843729</v>
      </c>
    </row>
    <row r="486" spans="27:29" x14ac:dyDescent="0.3">
      <c r="AA486">
        <f t="shared" si="26"/>
        <v>2103</v>
      </c>
      <c r="AB486">
        <f t="shared" si="27"/>
        <v>68.280821851540495</v>
      </c>
      <c r="AC486">
        <f t="shared" si="28"/>
        <v>46170.592318695271</v>
      </c>
    </row>
    <row r="487" spans="27:29" x14ac:dyDescent="0.3">
      <c r="AA487">
        <f t="shared" si="26"/>
        <v>2104</v>
      </c>
      <c r="AB487">
        <f t="shared" si="27"/>
        <v>68.144396678485535</v>
      </c>
      <c r="AC487">
        <f t="shared" si="28"/>
        <v>46238.736715373758</v>
      </c>
    </row>
    <row r="488" spans="27:29" x14ac:dyDescent="0.3">
      <c r="AA488">
        <f t="shared" si="26"/>
        <v>2105</v>
      </c>
      <c r="AB488">
        <f t="shared" si="27"/>
        <v>68.008244083108167</v>
      </c>
      <c r="AC488">
        <f t="shared" si="28"/>
        <v>46306.744959456868</v>
      </c>
    </row>
    <row r="489" spans="27:29" x14ac:dyDescent="0.3">
      <c r="AA489">
        <f t="shared" si="26"/>
        <v>2106</v>
      </c>
      <c r="AB489">
        <f t="shared" si="27"/>
        <v>67.872363520797791</v>
      </c>
      <c r="AC489">
        <f t="shared" si="28"/>
        <v>46374.617322977669</v>
      </c>
    </row>
    <row r="490" spans="27:29" x14ac:dyDescent="0.3">
      <c r="AA490">
        <f t="shared" si="26"/>
        <v>2107</v>
      </c>
      <c r="AB490">
        <f t="shared" si="27"/>
        <v>67.736754448031931</v>
      </c>
      <c r="AC490">
        <f t="shared" si="28"/>
        <v>46442.354077425698</v>
      </c>
    </row>
    <row r="491" spans="27:29" x14ac:dyDescent="0.3">
      <c r="AA491">
        <f t="shared" si="26"/>
        <v>2108</v>
      </c>
      <c r="AB491">
        <f t="shared" si="27"/>
        <v>67.601416322374249</v>
      </c>
      <c r="AC491">
        <f t="shared" si="28"/>
        <v>46509.955493748072</v>
      </c>
    </row>
    <row r="492" spans="27:29" x14ac:dyDescent="0.3">
      <c r="AA492">
        <f t="shared" si="26"/>
        <v>2109</v>
      </c>
      <c r="AB492">
        <f t="shared" si="27"/>
        <v>67.466348602471982</v>
      </c>
      <c r="AC492">
        <f t="shared" si="28"/>
        <v>46577.421842350544</v>
      </c>
    </row>
    <row r="493" spans="27:29" x14ac:dyDescent="0.3">
      <c r="AA493">
        <f t="shared" si="26"/>
        <v>2110</v>
      </c>
      <c r="AB493">
        <f t="shared" si="27"/>
        <v>67.331550748054099</v>
      </c>
      <c r="AC493">
        <f t="shared" si="28"/>
        <v>46644.753393098596</v>
      </c>
    </row>
    <row r="494" spans="27:29" x14ac:dyDescent="0.3">
      <c r="AA494">
        <f t="shared" si="26"/>
        <v>2111</v>
      </c>
      <c r="AB494">
        <f t="shared" si="27"/>
        <v>67.197022219928897</v>
      </c>
      <c r="AC494">
        <f t="shared" si="28"/>
        <v>46711.950415318526</v>
      </c>
    </row>
    <row r="495" spans="27:29" x14ac:dyDescent="0.3">
      <c r="AA495">
        <f t="shared" si="26"/>
        <v>2112</v>
      </c>
      <c r="AB495">
        <f t="shared" si="27"/>
        <v>67.062762479982254</v>
      </c>
      <c r="AC495">
        <f t="shared" si="28"/>
        <v>46779.013177798508</v>
      </c>
    </row>
    <row r="496" spans="27:29" x14ac:dyDescent="0.3">
      <c r="AA496">
        <f t="shared" si="26"/>
        <v>2113</v>
      </c>
      <c r="AB496">
        <f t="shared" si="27"/>
        <v>66.928770991174929</v>
      </c>
      <c r="AC496">
        <f t="shared" si="28"/>
        <v>46845.941948789681</v>
      </c>
    </row>
    <row r="497" spans="27:29" x14ac:dyDescent="0.3">
      <c r="AA497">
        <f t="shared" si="26"/>
        <v>2114</v>
      </c>
      <c r="AB497">
        <f t="shared" si="27"/>
        <v>66.795047217540812</v>
      </c>
      <c r="AC497">
        <f t="shared" si="28"/>
        <v>46912.736996007225</v>
      </c>
    </row>
    <row r="498" spans="27:29" x14ac:dyDescent="0.3">
      <c r="AA498">
        <f t="shared" si="26"/>
        <v>2115</v>
      </c>
      <c r="AB498">
        <f t="shared" si="27"/>
        <v>66.661590624184583</v>
      </c>
      <c r="AC498">
        <f t="shared" si="28"/>
        <v>46979.398586631411</v>
      </c>
    </row>
    <row r="499" spans="27:29" x14ac:dyDescent="0.3">
      <c r="AA499">
        <f t="shared" si="26"/>
        <v>2116</v>
      </c>
      <c r="AB499">
        <f t="shared" si="27"/>
        <v>66.528400677279777</v>
      </c>
      <c r="AC499">
        <f t="shared" si="28"/>
        <v>47045.926987308689</v>
      </c>
    </row>
    <row r="500" spans="27:29" x14ac:dyDescent="0.3">
      <c r="AA500">
        <f t="shared" si="26"/>
        <v>2117</v>
      </c>
      <c r="AB500">
        <f t="shared" si="27"/>
        <v>66.39547684406638</v>
      </c>
      <c r="AC500">
        <f t="shared" si="28"/>
        <v>47112.322464152756</v>
      </c>
    </row>
    <row r="501" spans="27:29" x14ac:dyDescent="0.3">
      <c r="AA501">
        <f t="shared" si="26"/>
        <v>2118</v>
      </c>
      <c r="AB501">
        <f t="shared" si="27"/>
        <v>66.262818592848902</v>
      </c>
      <c r="AC501">
        <f t="shared" si="28"/>
        <v>47178.585282745604</v>
      </c>
    </row>
    <row r="502" spans="27:29" x14ac:dyDescent="0.3">
      <c r="AA502">
        <f t="shared" si="26"/>
        <v>2119</v>
      </c>
      <c r="AB502">
        <f t="shared" si="27"/>
        <v>66.13042539299407</v>
      </c>
      <c r="AC502">
        <f t="shared" si="28"/>
        <v>47244.715708138596</v>
      </c>
    </row>
    <row r="503" spans="27:29" x14ac:dyDescent="0.3">
      <c r="AA503">
        <f t="shared" si="26"/>
        <v>2120</v>
      </c>
      <c r="AB503">
        <f t="shared" si="27"/>
        <v>65.998296714929054</v>
      </c>
      <c r="AC503">
        <f t="shared" si="28"/>
        <v>47310.714004853522</v>
      </c>
    </row>
    <row r="504" spans="27:29" x14ac:dyDescent="0.3">
      <c r="AA504">
        <f t="shared" si="26"/>
        <v>2121</v>
      </c>
      <c r="AB504">
        <f t="shared" si="27"/>
        <v>65.866432030138895</v>
      </c>
      <c r="AC504">
        <f t="shared" si="28"/>
        <v>47376.580436883662</v>
      </c>
    </row>
    <row r="505" spans="27:29" x14ac:dyDescent="0.3">
      <c r="AA505">
        <f t="shared" si="26"/>
        <v>2122</v>
      </c>
      <c r="AB505">
        <f t="shared" si="27"/>
        <v>65.73483081116467</v>
      </c>
      <c r="AC505">
        <f t="shared" si="28"/>
        <v>47442.315267694823</v>
      </c>
    </row>
    <row r="506" spans="27:29" x14ac:dyDescent="0.3">
      <c r="AA506">
        <f t="shared" si="26"/>
        <v>2123</v>
      </c>
      <c r="AB506">
        <f t="shared" si="27"/>
        <v>65.60349253160129</v>
      </c>
      <c r="AC506">
        <f t="shared" si="28"/>
        <v>47507.918760226421</v>
      </c>
    </row>
    <row r="507" spans="27:29" x14ac:dyDescent="0.3">
      <c r="AA507">
        <f t="shared" si="26"/>
        <v>2124</v>
      </c>
      <c r="AB507">
        <f t="shared" si="27"/>
        <v>65.472416666095569</v>
      </c>
      <c r="AC507">
        <f t="shared" si="28"/>
        <v>47573.391176892517</v>
      </c>
    </row>
    <row r="508" spans="27:29" x14ac:dyDescent="0.3">
      <c r="AA508">
        <f t="shared" ref="AA508:AA571" si="29">AA507+1</f>
        <v>2125</v>
      </c>
      <c r="AB508">
        <f t="shared" si="27"/>
        <v>65.341602690343791</v>
      </c>
      <c r="AC508">
        <f t="shared" si="28"/>
        <v>47638.732779582861</v>
      </c>
    </row>
    <row r="509" spans="27:29" x14ac:dyDescent="0.3">
      <c r="AA509">
        <f t="shared" si="29"/>
        <v>2126</v>
      </c>
      <c r="AB509">
        <f t="shared" si="27"/>
        <v>65.211050081089908</v>
      </c>
      <c r="AC509">
        <f t="shared" si="28"/>
        <v>47703.943829663949</v>
      </c>
    </row>
    <row r="510" spans="27:29" x14ac:dyDescent="0.3">
      <c r="AA510">
        <f t="shared" si="29"/>
        <v>2127</v>
      </c>
      <c r="AB510">
        <f t="shared" si="27"/>
        <v>65.080758316123237</v>
      </c>
      <c r="AC510">
        <f t="shared" si="28"/>
        <v>47769.024587980071</v>
      </c>
    </row>
    <row r="511" spans="27:29" x14ac:dyDescent="0.3">
      <c r="AA511">
        <f t="shared" si="29"/>
        <v>2128</v>
      </c>
      <c r="AB511">
        <f t="shared" si="27"/>
        <v>64.950726874276668</v>
      </c>
      <c r="AC511">
        <f t="shared" si="28"/>
        <v>47833.975314854346</v>
      </c>
    </row>
    <row r="512" spans="27:29" x14ac:dyDescent="0.3">
      <c r="AA512">
        <f t="shared" si="29"/>
        <v>2129</v>
      </c>
      <c r="AB512">
        <f t="shared" si="27"/>
        <v>64.820955235424179</v>
      </c>
      <c r="AC512">
        <f t="shared" si="28"/>
        <v>47898.79627008977</v>
      </c>
    </row>
    <row r="513" spans="27:29" x14ac:dyDescent="0.3">
      <c r="AA513">
        <f t="shared" si="29"/>
        <v>2130</v>
      </c>
      <c r="AB513">
        <f t="shared" si="27"/>
        <v>64.691442880479073</v>
      </c>
      <c r="AC513">
        <f t="shared" si="28"/>
        <v>47963.487712970251</v>
      </c>
    </row>
    <row r="514" spans="27:29" x14ac:dyDescent="0.3">
      <c r="AA514">
        <f t="shared" si="29"/>
        <v>2131</v>
      </c>
      <c r="AB514">
        <f t="shared" si="27"/>
        <v>64.562189291391689</v>
      </c>
      <c r="AC514">
        <f t="shared" si="28"/>
        <v>48028.049902261642</v>
      </c>
    </row>
    <row r="515" spans="27:29" x14ac:dyDescent="0.3">
      <c r="AA515">
        <f t="shared" si="29"/>
        <v>2132</v>
      </c>
      <c r="AB515">
        <f t="shared" si="27"/>
        <v>64.433193951147601</v>
      </c>
      <c r="AC515">
        <f t="shared" si="28"/>
        <v>48092.483096212789</v>
      </c>
    </row>
    <row r="516" spans="27:29" x14ac:dyDescent="0.3">
      <c r="AA516">
        <f t="shared" si="29"/>
        <v>2133</v>
      </c>
      <c r="AB516">
        <f t="shared" ref="AB516:AB579" si="30" xml:space="preserve"> 4580.8*EXP(-0.002*AA516)</f>
        <v>64.304456343765239</v>
      </c>
      <c r="AC516">
        <f t="shared" si="28"/>
        <v>48156.787552556554</v>
      </c>
    </row>
    <row r="517" spans="27:29" x14ac:dyDescent="0.3">
      <c r="AA517">
        <f t="shared" si="29"/>
        <v>2134</v>
      </c>
      <c r="AB517">
        <f t="shared" si="30"/>
        <v>64.175975954293989</v>
      </c>
      <c r="AC517">
        <f t="shared" ref="AC517:AC580" si="31">AC516+AB517</f>
        <v>48220.963528510845</v>
      </c>
    </row>
    <row r="518" spans="27:29" x14ac:dyDescent="0.3">
      <c r="AA518">
        <f t="shared" si="29"/>
        <v>2135</v>
      </c>
      <c r="AB518">
        <f t="shared" si="30"/>
        <v>64.047752268812076</v>
      </c>
      <c r="AC518">
        <f t="shared" si="31"/>
        <v>48285.011280779654</v>
      </c>
    </row>
    <row r="519" spans="27:29" x14ac:dyDescent="0.3">
      <c r="AA519">
        <f t="shared" si="29"/>
        <v>2136</v>
      </c>
      <c r="AB519">
        <f t="shared" si="30"/>
        <v>63.91978477442467</v>
      </c>
      <c r="AC519">
        <f t="shared" si="31"/>
        <v>48348.931065554076</v>
      </c>
    </row>
    <row r="520" spans="27:29" x14ac:dyDescent="0.3">
      <c r="AA520">
        <f t="shared" si="29"/>
        <v>2137</v>
      </c>
      <c r="AB520">
        <f t="shared" si="30"/>
        <v>63.792072959261603</v>
      </c>
      <c r="AC520">
        <f t="shared" si="31"/>
        <v>48412.723138513335</v>
      </c>
    </row>
    <row r="521" spans="27:29" x14ac:dyDescent="0.3">
      <c r="AA521">
        <f t="shared" si="29"/>
        <v>2138</v>
      </c>
      <c r="AB521">
        <f t="shared" si="30"/>
        <v>63.664616312475431</v>
      </c>
      <c r="AC521">
        <f t="shared" si="31"/>
        <v>48476.38775482581</v>
      </c>
    </row>
    <row r="522" spans="27:29" x14ac:dyDescent="0.3">
      <c r="AA522">
        <f t="shared" si="29"/>
        <v>2139</v>
      </c>
      <c r="AB522">
        <f t="shared" si="30"/>
        <v>63.537414324239329</v>
      </c>
      <c r="AC522">
        <f t="shared" si="31"/>
        <v>48539.925169150047</v>
      </c>
    </row>
    <row r="523" spans="27:29" x14ac:dyDescent="0.3">
      <c r="AA523">
        <f t="shared" si="29"/>
        <v>2140</v>
      </c>
      <c r="AB523">
        <f t="shared" si="30"/>
        <v>63.410466485745303</v>
      </c>
      <c r="AC523">
        <f t="shared" si="31"/>
        <v>48603.335635635791</v>
      </c>
    </row>
    <row r="524" spans="27:29" x14ac:dyDescent="0.3">
      <c r="AA524">
        <f t="shared" si="29"/>
        <v>2141</v>
      </c>
      <c r="AB524">
        <f t="shared" si="30"/>
        <v>63.283772289201764</v>
      </c>
      <c r="AC524">
        <f t="shared" si="31"/>
        <v>48666.619407924991</v>
      </c>
    </row>
    <row r="525" spans="27:29" x14ac:dyDescent="0.3">
      <c r="AA525">
        <f t="shared" si="29"/>
        <v>2142</v>
      </c>
      <c r="AB525">
        <f t="shared" si="30"/>
        <v>63.157331227831769</v>
      </c>
      <c r="AC525">
        <f t="shared" si="31"/>
        <v>48729.776739152825</v>
      </c>
    </row>
    <row r="526" spans="27:29" x14ac:dyDescent="0.3">
      <c r="AA526">
        <f t="shared" si="29"/>
        <v>2143</v>
      </c>
      <c r="AB526">
        <f t="shared" si="30"/>
        <v>63.031142795870828</v>
      </c>
      <c r="AC526">
        <f t="shared" si="31"/>
        <v>48792.807881948698</v>
      </c>
    </row>
    <row r="527" spans="27:29" x14ac:dyDescent="0.3">
      <c r="AA527">
        <f t="shared" si="29"/>
        <v>2144</v>
      </c>
      <c r="AB527">
        <f t="shared" si="30"/>
        <v>62.90520648856517</v>
      </c>
      <c r="AC527">
        <f t="shared" si="31"/>
        <v>48855.71308843726</v>
      </c>
    </row>
    <row r="528" spans="27:29" x14ac:dyDescent="0.3">
      <c r="AA528">
        <f t="shared" si="29"/>
        <v>2145</v>
      </c>
      <c r="AB528">
        <f t="shared" si="30"/>
        <v>62.779521802169342</v>
      </c>
      <c r="AC528">
        <f t="shared" si="31"/>
        <v>48918.492610239431</v>
      </c>
    </row>
    <row r="529" spans="27:29" x14ac:dyDescent="0.3">
      <c r="AA529">
        <f t="shared" si="29"/>
        <v>2146</v>
      </c>
      <c r="AB529">
        <f t="shared" si="30"/>
        <v>62.654088233944428</v>
      </c>
      <c r="AC529">
        <f t="shared" si="31"/>
        <v>48981.146698473378</v>
      </c>
    </row>
    <row r="530" spans="27:29" x14ac:dyDescent="0.3">
      <c r="AA530">
        <f t="shared" si="29"/>
        <v>2147</v>
      </c>
      <c r="AB530">
        <f t="shared" si="30"/>
        <v>62.528905282155939</v>
      </c>
      <c r="AC530">
        <f t="shared" si="31"/>
        <v>49043.675603755531</v>
      </c>
    </row>
    <row r="531" spans="27:29" x14ac:dyDescent="0.3">
      <c r="AA531">
        <f t="shared" si="29"/>
        <v>2148</v>
      </c>
      <c r="AB531">
        <f t="shared" si="30"/>
        <v>62.403972446071997</v>
      </c>
      <c r="AC531">
        <f t="shared" si="31"/>
        <v>49106.079576201606</v>
      </c>
    </row>
    <row r="532" spans="27:29" x14ac:dyDescent="0.3">
      <c r="AA532">
        <f t="shared" si="29"/>
        <v>2149</v>
      </c>
      <c r="AB532">
        <f t="shared" si="30"/>
        <v>62.279289225961044</v>
      </c>
      <c r="AC532">
        <f t="shared" si="31"/>
        <v>49168.358865427566</v>
      </c>
    </row>
    <row r="533" spans="27:29" x14ac:dyDescent="0.3">
      <c r="AA533">
        <f t="shared" si="29"/>
        <v>2150</v>
      </c>
      <c r="AB533">
        <f t="shared" si="30"/>
        <v>62.154855123090037</v>
      </c>
      <c r="AC533">
        <f t="shared" si="31"/>
        <v>49230.513720550654</v>
      </c>
    </row>
    <row r="534" spans="27:29" x14ac:dyDescent="0.3">
      <c r="AA534">
        <f t="shared" si="29"/>
        <v>2151</v>
      </c>
      <c r="AB534">
        <f t="shared" si="30"/>
        <v>62.030669639722348</v>
      </c>
      <c r="AC534">
        <f t="shared" si="31"/>
        <v>49292.544390190378</v>
      </c>
    </row>
    <row r="535" spans="27:29" x14ac:dyDescent="0.3">
      <c r="AA535">
        <f t="shared" si="29"/>
        <v>2152</v>
      </c>
      <c r="AB535">
        <f t="shared" si="30"/>
        <v>61.906732279115971</v>
      </c>
      <c r="AC535">
        <f t="shared" si="31"/>
        <v>49354.451122469494</v>
      </c>
    </row>
    <row r="536" spans="27:29" x14ac:dyDescent="0.3">
      <c r="AA536">
        <f t="shared" si="29"/>
        <v>2153</v>
      </c>
      <c r="AB536">
        <f t="shared" si="30"/>
        <v>61.783042545521255</v>
      </c>
      <c r="AC536">
        <f t="shared" si="31"/>
        <v>49416.234165015012</v>
      </c>
    </row>
    <row r="537" spans="27:29" x14ac:dyDescent="0.3">
      <c r="AA537">
        <f t="shared" si="29"/>
        <v>2154</v>
      </c>
      <c r="AB537">
        <f t="shared" si="30"/>
        <v>61.659599944179099</v>
      </c>
      <c r="AC537">
        <f t="shared" si="31"/>
        <v>49477.89376495919</v>
      </c>
    </row>
    <row r="538" spans="27:29" x14ac:dyDescent="0.3">
      <c r="AA538">
        <f t="shared" si="29"/>
        <v>2155</v>
      </c>
      <c r="AB538">
        <f t="shared" si="30"/>
        <v>61.536403981318884</v>
      </c>
      <c r="AC538">
        <f t="shared" si="31"/>
        <v>49539.430168940511</v>
      </c>
    </row>
    <row r="539" spans="27:29" x14ac:dyDescent="0.3">
      <c r="AA539">
        <f t="shared" si="29"/>
        <v>2156</v>
      </c>
      <c r="AB539">
        <f t="shared" si="30"/>
        <v>61.41345416415669</v>
      </c>
      <c r="AC539">
        <f t="shared" si="31"/>
        <v>49600.843623104665</v>
      </c>
    </row>
    <row r="540" spans="27:29" x14ac:dyDescent="0.3">
      <c r="AA540">
        <f t="shared" si="29"/>
        <v>2157</v>
      </c>
      <c r="AB540">
        <f t="shared" si="30"/>
        <v>61.290750000893034</v>
      </c>
      <c r="AC540">
        <f t="shared" si="31"/>
        <v>49662.13437310556</v>
      </c>
    </row>
    <row r="541" spans="27:29" x14ac:dyDescent="0.3">
      <c r="AA541">
        <f t="shared" si="29"/>
        <v>2158</v>
      </c>
      <c r="AB541">
        <f t="shared" si="30"/>
        <v>61.168291000711108</v>
      </c>
      <c r="AC541">
        <f t="shared" si="31"/>
        <v>49723.302664106268</v>
      </c>
    </row>
    <row r="542" spans="27:29" x14ac:dyDescent="0.3">
      <c r="AA542">
        <f t="shared" si="29"/>
        <v>2159</v>
      </c>
      <c r="AB542">
        <f t="shared" si="30"/>
        <v>61.046076673774692</v>
      </c>
      <c r="AC542">
        <f t="shared" si="31"/>
        <v>49784.348740780042</v>
      </c>
    </row>
    <row r="543" spans="27:29" x14ac:dyDescent="0.3">
      <c r="AA543">
        <f t="shared" si="29"/>
        <v>2160</v>
      </c>
      <c r="AB543">
        <f t="shared" si="30"/>
        <v>60.924106531226414</v>
      </c>
      <c r="AC543">
        <f t="shared" si="31"/>
        <v>49845.272847311266</v>
      </c>
    </row>
    <row r="544" spans="27:29" x14ac:dyDescent="0.3">
      <c r="AA544">
        <f t="shared" si="29"/>
        <v>2161</v>
      </c>
      <c r="AB544">
        <f t="shared" si="30"/>
        <v>60.802380085185497</v>
      </c>
      <c r="AC544">
        <f t="shared" si="31"/>
        <v>49906.075227396454</v>
      </c>
    </row>
    <row r="545" spans="27:29" x14ac:dyDescent="0.3">
      <c r="AA545">
        <f t="shared" si="29"/>
        <v>2162</v>
      </c>
      <c r="AB545">
        <f t="shared" si="30"/>
        <v>60.680896848745988</v>
      </c>
      <c r="AC545">
        <f t="shared" si="31"/>
        <v>49966.756124245199</v>
      </c>
    </row>
    <row r="546" spans="27:29" x14ac:dyDescent="0.3">
      <c r="AA546">
        <f t="shared" si="29"/>
        <v>2163</v>
      </c>
      <c r="AB546">
        <f t="shared" si="30"/>
        <v>60.559656335974729</v>
      </c>
      <c r="AC546">
        <f t="shared" si="31"/>
        <v>50027.315780581172</v>
      </c>
    </row>
    <row r="547" spans="27:29" x14ac:dyDescent="0.3">
      <c r="AA547">
        <f t="shared" si="29"/>
        <v>2164</v>
      </c>
      <c r="AB547">
        <f t="shared" si="30"/>
        <v>60.438658061909614</v>
      </c>
      <c r="AC547">
        <f t="shared" si="31"/>
        <v>50087.754438643082</v>
      </c>
    </row>
    <row r="548" spans="27:29" x14ac:dyDescent="0.3">
      <c r="AA548">
        <f t="shared" si="29"/>
        <v>2165</v>
      </c>
      <c r="AB548">
        <f t="shared" si="30"/>
        <v>60.317901542557323</v>
      </c>
      <c r="AC548">
        <f t="shared" si="31"/>
        <v>50148.072340185638</v>
      </c>
    </row>
    <row r="549" spans="27:29" x14ac:dyDescent="0.3">
      <c r="AA549">
        <f t="shared" si="29"/>
        <v>2166</v>
      </c>
      <c r="AB549">
        <f t="shared" si="30"/>
        <v>60.197386294891636</v>
      </c>
      <c r="AC549">
        <f t="shared" si="31"/>
        <v>50208.269726480532</v>
      </c>
    </row>
    <row r="550" spans="27:29" x14ac:dyDescent="0.3">
      <c r="AA550">
        <f t="shared" si="29"/>
        <v>2167</v>
      </c>
      <c r="AB550">
        <f t="shared" si="30"/>
        <v>60.077111836851337</v>
      </c>
      <c r="AC550">
        <f t="shared" si="31"/>
        <v>50268.346838317382</v>
      </c>
    </row>
    <row r="551" spans="27:29" x14ac:dyDescent="0.3">
      <c r="AA551">
        <f t="shared" si="29"/>
        <v>2168</v>
      </c>
      <c r="AB551">
        <f t="shared" si="30"/>
        <v>59.957077687338547</v>
      </c>
      <c r="AC551">
        <f t="shared" si="31"/>
        <v>50328.303916004719</v>
      </c>
    </row>
    <row r="552" spans="27:29" x14ac:dyDescent="0.3">
      <c r="AA552">
        <f t="shared" si="29"/>
        <v>2169</v>
      </c>
      <c r="AB552">
        <f t="shared" si="30"/>
        <v>59.83728336621644</v>
      </c>
      <c r="AC552">
        <f t="shared" si="31"/>
        <v>50388.141199370933</v>
      </c>
    </row>
    <row r="553" spans="27:29" x14ac:dyDescent="0.3">
      <c r="AA553">
        <f t="shared" si="29"/>
        <v>2170</v>
      </c>
      <c r="AB553">
        <f t="shared" si="30"/>
        <v>59.717728394307585</v>
      </c>
      <c r="AC553">
        <f t="shared" si="31"/>
        <v>50447.858927765243</v>
      </c>
    </row>
    <row r="554" spans="27:29" x14ac:dyDescent="0.3">
      <c r="AA554">
        <f t="shared" si="29"/>
        <v>2171</v>
      </c>
      <c r="AB554">
        <f t="shared" si="30"/>
        <v>59.598412293391874</v>
      </c>
      <c r="AC554">
        <f t="shared" si="31"/>
        <v>50507.457340058638</v>
      </c>
    </row>
    <row r="555" spans="27:29" x14ac:dyDescent="0.3">
      <c r="AA555">
        <f t="shared" si="29"/>
        <v>2172</v>
      </c>
      <c r="AB555">
        <f t="shared" si="30"/>
        <v>59.479334586204857</v>
      </c>
      <c r="AC555">
        <f t="shared" si="31"/>
        <v>50566.936674644843</v>
      </c>
    </row>
    <row r="556" spans="27:29" x14ac:dyDescent="0.3">
      <c r="AA556">
        <f t="shared" si="29"/>
        <v>2173</v>
      </c>
      <c r="AB556">
        <f t="shared" si="30"/>
        <v>59.360494796435489</v>
      </c>
      <c r="AC556">
        <f t="shared" si="31"/>
        <v>50626.297169441277</v>
      </c>
    </row>
    <row r="557" spans="27:29" x14ac:dyDescent="0.3">
      <c r="AA557">
        <f t="shared" si="29"/>
        <v>2174</v>
      </c>
      <c r="AB557">
        <f t="shared" si="30"/>
        <v>59.241892448724457</v>
      </c>
      <c r="AC557">
        <f t="shared" si="31"/>
        <v>50685.539061889998</v>
      </c>
    </row>
    <row r="558" spans="27:29" x14ac:dyDescent="0.3">
      <c r="AA558">
        <f t="shared" si="29"/>
        <v>2175</v>
      </c>
      <c r="AB558">
        <f t="shared" si="30"/>
        <v>59.123527068662156</v>
      </c>
      <c r="AC558">
        <f t="shared" si="31"/>
        <v>50744.662588958658</v>
      </c>
    </row>
    <row r="559" spans="27:29" x14ac:dyDescent="0.3">
      <c r="AA559">
        <f t="shared" si="29"/>
        <v>2176</v>
      </c>
      <c r="AB559">
        <f t="shared" si="30"/>
        <v>59.005398182787012</v>
      </c>
      <c r="AC559">
        <f t="shared" si="31"/>
        <v>50803.667987141445</v>
      </c>
    </row>
    <row r="560" spans="27:29" x14ac:dyDescent="0.3">
      <c r="AA560">
        <f t="shared" si="29"/>
        <v>2177</v>
      </c>
      <c r="AB560">
        <f t="shared" si="30"/>
        <v>58.887505318583273</v>
      </c>
      <c r="AC560">
        <f t="shared" si="31"/>
        <v>50862.555492460029</v>
      </c>
    </row>
    <row r="561" spans="27:29" x14ac:dyDescent="0.3">
      <c r="AA561">
        <f t="shared" si="29"/>
        <v>2178</v>
      </c>
      <c r="AB561">
        <f t="shared" si="30"/>
        <v>58.769848004479321</v>
      </c>
      <c r="AC561">
        <f t="shared" si="31"/>
        <v>50921.325340464507</v>
      </c>
    </row>
    <row r="562" spans="27:29" x14ac:dyDescent="0.3">
      <c r="AA562">
        <f t="shared" si="29"/>
        <v>2179</v>
      </c>
      <c r="AB562">
        <f t="shared" si="30"/>
        <v>58.652425769845749</v>
      </c>
      <c r="AC562">
        <f t="shared" si="31"/>
        <v>50979.977766234355</v>
      </c>
    </row>
    <row r="563" spans="27:29" x14ac:dyDescent="0.3">
      <c r="AA563">
        <f t="shared" si="29"/>
        <v>2180</v>
      </c>
      <c r="AB563">
        <f t="shared" si="30"/>
        <v>58.535238144993414</v>
      </c>
      <c r="AC563">
        <f t="shared" si="31"/>
        <v>51038.513004379347</v>
      </c>
    </row>
    <row r="564" spans="27:29" x14ac:dyDescent="0.3">
      <c r="AA564">
        <f t="shared" si="29"/>
        <v>2181</v>
      </c>
      <c r="AB564">
        <f t="shared" si="30"/>
        <v>58.418284661171761</v>
      </c>
      <c r="AC564">
        <f t="shared" si="31"/>
        <v>51096.93128904052</v>
      </c>
    </row>
    <row r="565" spans="27:29" x14ac:dyDescent="0.3">
      <c r="AA565">
        <f t="shared" si="29"/>
        <v>2182</v>
      </c>
      <c r="AB565">
        <f t="shared" si="30"/>
        <v>58.301564850566628</v>
      </c>
      <c r="AC565">
        <f t="shared" si="31"/>
        <v>51155.232853891088</v>
      </c>
    </row>
    <row r="566" spans="27:29" x14ac:dyDescent="0.3">
      <c r="AA566">
        <f t="shared" si="29"/>
        <v>2183</v>
      </c>
      <c r="AB566">
        <f t="shared" si="30"/>
        <v>58.185078246298644</v>
      </c>
      <c r="AC566">
        <f t="shared" si="31"/>
        <v>51213.417932137389</v>
      </c>
    </row>
    <row r="567" spans="27:29" x14ac:dyDescent="0.3">
      <c r="AA567">
        <f t="shared" si="29"/>
        <v>2184</v>
      </c>
      <c r="AB567">
        <f t="shared" si="30"/>
        <v>58.06882438242117</v>
      </c>
      <c r="AC567">
        <f t="shared" si="31"/>
        <v>51271.486756519807</v>
      </c>
    </row>
    <row r="568" spans="27:29" x14ac:dyDescent="0.3">
      <c r="AA568">
        <f t="shared" si="29"/>
        <v>2185</v>
      </c>
      <c r="AB568">
        <f t="shared" si="30"/>
        <v>57.952802793918707</v>
      </c>
      <c r="AC568">
        <f t="shared" si="31"/>
        <v>51329.439559313723</v>
      </c>
    </row>
    <row r="569" spans="27:29" x14ac:dyDescent="0.3">
      <c r="AA569">
        <f t="shared" si="29"/>
        <v>2186</v>
      </c>
      <c r="AB569">
        <f t="shared" si="30"/>
        <v>57.837013016704688</v>
      </c>
      <c r="AC569">
        <f t="shared" si="31"/>
        <v>51387.276572330426</v>
      </c>
    </row>
    <row r="570" spans="27:29" x14ac:dyDescent="0.3">
      <c r="AA570">
        <f t="shared" si="29"/>
        <v>2187</v>
      </c>
      <c r="AB570">
        <f t="shared" si="30"/>
        <v>57.721454587619846</v>
      </c>
      <c r="AC570">
        <f t="shared" si="31"/>
        <v>51444.998026918045</v>
      </c>
    </row>
    <row r="571" spans="27:29" x14ac:dyDescent="0.3">
      <c r="AA571">
        <f t="shared" si="29"/>
        <v>2188</v>
      </c>
      <c r="AB571">
        <f t="shared" si="30"/>
        <v>57.606127044430266</v>
      </c>
      <c r="AC571">
        <f t="shared" si="31"/>
        <v>51502.604153962478</v>
      </c>
    </row>
    <row r="572" spans="27:29" x14ac:dyDescent="0.3">
      <c r="AA572">
        <f t="shared" ref="AA572:AA635" si="32">AA571+1</f>
        <v>2189</v>
      </c>
      <c r="AB572">
        <f t="shared" si="30"/>
        <v>57.491029925825728</v>
      </c>
      <c r="AC572">
        <f t="shared" si="31"/>
        <v>51560.095183888305</v>
      </c>
    </row>
    <row r="573" spans="27:29" x14ac:dyDescent="0.3">
      <c r="AA573">
        <f t="shared" si="32"/>
        <v>2190</v>
      </c>
      <c r="AB573">
        <f t="shared" si="30"/>
        <v>57.376162771417548</v>
      </c>
      <c r="AC573">
        <f t="shared" si="31"/>
        <v>51617.471346659724</v>
      </c>
    </row>
    <row r="574" spans="27:29" x14ac:dyDescent="0.3">
      <c r="AA574">
        <f t="shared" si="32"/>
        <v>2191</v>
      </c>
      <c r="AB574">
        <f t="shared" si="30"/>
        <v>57.261525121736952</v>
      </c>
      <c r="AC574">
        <f t="shared" si="31"/>
        <v>51674.73287178146</v>
      </c>
    </row>
    <row r="575" spans="27:29" x14ac:dyDescent="0.3">
      <c r="AA575">
        <f t="shared" si="32"/>
        <v>2192</v>
      </c>
      <c r="AB575">
        <f t="shared" si="30"/>
        <v>57.14711651823314</v>
      </c>
      <c r="AC575">
        <f t="shared" si="31"/>
        <v>51731.87998829969</v>
      </c>
    </row>
    <row r="576" spans="27:29" x14ac:dyDescent="0.3">
      <c r="AA576">
        <f t="shared" si="32"/>
        <v>2193</v>
      </c>
      <c r="AB576">
        <f t="shared" si="30"/>
        <v>57.03293650327165</v>
      </c>
      <c r="AC576">
        <f t="shared" si="31"/>
        <v>51788.912924802964</v>
      </c>
    </row>
    <row r="577" spans="27:29" x14ac:dyDescent="0.3">
      <c r="AA577">
        <f t="shared" si="32"/>
        <v>2194</v>
      </c>
      <c r="AB577">
        <f t="shared" si="30"/>
        <v>56.918984620132221</v>
      </c>
      <c r="AC577">
        <f t="shared" si="31"/>
        <v>51845.831909423097</v>
      </c>
    </row>
    <row r="578" spans="27:29" x14ac:dyDescent="0.3">
      <c r="AA578">
        <f t="shared" si="32"/>
        <v>2195</v>
      </c>
      <c r="AB578">
        <f t="shared" si="30"/>
        <v>56.805260413007154</v>
      </c>
      <c r="AC578">
        <f t="shared" si="31"/>
        <v>51902.637169836104</v>
      </c>
    </row>
    <row r="579" spans="27:29" x14ac:dyDescent="0.3">
      <c r="AA579">
        <f t="shared" si="32"/>
        <v>2196</v>
      </c>
      <c r="AB579">
        <f t="shared" si="30"/>
        <v>56.691763426999444</v>
      </c>
      <c r="AC579">
        <f t="shared" si="31"/>
        <v>51959.328933263103</v>
      </c>
    </row>
    <row r="580" spans="27:29" x14ac:dyDescent="0.3">
      <c r="AA580">
        <f t="shared" si="32"/>
        <v>2197</v>
      </c>
      <c r="AB580">
        <f t="shared" ref="AB580:AB641" si="33" xml:space="preserve"> 4580.8*EXP(-0.002*AA580)</f>
        <v>56.578493208121067</v>
      </c>
      <c r="AC580">
        <f t="shared" si="31"/>
        <v>52015.907426471225</v>
      </c>
    </row>
    <row r="581" spans="27:29" x14ac:dyDescent="0.3">
      <c r="AA581">
        <f t="shared" si="32"/>
        <v>2198</v>
      </c>
      <c r="AB581">
        <f t="shared" si="33"/>
        <v>56.465449303290967</v>
      </c>
      <c r="AC581">
        <f t="shared" ref="AC581:AC641" si="34">AC580+AB581</f>
        <v>52072.372875774519</v>
      </c>
    </row>
    <row r="582" spans="27:29" x14ac:dyDescent="0.3">
      <c r="AA582">
        <f t="shared" si="32"/>
        <v>2199</v>
      </c>
      <c r="AB582">
        <f t="shared" si="33"/>
        <v>56.352631260333368</v>
      </c>
      <c r="AC582">
        <f t="shared" si="34"/>
        <v>52128.725507034855</v>
      </c>
    </row>
    <row r="583" spans="27:29" x14ac:dyDescent="0.3">
      <c r="AA583">
        <f t="shared" si="32"/>
        <v>2200</v>
      </c>
      <c r="AB583">
        <f t="shared" si="33"/>
        <v>56.240038627975892</v>
      </c>
      <c r="AC583">
        <f t="shared" si="34"/>
        <v>52184.965545662832</v>
      </c>
    </row>
    <row r="584" spans="27:29" x14ac:dyDescent="0.3">
      <c r="AA584">
        <f t="shared" si="32"/>
        <v>2201</v>
      </c>
      <c r="AB584">
        <f t="shared" si="33"/>
        <v>56.127670955847975</v>
      </c>
      <c r="AC584">
        <f t="shared" si="34"/>
        <v>52241.093216618683</v>
      </c>
    </row>
    <row r="585" spans="27:29" x14ac:dyDescent="0.3">
      <c r="AA585">
        <f t="shared" si="32"/>
        <v>2202</v>
      </c>
      <c r="AB585">
        <f t="shared" si="33"/>
        <v>56.015527794478714</v>
      </c>
      <c r="AC585">
        <f t="shared" si="34"/>
        <v>52297.108744413163</v>
      </c>
    </row>
    <row r="586" spans="27:29" x14ac:dyDescent="0.3">
      <c r="AA586">
        <f t="shared" si="32"/>
        <v>2203</v>
      </c>
      <c r="AB586">
        <f t="shared" si="33"/>
        <v>55.903608695295311</v>
      </c>
      <c r="AC586">
        <f t="shared" si="34"/>
        <v>52353.012353108461</v>
      </c>
    </row>
    <row r="587" spans="27:29" x14ac:dyDescent="0.3">
      <c r="AA587">
        <f t="shared" si="32"/>
        <v>2204</v>
      </c>
      <c r="AB587">
        <f t="shared" si="33"/>
        <v>55.791913210621182</v>
      </c>
      <c r="AC587">
        <f t="shared" si="34"/>
        <v>52408.804266319079</v>
      </c>
    </row>
    <row r="588" spans="27:29" x14ac:dyDescent="0.3">
      <c r="AA588">
        <f t="shared" si="32"/>
        <v>2205</v>
      </c>
      <c r="AB588">
        <f t="shared" si="33"/>
        <v>55.680440893674337</v>
      </c>
      <c r="AC588">
        <f t="shared" si="34"/>
        <v>52464.484707212752</v>
      </c>
    </row>
    <row r="589" spans="27:29" x14ac:dyDescent="0.3">
      <c r="AA589">
        <f t="shared" si="32"/>
        <v>2206</v>
      </c>
      <c r="AB589">
        <f t="shared" si="33"/>
        <v>55.569191298565308</v>
      </c>
      <c r="AC589">
        <f t="shared" si="34"/>
        <v>52520.053898511316</v>
      </c>
    </row>
    <row r="590" spans="27:29" x14ac:dyDescent="0.3">
      <c r="AA590">
        <f t="shared" si="32"/>
        <v>2207</v>
      </c>
      <c r="AB590">
        <f t="shared" si="33"/>
        <v>55.458163980295566</v>
      </c>
      <c r="AC590">
        <f t="shared" si="34"/>
        <v>52575.512062491609</v>
      </c>
    </row>
    <row r="591" spans="27:29" x14ac:dyDescent="0.3">
      <c r="AA591">
        <f t="shared" si="32"/>
        <v>2208</v>
      </c>
      <c r="AB591">
        <f t="shared" si="33"/>
        <v>55.347358494755632</v>
      </c>
      <c r="AC591">
        <f t="shared" si="34"/>
        <v>52630.859420986366</v>
      </c>
    </row>
    <row r="592" spans="27:29" x14ac:dyDescent="0.3">
      <c r="AA592">
        <f t="shared" si="32"/>
        <v>2209</v>
      </c>
      <c r="AB592">
        <f t="shared" si="33"/>
        <v>55.236774398723526</v>
      </c>
      <c r="AC592">
        <f t="shared" si="34"/>
        <v>52686.096195385093</v>
      </c>
    </row>
    <row r="593" spans="27:29" x14ac:dyDescent="0.3">
      <c r="AA593">
        <f t="shared" si="32"/>
        <v>2210</v>
      </c>
      <c r="AB593">
        <f t="shared" si="33"/>
        <v>55.12641124986267</v>
      </c>
      <c r="AC593">
        <f t="shared" si="34"/>
        <v>52741.222606634954</v>
      </c>
    </row>
    <row r="594" spans="27:29" x14ac:dyDescent="0.3">
      <c r="AA594">
        <f t="shared" si="32"/>
        <v>2211</v>
      </c>
      <c r="AB594">
        <f t="shared" si="33"/>
        <v>55.01626860672031</v>
      </c>
      <c r="AC594">
        <f t="shared" si="34"/>
        <v>52796.238875241674</v>
      </c>
    </row>
    <row r="595" spans="27:29" x14ac:dyDescent="0.3">
      <c r="AA595">
        <f t="shared" si="32"/>
        <v>2212</v>
      </c>
      <c r="AB595">
        <f t="shared" si="33"/>
        <v>54.906346028725679</v>
      </c>
      <c r="AC595">
        <f t="shared" si="34"/>
        <v>52851.145221270403</v>
      </c>
    </row>
    <row r="596" spans="27:29" x14ac:dyDescent="0.3">
      <c r="AA596">
        <f t="shared" si="32"/>
        <v>2213</v>
      </c>
      <c r="AB596">
        <f t="shared" si="33"/>
        <v>54.796643076188431</v>
      </c>
      <c r="AC596">
        <f t="shared" si="34"/>
        <v>52905.941864346591</v>
      </c>
    </row>
    <row r="597" spans="27:29" x14ac:dyDescent="0.3">
      <c r="AA597">
        <f t="shared" si="32"/>
        <v>2214</v>
      </c>
      <c r="AB597">
        <f t="shared" si="33"/>
        <v>54.687159310296543</v>
      </c>
      <c r="AC597">
        <f t="shared" si="34"/>
        <v>52960.629023656889</v>
      </c>
    </row>
    <row r="598" spans="27:29" x14ac:dyDescent="0.3">
      <c r="AA598">
        <f t="shared" si="32"/>
        <v>2215</v>
      </c>
      <c r="AB598">
        <f t="shared" si="33"/>
        <v>54.577894293114817</v>
      </c>
      <c r="AC598">
        <f t="shared" si="34"/>
        <v>53015.206917950003</v>
      </c>
    </row>
    <row r="599" spans="27:29" x14ac:dyDescent="0.3">
      <c r="AA599">
        <f t="shared" si="32"/>
        <v>2216</v>
      </c>
      <c r="AB599">
        <f t="shared" si="33"/>
        <v>54.468847587582978</v>
      </c>
      <c r="AC599">
        <f t="shared" si="34"/>
        <v>53069.675765537584</v>
      </c>
    </row>
    <row r="600" spans="27:29" x14ac:dyDescent="0.3">
      <c r="AA600">
        <f t="shared" si="32"/>
        <v>2217</v>
      </c>
      <c r="AB600">
        <f t="shared" si="33"/>
        <v>54.360018757514169</v>
      </c>
      <c r="AC600">
        <f t="shared" si="34"/>
        <v>53124.035784295098</v>
      </c>
    </row>
    <row r="601" spans="27:29" x14ac:dyDescent="0.3">
      <c r="AA601">
        <f t="shared" si="32"/>
        <v>2218</v>
      </c>
      <c r="AB601">
        <f t="shared" si="33"/>
        <v>54.251407367592869</v>
      </c>
      <c r="AC601">
        <f t="shared" si="34"/>
        <v>53178.28719166269</v>
      </c>
    </row>
    <row r="602" spans="27:29" x14ac:dyDescent="0.3">
      <c r="AA602">
        <f t="shared" si="32"/>
        <v>2219</v>
      </c>
      <c r="AB602">
        <f t="shared" si="33"/>
        <v>54.143012983373374</v>
      </c>
      <c r="AC602">
        <f t="shared" si="34"/>
        <v>53232.430204646065</v>
      </c>
    </row>
    <row r="603" spans="27:29" x14ac:dyDescent="0.3">
      <c r="AA603">
        <f t="shared" si="32"/>
        <v>2220</v>
      </c>
      <c r="AB603">
        <f t="shared" si="33"/>
        <v>54.034835171277955</v>
      </c>
      <c r="AC603">
        <f t="shared" si="34"/>
        <v>53286.46503981734</v>
      </c>
    </row>
    <row r="604" spans="27:29" x14ac:dyDescent="0.3">
      <c r="AA604">
        <f t="shared" si="32"/>
        <v>2221</v>
      </c>
      <c r="AB604">
        <f t="shared" si="33"/>
        <v>53.926873498595313</v>
      </c>
      <c r="AC604">
        <f t="shared" si="34"/>
        <v>53340.391913315936</v>
      </c>
    </row>
    <row r="605" spans="27:29" x14ac:dyDescent="0.3">
      <c r="AA605">
        <f t="shared" si="32"/>
        <v>2222</v>
      </c>
      <c r="AB605">
        <f t="shared" si="33"/>
        <v>53.819127533478571</v>
      </c>
      <c r="AC605">
        <f t="shared" si="34"/>
        <v>53394.211040849412</v>
      </c>
    </row>
    <row r="606" spans="27:29" x14ac:dyDescent="0.3">
      <c r="AA606">
        <f t="shared" si="32"/>
        <v>2223</v>
      </c>
      <c r="AB606">
        <f t="shared" si="33"/>
        <v>53.71159684494372</v>
      </c>
      <c r="AC606">
        <f t="shared" si="34"/>
        <v>53447.922637694355</v>
      </c>
    </row>
    <row r="607" spans="27:29" x14ac:dyDescent="0.3">
      <c r="AA607">
        <f t="shared" si="32"/>
        <v>2224</v>
      </c>
      <c r="AB607">
        <f t="shared" si="33"/>
        <v>53.604281002867815</v>
      </c>
      <c r="AC607">
        <f t="shared" si="34"/>
        <v>53501.526918697222</v>
      </c>
    </row>
    <row r="608" spans="27:29" x14ac:dyDescent="0.3">
      <c r="AA608">
        <f t="shared" si="32"/>
        <v>2225</v>
      </c>
      <c r="AB608">
        <f t="shared" si="33"/>
        <v>53.497179577987445</v>
      </c>
      <c r="AC608">
        <f t="shared" si="34"/>
        <v>53555.024098275208</v>
      </c>
    </row>
    <row r="609" spans="27:29" x14ac:dyDescent="0.3">
      <c r="AA609">
        <f t="shared" si="32"/>
        <v>2226</v>
      </c>
      <c r="AB609">
        <f t="shared" si="33"/>
        <v>53.390292141896715</v>
      </c>
      <c r="AC609">
        <f t="shared" si="34"/>
        <v>53608.414390417107</v>
      </c>
    </row>
    <row r="610" spans="27:29" x14ac:dyDescent="0.3">
      <c r="AA610">
        <f t="shared" si="32"/>
        <v>2227</v>
      </c>
      <c r="AB610">
        <f t="shared" si="33"/>
        <v>53.283618267045746</v>
      </c>
      <c r="AC610">
        <f t="shared" si="34"/>
        <v>53661.69800868415</v>
      </c>
    </row>
    <row r="611" spans="27:29" x14ac:dyDescent="0.3">
      <c r="AA611">
        <f t="shared" si="32"/>
        <v>2228</v>
      </c>
      <c r="AB611">
        <f t="shared" si="33"/>
        <v>53.177157526738839</v>
      </c>
      <c r="AC611">
        <f t="shared" si="34"/>
        <v>53714.875166210892</v>
      </c>
    </row>
    <row r="612" spans="27:29" x14ac:dyDescent="0.3">
      <c r="AA612">
        <f t="shared" si="32"/>
        <v>2229</v>
      </c>
      <c r="AB612">
        <f t="shared" si="33"/>
        <v>53.070909495132987</v>
      </c>
      <c r="AC612">
        <f t="shared" si="34"/>
        <v>53767.946075706022</v>
      </c>
    </row>
    <row r="613" spans="27:29" x14ac:dyDescent="0.3">
      <c r="AA613">
        <f t="shared" si="32"/>
        <v>2230</v>
      </c>
      <c r="AB613">
        <f t="shared" si="33"/>
        <v>52.96487374723587</v>
      </c>
      <c r="AC613">
        <f t="shared" si="34"/>
        <v>53820.91094945326</v>
      </c>
    </row>
    <row r="614" spans="27:29" x14ac:dyDescent="0.3">
      <c r="AA614">
        <f t="shared" si="32"/>
        <v>2231</v>
      </c>
      <c r="AB614">
        <f t="shared" si="33"/>
        <v>52.85904985890437</v>
      </c>
      <c r="AC614">
        <f t="shared" si="34"/>
        <v>53873.769999312164</v>
      </c>
    </row>
    <row r="615" spans="27:29" x14ac:dyDescent="0.3">
      <c r="AA615">
        <f t="shared" si="32"/>
        <v>2232</v>
      </c>
      <c r="AB615">
        <f t="shared" si="33"/>
        <v>52.753437406842735</v>
      </c>
      <c r="AC615">
        <f t="shared" si="34"/>
        <v>53926.523436719006</v>
      </c>
    </row>
    <row r="616" spans="27:29" x14ac:dyDescent="0.3">
      <c r="AA616">
        <f t="shared" si="32"/>
        <v>2233</v>
      </c>
      <c r="AB616">
        <f t="shared" si="33"/>
        <v>52.648035968601114</v>
      </c>
      <c r="AC616">
        <f t="shared" si="34"/>
        <v>53979.171472687609</v>
      </c>
    </row>
    <row r="617" spans="27:29" x14ac:dyDescent="0.3">
      <c r="AA617">
        <f t="shared" si="32"/>
        <v>2234</v>
      </c>
      <c r="AB617">
        <f t="shared" si="33"/>
        <v>52.542845122573567</v>
      </c>
      <c r="AC617">
        <f t="shared" si="34"/>
        <v>54031.714317810183</v>
      </c>
    </row>
    <row r="618" spans="27:29" x14ac:dyDescent="0.3">
      <c r="AA618">
        <f t="shared" si="32"/>
        <v>2235</v>
      </c>
      <c r="AB618">
        <f t="shared" si="33"/>
        <v>52.43786444799656</v>
      </c>
      <c r="AC618">
        <f t="shared" si="34"/>
        <v>54084.152182258178</v>
      </c>
    </row>
    <row r="619" spans="27:29" x14ac:dyDescent="0.3">
      <c r="AA619">
        <f t="shared" si="32"/>
        <v>2236</v>
      </c>
      <c r="AB619">
        <f t="shared" si="33"/>
        <v>52.333093524947216</v>
      </c>
      <c r="AC619">
        <f t="shared" si="34"/>
        <v>54136.485275783125</v>
      </c>
    </row>
    <row r="620" spans="27:29" x14ac:dyDescent="0.3">
      <c r="AA620">
        <f t="shared" si="32"/>
        <v>2237</v>
      </c>
      <c r="AB620">
        <f t="shared" si="33"/>
        <v>52.22853193434181</v>
      </c>
      <c r="AC620">
        <f t="shared" si="34"/>
        <v>54188.713807717468</v>
      </c>
    </row>
    <row r="621" spans="27:29" x14ac:dyDescent="0.3">
      <c r="AA621">
        <f t="shared" si="32"/>
        <v>2238</v>
      </c>
      <c r="AB621">
        <f t="shared" si="33"/>
        <v>52.124179257933768</v>
      </c>
      <c r="AC621">
        <f t="shared" si="34"/>
        <v>54240.837986975399</v>
      </c>
    </row>
    <row r="622" spans="27:29" x14ac:dyDescent="0.3">
      <c r="AA622">
        <f t="shared" si="32"/>
        <v>2239</v>
      </c>
      <c r="AB622">
        <f t="shared" si="33"/>
        <v>52.020035078312254</v>
      </c>
      <c r="AC622">
        <f t="shared" si="34"/>
        <v>54292.858022053711</v>
      </c>
    </row>
    <row r="623" spans="27:29" x14ac:dyDescent="0.3">
      <c r="AA623">
        <f t="shared" si="32"/>
        <v>2240</v>
      </c>
      <c r="AB623">
        <f t="shared" si="33"/>
        <v>51.916098978900372</v>
      </c>
      <c r="AC623">
        <f t="shared" si="34"/>
        <v>54344.774121032613</v>
      </c>
    </row>
    <row r="624" spans="27:29" x14ac:dyDescent="0.3">
      <c r="AA624">
        <f t="shared" si="32"/>
        <v>2241</v>
      </c>
      <c r="AB624">
        <f t="shared" si="33"/>
        <v>51.812370543953669</v>
      </c>
      <c r="AC624">
        <f t="shared" si="34"/>
        <v>54396.586491576563</v>
      </c>
    </row>
    <row r="625" spans="27:29" x14ac:dyDescent="0.3">
      <c r="AA625">
        <f t="shared" si="32"/>
        <v>2242</v>
      </c>
      <c r="AB625">
        <f t="shared" si="33"/>
        <v>51.708849358558226</v>
      </c>
      <c r="AC625">
        <f t="shared" si="34"/>
        <v>54448.295340935125</v>
      </c>
    </row>
    <row r="626" spans="27:29" x14ac:dyDescent="0.3">
      <c r="AA626">
        <f t="shared" si="32"/>
        <v>2243</v>
      </c>
      <c r="AB626">
        <f t="shared" si="33"/>
        <v>51.605535008629168</v>
      </c>
      <c r="AC626">
        <f t="shared" si="34"/>
        <v>54499.900875943757</v>
      </c>
    </row>
    <row r="627" spans="27:29" x14ac:dyDescent="0.3">
      <c r="AA627">
        <f t="shared" si="32"/>
        <v>2244</v>
      </c>
      <c r="AB627">
        <f t="shared" si="33"/>
        <v>51.502427080908909</v>
      </c>
      <c r="AC627">
        <f t="shared" si="34"/>
        <v>54551.403303024665</v>
      </c>
    </row>
    <row r="628" spans="27:29" x14ac:dyDescent="0.3">
      <c r="AA628">
        <f t="shared" si="32"/>
        <v>2245</v>
      </c>
      <c r="AB628">
        <f t="shared" si="33"/>
        <v>51.399525162965681</v>
      </c>
      <c r="AC628">
        <f t="shared" si="34"/>
        <v>54602.802828187632</v>
      </c>
    </row>
    <row r="629" spans="27:29" x14ac:dyDescent="0.3">
      <c r="AA629">
        <f t="shared" si="32"/>
        <v>2246</v>
      </c>
      <c r="AB629">
        <f t="shared" si="33"/>
        <v>51.296828843191641</v>
      </c>
      <c r="AC629">
        <f t="shared" si="34"/>
        <v>54654.099657030827</v>
      </c>
    </row>
    <row r="630" spans="27:29" x14ac:dyDescent="0.3">
      <c r="AA630">
        <f t="shared" si="32"/>
        <v>2247</v>
      </c>
      <c r="AB630">
        <f t="shared" si="33"/>
        <v>51.194337710801356</v>
      </c>
      <c r="AC630">
        <f t="shared" si="34"/>
        <v>54705.293994741631</v>
      </c>
    </row>
    <row r="631" spans="27:29" x14ac:dyDescent="0.3">
      <c r="AA631">
        <f t="shared" si="32"/>
        <v>2248</v>
      </c>
      <c r="AB631">
        <f t="shared" si="33"/>
        <v>51.092051355830151</v>
      </c>
      <c r="AC631">
        <f t="shared" si="34"/>
        <v>54756.386046097461</v>
      </c>
    </row>
    <row r="632" spans="27:29" x14ac:dyDescent="0.3">
      <c r="AA632">
        <f t="shared" si="32"/>
        <v>2249</v>
      </c>
      <c r="AB632">
        <f t="shared" si="33"/>
        <v>50.989969369132524</v>
      </c>
      <c r="AC632">
        <f t="shared" si="34"/>
        <v>54807.376015466594</v>
      </c>
    </row>
    <row r="633" spans="27:29" x14ac:dyDescent="0.3">
      <c r="AA633">
        <f t="shared" si="32"/>
        <v>2250</v>
      </c>
      <c r="AB633">
        <f t="shared" si="33"/>
        <v>50.888091342380356</v>
      </c>
      <c r="AC633">
        <f t="shared" si="34"/>
        <v>54858.264106808972</v>
      </c>
    </row>
    <row r="634" spans="27:29" x14ac:dyDescent="0.3">
      <c r="AA634">
        <f t="shared" si="32"/>
        <v>2251</v>
      </c>
      <c r="AB634">
        <f t="shared" si="33"/>
        <v>50.786416868061416</v>
      </c>
      <c r="AC634">
        <f t="shared" si="34"/>
        <v>54909.050523677033</v>
      </c>
    </row>
    <row r="635" spans="27:29" x14ac:dyDescent="0.3">
      <c r="AA635">
        <f t="shared" si="32"/>
        <v>2252</v>
      </c>
      <c r="AB635">
        <f t="shared" si="33"/>
        <v>50.684945539477617</v>
      </c>
      <c r="AC635">
        <f t="shared" si="34"/>
        <v>54959.73546921651</v>
      </c>
    </row>
    <row r="636" spans="27:29" x14ac:dyDescent="0.3">
      <c r="AA636">
        <f t="shared" ref="AA636:AA641" si="35">AA635+1</f>
        <v>2253</v>
      </c>
      <c r="AB636">
        <f t="shared" si="33"/>
        <v>50.583676950743602</v>
      </c>
      <c r="AC636">
        <f t="shared" si="34"/>
        <v>55010.319146167254</v>
      </c>
    </row>
    <row r="637" spans="27:29" x14ac:dyDescent="0.3">
      <c r="AA637">
        <f t="shared" si="35"/>
        <v>2254</v>
      </c>
      <c r="AB637">
        <f t="shared" si="33"/>
        <v>50.482610696784832</v>
      </c>
      <c r="AC637">
        <f t="shared" si="34"/>
        <v>55060.801756864035</v>
      </c>
    </row>
    <row r="638" spans="27:29" x14ac:dyDescent="0.3">
      <c r="AA638">
        <f t="shared" si="35"/>
        <v>2255</v>
      </c>
      <c r="AB638">
        <f t="shared" si="33"/>
        <v>50.381746373336163</v>
      </c>
      <c r="AC638">
        <f t="shared" si="34"/>
        <v>55111.183503237371</v>
      </c>
    </row>
    <row r="639" spans="27:29" x14ac:dyDescent="0.3">
      <c r="AA639">
        <f t="shared" si="35"/>
        <v>2256</v>
      </c>
      <c r="AB639">
        <f t="shared" si="33"/>
        <v>50.281083576940112</v>
      </c>
      <c r="AC639">
        <f t="shared" si="34"/>
        <v>55161.464586814312</v>
      </c>
    </row>
    <row r="640" spans="27:29" x14ac:dyDescent="0.3">
      <c r="AA640">
        <f t="shared" si="35"/>
        <v>2257</v>
      </c>
      <c r="AB640">
        <f t="shared" si="33"/>
        <v>50.180621904945461</v>
      </c>
      <c r="AC640">
        <f t="shared" si="34"/>
        <v>55211.645208719259</v>
      </c>
    </row>
    <row r="641" spans="27:29" x14ac:dyDescent="0.3">
      <c r="AA641">
        <f t="shared" si="35"/>
        <v>2258</v>
      </c>
      <c r="AB641">
        <f t="shared" si="33"/>
        <v>50.080360955505334</v>
      </c>
      <c r="AC641" s="26">
        <f t="shared" si="34"/>
        <v>55261.725569674767</v>
      </c>
    </row>
    <row r="642" spans="27:29" x14ac:dyDescent="0.3">
      <c r="AA642" s="29" t="s">
        <v>46</v>
      </c>
      <c r="AB642" s="29" t="s">
        <v>45</v>
      </c>
      <c r="AC642" s="29" t="s">
        <v>39</v>
      </c>
    </row>
    <row r="643" spans="27:29" x14ac:dyDescent="0.3">
      <c r="AA643" t="s">
        <v>47</v>
      </c>
    </row>
    <row r="644" spans="27:29" x14ac:dyDescent="0.3">
      <c r="AA644" s="24">
        <f>AA641/30</f>
        <v>75.266666666666666</v>
      </c>
    </row>
    <row r="645" spans="27:29" x14ac:dyDescent="0.3">
      <c r="AA645" s="29" t="s">
        <v>48</v>
      </c>
    </row>
  </sheetData>
  <mergeCells count="4">
    <mergeCell ref="R1:R57"/>
    <mergeCell ref="V1:V58"/>
    <mergeCell ref="W1:Y1"/>
    <mergeCell ref="AA1:AC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D6A94-1EE5-4FE6-8C2D-540DF684A1E9}">
  <dimension ref="A1:F18"/>
  <sheetViews>
    <sheetView workbookViewId="0">
      <selection activeCell="E24" sqref="E24"/>
    </sheetView>
  </sheetViews>
  <sheetFormatPr defaultRowHeight="14.4" x14ac:dyDescent="0.3"/>
  <sheetData>
    <row r="1" spans="1:6" ht="39.6" x14ac:dyDescent="0.3">
      <c r="A1" s="11" t="s">
        <v>0</v>
      </c>
      <c r="B1" s="5" t="s">
        <v>9</v>
      </c>
      <c r="C1" s="5" t="s">
        <v>10</v>
      </c>
      <c r="D1" s="5" t="s">
        <v>11</v>
      </c>
      <c r="E1" s="5" t="s">
        <v>12</v>
      </c>
      <c r="F1" s="5" t="s">
        <v>16</v>
      </c>
    </row>
    <row r="2" spans="1:6" x14ac:dyDescent="0.3">
      <c r="A2" s="6">
        <v>45444</v>
      </c>
      <c r="B2" s="2">
        <v>1426.5660005087602</v>
      </c>
      <c r="C2" s="4">
        <v>1</v>
      </c>
      <c r="D2" s="2">
        <v>299.09382766666664</v>
      </c>
      <c r="E2" s="4">
        <v>1</v>
      </c>
      <c r="F2" s="9">
        <v>1.4265660005087601E-3</v>
      </c>
    </row>
    <row r="3" spans="1:6" x14ac:dyDescent="0.3">
      <c r="A3" s="6">
        <v>45474</v>
      </c>
      <c r="B3" s="2">
        <v>3443.3720002225828</v>
      </c>
      <c r="C3" s="4">
        <v>1</v>
      </c>
      <c r="D3" s="2">
        <v>698.64907119354837</v>
      </c>
      <c r="E3" s="4">
        <v>1</v>
      </c>
      <c r="F3" s="9">
        <v>4.8699380007313428E-3</v>
      </c>
    </row>
    <row r="4" spans="1:6" x14ac:dyDescent="0.3">
      <c r="A4" s="6">
        <v>45505</v>
      </c>
      <c r="B4" s="2">
        <v>3812.5639998092151</v>
      </c>
      <c r="C4" s="4">
        <v>1</v>
      </c>
      <c r="D4" s="2">
        <v>773.55693696774199</v>
      </c>
      <c r="E4" s="4">
        <v>1</v>
      </c>
      <c r="F4" s="9">
        <v>8.6825020005405588E-3</v>
      </c>
    </row>
    <row r="5" spans="1:6" x14ac:dyDescent="0.3">
      <c r="A5" s="6">
        <v>45536</v>
      </c>
      <c r="B5" s="2">
        <v>3755.51599987281</v>
      </c>
      <c r="C5" s="4">
        <v>1</v>
      </c>
      <c r="D5" s="2">
        <v>787.38148453333326</v>
      </c>
      <c r="E5" s="4">
        <v>1</v>
      </c>
      <c r="F5" s="9">
        <v>1.2438018000413369E-2</v>
      </c>
    </row>
    <row r="6" spans="1:6" x14ac:dyDescent="0.3">
      <c r="A6" s="6">
        <v>45566</v>
      </c>
      <c r="B6" s="2">
        <v>4402.9249995230375</v>
      </c>
      <c r="C6" s="4">
        <v>1</v>
      </c>
      <c r="D6" s="2">
        <v>893.33927941935474</v>
      </c>
      <c r="E6" s="4">
        <v>1</v>
      </c>
      <c r="F6" s="9">
        <v>1.6840942999936406E-2</v>
      </c>
    </row>
    <row r="7" spans="1:6" x14ac:dyDescent="0.3">
      <c r="A7" s="6">
        <v>45597</v>
      </c>
      <c r="B7" s="2">
        <v>3738.1530005723557</v>
      </c>
      <c r="C7" s="4">
        <v>1</v>
      </c>
      <c r="D7" s="2">
        <v>783.74115810000001</v>
      </c>
      <c r="E7" s="4">
        <v>1</v>
      </c>
      <c r="F7" s="9">
        <v>2.0579096000508761E-2</v>
      </c>
    </row>
    <row r="8" spans="1:6" x14ac:dyDescent="0.3">
      <c r="A8" s="6">
        <v>45627</v>
      </c>
      <c r="B8" s="2">
        <v>3305.9990001271899</v>
      </c>
      <c r="C8" s="4">
        <v>1</v>
      </c>
      <c r="D8" s="2">
        <v>670.77653261290322</v>
      </c>
      <c r="E8" s="4">
        <v>1</v>
      </c>
      <c r="F8" s="9">
        <v>2.3885095000635952E-2</v>
      </c>
    </row>
    <row r="9" spans="1:6" x14ac:dyDescent="0.3">
      <c r="A9" s="6">
        <v>45658</v>
      </c>
      <c r="B9" s="2">
        <v>3406.1829997774175</v>
      </c>
      <c r="C9" s="4">
        <v>1</v>
      </c>
      <c r="D9" s="2">
        <v>691.10354296774199</v>
      </c>
      <c r="E9" s="4">
        <v>1</v>
      </c>
      <c r="F9" s="9">
        <v>2.7291278000413369E-2</v>
      </c>
    </row>
    <row r="10" spans="1:6" x14ac:dyDescent="0.3">
      <c r="A10" s="6">
        <v>45689</v>
      </c>
      <c r="B10" s="2">
        <v>3487.5580002543807</v>
      </c>
      <c r="C10" s="4">
        <v>1</v>
      </c>
      <c r="D10" s="2">
        <v>783.43008250000003</v>
      </c>
      <c r="E10" s="4">
        <v>1</v>
      </c>
      <c r="F10" s="9">
        <v>3.0778836000667751E-2</v>
      </c>
    </row>
    <row r="11" spans="1:6" x14ac:dyDescent="0.3">
      <c r="A11" s="6">
        <v>45717</v>
      </c>
      <c r="B11" s="2">
        <v>3765.0750001589881</v>
      </c>
      <c r="C11" s="4">
        <v>1</v>
      </c>
      <c r="D11" s="2">
        <v>763.92157212903226</v>
      </c>
      <c r="E11" s="4">
        <v>1</v>
      </c>
      <c r="F11" s="9">
        <v>3.4543911000826738E-2</v>
      </c>
    </row>
    <row r="12" spans="1:6" x14ac:dyDescent="0.3">
      <c r="A12" s="6">
        <v>45748</v>
      </c>
      <c r="B12" s="2">
        <v>3833.9629996184303</v>
      </c>
      <c r="C12" s="4">
        <v>1</v>
      </c>
      <c r="D12" s="2">
        <v>803.82868250000001</v>
      </c>
      <c r="E12" s="4">
        <v>1</v>
      </c>
      <c r="F12" s="9">
        <v>3.8377874000445171E-2</v>
      </c>
    </row>
    <row r="13" spans="1:6" x14ac:dyDescent="0.3">
      <c r="A13" s="6">
        <v>45778</v>
      </c>
      <c r="B13" s="2">
        <v>268.84000000000003</v>
      </c>
      <c r="C13" s="4">
        <v>1</v>
      </c>
      <c r="D13" s="2">
        <v>54.546768774193552</v>
      </c>
      <c r="E13" s="4">
        <v>1</v>
      </c>
      <c r="F13" s="9">
        <v>3.864671400044517E-2</v>
      </c>
    </row>
    <row r="14" spans="1:6" x14ac:dyDescent="0.3">
      <c r="A14" s="6">
        <v>45809</v>
      </c>
      <c r="B14" s="2">
        <v>4030.9390001271904</v>
      </c>
      <c r="C14" s="4">
        <v>1</v>
      </c>
      <c r="D14" s="2">
        <v>845.12667076666673</v>
      </c>
      <c r="E14" s="4">
        <v>1</v>
      </c>
      <c r="F14" s="9">
        <v>4.2677653000572358E-2</v>
      </c>
    </row>
    <row r="15" spans="1:6" x14ac:dyDescent="0.3">
      <c r="A15" s="6">
        <v>45839</v>
      </c>
      <c r="B15" s="2">
        <v>4221.3560001907854</v>
      </c>
      <c r="C15" s="4">
        <v>1</v>
      </c>
      <c r="D15" s="2">
        <v>856.49951516129033</v>
      </c>
      <c r="E15" s="4">
        <v>1</v>
      </c>
      <c r="F15" s="9">
        <v>4.6899009000763145E-2</v>
      </c>
    </row>
    <row r="16" spans="1:6" x14ac:dyDescent="0.3">
      <c r="A16" s="6">
        <v>45870</v>
      </c>
      <c r="B16" s="2">
        <v>4232.9440001271905</v>
      </c>
      <c r="C16" s="4">
        <v>1</v>
      </c>
      <c r="D16" s="2">
        <v>858.85068296774193</v>
      </c>
      <c r="E16" s="4">
        <v>1</v>
      </c>
      <c r="F16" s="9">
        <v>5.1131953000890337E-2</v>
      </c>
    </row>
    <row r="17" spans="1:6" x14ac:dyDescent="0.3">
      <c r="A17" s="6">
        <v>45901</v>
      </c>
      <c r="B17" s="2">
        <v>4346.7399998410128</v>
      </c>
      <c r="C17" s="4">
        <v>1</v>
      </c>
      <c r="D17" s="2">
        <v>911.33750836666673</v>
      </c>
      <c r="E17" s="4">
        <v>1</v>
      </c>
      <c r="F17" s="9">
        <v>5.5478693000731348E-2</v>
      </c>
    </row>
    <row r="18" spans="1:6" x14ac:dyDescent="0.3">
      <c r="A18" s="6">
        <v>45931</v>
      </c>
      <c r="B18" s="2">
        <v>4400.8039999682023</v>
      </c>
      <c r="C18" s="4">
        <v>1</v>
      </c>
      <c r="D18" s="2">
        <v>892.90893545161293</v>
      </c>
      <c r="E18" s="4">
        <v>1</v>
      </c>
      <c r="F18" s="9">
        <v>5.9879497000699548E-2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C98B3-82A6-4477-86C4-39BF9E026E92}">
  <dimension ref="A1:AB1828"/>
  <sheetViews>
    <sheetView topLeftCell="N28" zoomScaleNormal="100" workbookViewId="0">
      <selection activeCell="Y1479" sqref="Y1479"/>
    </sheetView>
  </sheetViews>
  <sheetFormatPr defaultRowHeight="14.4" x14ac:dyDescent="0.3"/>
  <cols>
    <col min="2" max="6" width="9" bestFit="1" customWidth="1"/>
    <col min="7" max="7" width="11.33203125" bestFit="1" customWidth="1"/>
    <col min="8" max="11" width="9" bestFit="1" customWidth="1"/>
    <col min="12" max="13" width="9.109375" bestFit="1" customWidth="1"/>
    <col min="14" max="15" width="9" bestFit="1" customWidth="1"/>
    <col min="17" max="17" width="9" bestFit="1" customWidth="1"/>
    <col min="18" max="18" width="12.6640625" bestFit="1" customWidth="1"/>
    <col min="19" max="19" width="13.21875" bestFit="1" customWidth="1"/>
    <col min="21" max="21" width="17" customWidth="1"/>
    <col min="22" max="22" width="21.109375" customWidth="1"/>
    <col min="23" max="23" width="21.5546875" customWidth="1"/>
    <col min="25" max="25" width="17.109375" customWidth="1"/>
    <col min="26" max="26" width="40.6640625" customWidth="1"/>
    <col min="27" max="27" width="19" customWidth="1"/>
    <col min="28" max="28" width="18.109375" customWidth="1"/>
  </cols>
  <sheetData>
    <row r="1" spans="1:28" ht="52.8" x14ac:dyDescent="0.3">
      <c r="A1" s="11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10</v>
      </c>
      <c r="K1" s="5" t="s">
        <v>12</v>
      </c>
      <c r="L1" s="5" t="s">
        <v>13</v>
      </c>
      <c r="M1" s="5" t="s">
        <v>14</v>
      </c>
      <c r="N1" s="5" t="s">
        <v>17</v>
      </c>
      <c r="O1" s="5" t="s">
        <v>18</v>
      </c>
      <c r="P1" s="76" t="s">
        <v>19</v>
      </c>
      <c r="Q1" s="18" t="s">
        <v>20</v>
      </c>
      <c r="R1" s="18" t="s">
        <v>21</v>
      </c>
      <c r="S1" s="18" t="s">
        <v>22</v>
      </c>
      <c r="T1" s="77" t="s">
        <v>23</v>
      </c>
      <c r="U1" s="57" t="s">
        <v>40</v>
      </c>
      <c r="V1" s="57"/>
      <c r="W1" s="57"/>
      <c r="Y1" s="57" t="s">
        <v>29</v>
      </c>
      <c r="Z1" s="57"/>
      <c r="AA1" s="57"/>
      <c r="AB1" s="57"/>
    </row>
    <row r="2" spans="1:28" x14ac:dyDescent="0.3">
      <c r="A2" s="6">
        <v>44197</v>
      </c>
      <c r="B2" s="2">
        <v>546.46843364516121</v>
      </c>
      <c r="C2" s="2">
        <v>546.38970967741932</v>
      </c>
      <c r="D2" s="2">
        <v>7.8723967741935491E-2</v>
      </c>
      <c r="E2" s="2">
        <v>4454.1612903225805</v>
      </c>
      <c r="F2" s="2">
        <v>16938.080999999998</v>
      </c>
      <c r="G2" s="3">
        <v>2.2673935259999996E-3</v>
      </c>
      <c r="H2" s="2">
        <v>138079</v>
      </c>
      <c r="I2" s="2">
        <v>2.4404430000000001</v>
      </c>
      <c r="J2" s="4">
        <v>1</v>
      </c>
      <c r="K2" s="4">
        <v>1</v>
      </c>
      <c r="L2" s="7">
        <v>2.2673935259999996E-3</v>
      </c>
      <c r="M2" s="8">
        <v>0.13807900000000001</v>
      </c>
      <c r="N2" s="2">
        <v>1.440594971182789E-2</v>
      </c>
      <c r="O2" s="2">
        <v>51.274361847720535</v>
      </c>
      <c r="P2" s="76"/>
      <c r="Q2">
        <f>A2-$A$2</f>
        <v>0</v>
      </c>
      <c r="R2">
        <f>D2/C2</f>
        <v>1.4408025324710635E-4</v>
      </c>
      <c r="T2" s="77"/>
      <c r="U2" s="22" t="s">
        <v>25</v>
      </c>
      <c r="V2" s="22" t="s">
        <v>28</v>
      </c>
      <c r="W2" s="22" t="s">
        <v>41</v>
      </c>
      <c r="Y2" s="22" t="s">
        <v>25</v>
      </c>
      <c r="Z2" s="22" t="s">
        <v>53</v>
      </c>
      <c r="AA2" s="22" t="s">
        <v>28</v>
      </c>
      <c r="AB2" s="22" t="s">
        <v>41</v>
      </c>
    </row>
    <row r="3" spans="1:28" x14ac:dyDescent="0.3">
      <c r="A3" s="6">
        <v>44228</v>
      </c>
      <c r="B3" s="2">
        <v>779.01889503571431</v>
      </c>
      <c r="C3" s="2">
        <v>778.96071428571429</v>
      </c>
      <c r="D3" s="2">
        <v>5.8180750000000003E-2</v>
      </c>
      <c r="E3" s="2">
        <v>7495.3571428571431</v>
      </c>
      <c r="F3" s="2">
        <v>21810.9</v>
      </c>
      <c r="G3" s="3">
        <v>2.9196869120000002E-3</v>
      </c>
      <c r="H3" s="2">
        <v>209870</v>
      </c>
      <c r="I3" s="2">
        <v>1.6290610000000001</v>
      </c>
      <c r="J3" s="4">
        <v>1</v>
      </c>
      <c r="K3" s="4">
        <v>1</v>
      </c>
      <c r="L3" s="7">
        <v>5.1870804379999993E-3</v>
      </c>
      <c r="M3" s="8">
        <v>0.34794900000000001</v>
      </c>
      <c r="N3" s="2">
        <v>7.4684645482613991E-3</v>
      </c>
      <c r="O3" s="2">
        <v>60.522047508355911</v>
      </c>
      <c r="P3" s="76"/>
      <c r="Q3">
        <f t="shared" ref="Q3:Q59" si="0">A3-$A$2</f>
        <v>31</v>
      </c>
      <c r="R3">
        <f t="shared" ref="R3:R59" si="1">D3/C3</f>
        <v>7.4690223695491714E-5</v>
      </c>
      <c r="S3">
        <f>(R4-R2)/(Q4-Q2)</f>
        <v>-1.5771019735055778E-6</v>
      </c>
      <c r="T3" s="77"/>
      <c r="U3">
        <f>Q2/30</f>
        <v>0</v>
      </c>
      <c r="V3" s="21">
        <f>F2</f>
        <v>16938.080999999998</v>
      </c>
      <c r="Y3">
        <f>Q2</f>
        <v>0</v>
      </c>
      <c r="Z3" s="20">
        <f>1016.74887*EXP(-0.00066*Y3)</f>
        <v>1016.74887</v>
      </c>
    </row>
    <row r="4" spans="1:28" x14ac:dyDescent="0.3">
      <c r="A4" s="6">
        <v>44256</v>
      </c>
      <c r="B4" s="2">
        <v>727.63196877419352</v>
      </c>
      <c r="C4" s="2">
        <v>727.59483870967733</v>
      </c>
      <c r="D4" s="2">
        <v>3.7130064516129033E-2</v>
      </c>
      <c r="E4" s="2">
        <v>6190.1290322580644</v>
      </c>
      <c r="F4" s="2">
        <v>22555.439999999999</v>
      </c>
      <c r="G4" s="3">
        <v>3.0193537629999998E-3</v>
      </c>
      <c r="H4" s="2">
        <v>191894</v>
      </c>
      <c r="I4" s="2">
        <v>1.1510320000000001</v>
      </c>
      <c r="J4" s="4">
        <v>1</v>
      </c>
      <c r="K4" s="4">
        <v>1</v>
      </c>
      <c r="L4" s="7">
        <v>8.2064342009999999E-3</v>
      </c>
      <c r="M4" s="8">
        <v>0.53984300000000007</v>
      </c>
      <c r="N4" s="2">
        <v>5.1028632756034984E-3</v>
      </c>
      <c r="O4" s="2">
        <v>53.511475777018759</v>
      </c>
      <c r="P4" s="76"/>
      <c r="Q4">
        <f t="shared" si="0"/>
        <v>59</v>
      </c>
      <c r="R4">
        <f t="shared" si="1"/>
        <v>5.1031236810277259E-5</v>
      </c>
      <c r="S4">
        <f t="shared" ref="S4:S59" si="2">(R5-R3)/(Q5-Q3)</f>
        <v>-1.2659359948388427E-6</v>
      </c>
      <c r="T4" s="77"/>
      <c r="U4">
        <f t="shared" ref="U4:U60" si="3">Q3/30</f>
        <v>1.0333333333333334</v>
      </c>
      <c r="V4" s="21">
        <f>V3+F3</f>
        <v>38748.981</v>
      </c>
      <c r="Y4">
        <f t="shared" ref="Y4:Y60" si="4">Q3</f>
        <v>31</v>
      </c>
      <c r="Z4" s="20">
        <f t="shared" ref="Z4:Z67" si="5">1016.74887*EXP(-0.00066*Y4)</f>
        <v>996.15755557494663</v>
      </c>
    </row>
    <row r="5" spans="1:28" x14ac:dyDescent="0.3">
      <c r="A5" s="6">
        <v>44287</v>
      </c>
      <c r="B5" s="2">
        <v>777.16893333333326</v>
      </c>
      <c r="C5" s="2">
        <v>777.16893333333326</v>
      </c>
      <c r="D5" s="2">
        <v>0</v>
      </c>
      <c r="E5" s="2">
        <v>6464.3666666666668</v>
      </c>
      <c r="F5" s="2">
        <v>23315.067999999999</v>
      </c>
      <c r="G5" s="3">
        <v>3.1206042289999999E-3</v>
      </c>
      <c r="H5" s="2">
        <v>193931</v>
      </c>
      <c r="I5" s="2">
        <v>0</v>
      </c>
      <c r="J5" s="4">
        <v>1</v>
      </c>
      <c r="K5" s="4">
        <v>1</v>
      </c>
      <c r="L5" s="7">
        <v>1.132703843E-2</v>
      </c>
      <c r="M5" s="8">
        <v>0.73377400000000004</v>
      </c>
      <c r="N5" s="2">
        <v>0</v>
      </c>
      <c r="O5" s="2">
        <v>52.317548625635574</v>
      </c>
      <c r="P5" s="76"/>
      <c r="Q5">
        <f t="shared" si="0"/>
        <v>90</v>
      </c>
      <c r="R5">
        <f t="shared" si="1"/>
        <v>0</v>
      </c>
      <c r="S5">
        <f t="shared" si="2"/>
        <v>-8.3657765262749609E-7</v>
      </c>
      <c r="T5" s="77"/>
      <c r="U5">
        <f t="shared" si="3"/>
        <v>1.9666666666666666</v>
      </c>
      <c r="V5" s="21">
        <f t="shared" ref="V5:V59" si="6">V4+F4</f>
        <v>61304.421000000002</v>
      </c>
      <c r="Y5">
        <f t="shared" si="4"/>
        <v>59</v>
      </c>
      <c r="Z5" s="20">
        <f t="shared" si="5"/>
        <v>977.91762004325312</v>
      </c>
    </row>
    <row r="6" spans="1:28" x14ac:dyDescent="0.3">
      <c r="A6" s="6">
        <v>44317</v>
      </c>
      <c r="B6" s="2">
        <v>433.90954838709678</v>
      </c>
      <c r="C6" s="2">
        <v>433.90954838709678</v>
      </c>
      <c r="D6" s="2">
        <v>0</v>
      </c>
      <c r="E6" s="2">
        <v>4688.8064516129034</v>
      </c>
      <c r="F6" s="2">
        <v>13451.196</v>
      </c>
      <c r="G6" s="3">
        <v>1.7997713379999999E-3</v>
      </c>
      <c r="H6" s="2">
        <v>145353</v>
      </c>
      <c r="I6" s="2">
        <v>0</v>
      </c>
      <c r="J6" s="4">
        <v>1</v>
      </c>
      <c r="K6" s="4">
        <v>1</v>
      </c>
      <c r="L6" s="7">
        <v>1.3126809768E-2</v>
      </c>
      <c r="M6" s="8">
        <v>0.87912699999999999</v>
      </c>
      <c r="N6" s="2">
        <v>0</v>
      </c>
      <c r="O6" s="2">
        <v>67.967287027859825</v>
      </c>
      <c r="P6" s="76"/>
      <c r="Q6">
        <f t="shared" si="0"/>
        <v>120</v>
      </c>
      <c r="R6">
        <f t="shared" si="1"/>
        <v>0</v>
      </c>
      <c r="S6">
        <f t="shared" si="2"/>
        <v>0</v>
      </c>
      <c r="T6" s="77"/>
      <c r="U6">
        <f t="shared" si="3"/>
        <v>3</v>
      </c>
      <c r="V6" s="21">
        <f t="shared" si="6"/>
        <v>84619.489000000001</v>
      </c>
      <c r="Y6">
        <f t="shared" si="4"/>
        <v>90</v>
      </c>
      <c r="Z6" s="20">
        <f t="shared" si="5"/>
        <v>958.11272053437972</v>
      </c>
    </row>
    <row r="7" spans="1:28" x14ac:dyDescent="0.3">
      <c r="A7" s="6">
        <v>44348</v>
      </c>
      <c r="B7" s="2">
        <v>452.18009999999998</v>
      </c>
      <c r="C7" s="2">
        <v>452.18009999999998</v>
      </c>
      <c r="D7" s="2">
        <v>0</v>
      </c>
      <c r="E7" s="2">
        <v>5040.5666666666666</v>
      </c>
      <c r="F7" s="2">
        <v>13565.403</v>
      </c>
      <c r="G7" s="3">
        <v>1.8150522430000001E-3</v>
      </c>
      <c r="H7" s="2">
        <v>151217</v>
      </c>
      <c r="I7" s="2">
        <v>0</v>
      </c>
      <c r="J7" s="4">
        <v>1</v>
      </c>
      <c r="K7" s="4">
        <v>1</v>
      </c>
      <c r="L7" s="7">
        <v>1.4941862011E-2</v>
      </c>
      <c r="M7" s="8">
        <v>1.0303439999999999</v>
      </c>
      <c r="N7" s="2">
        <v>0</v>
      </c>
      <c r="O7" s="2">
        <v>70.114001522844546</v>
      </c>
      <c r="P7" s="76"/>
      <c r="Q7">
        <f t="shared" si="0"/>
        <v>151</v>
      </c>
      <c r="R7">
        <f t="shared" si="1"/>
        <v>0</v>
      </c>
      <c r="S7">
        <f t="shared" si="2"/>
        <v>0</v>
      </c>
      <c r="T7" s="77"/>
      <c r="U7">
        <f t="shared" si="3"/>
        <v>4</v>
      </c>
      <c r="V7" s="21">
        <f t="shared" si="6"/>
        <v>98070.684999999998</v>
      </c>
      <c r="Y7">
        <f t="shared" si="4"/>
        <v>120</v>
      </c>
      <c r="Z7" s="20">
        <f t="shared" si="5"/>
        <v>939.32866449370295</v>
      </c>
    </row>
    <row r="8" spans="1:28" x14ac:dyDescent="0.3">
      <c r="A8" s="6">
        <v>44378</v>
      </c>
      <c r="B8" s="2">
        <v>433.78661290322583</v>
      </c>
      <c r="C8" s="2">
        <v>433.78661290322583</v>
      </c>
      <c r="D8" s="2">
        <v>0</v>
      </c>
      <c r="E8" s="2">
        <v>5005.4838709677415</v>
      </c>
      <c r="F8" s="2">
        <v>13447.385</v>
      </c>
      <c r="G8" s="3">
        <v>1.7992614259999999E-3</v>
      </c>
      <c r="H8" s="2">
        <v>155170</v>
      </c>
      <c r="I8" s="2">
        <v>0</v>
      </c>
      <c r="J8" s="4">
        <v>1</v>
      </c>
      <c r="K8" s="4">
        <v>1</v>
      </c>
      <c r="L8" s="7">
        <v>1.6741123436999999E-2</v>
      </c>
      <c r="M8" s="8">
        <v>1.185514</v>
      </c>
      <c r="N8" s="2">
        <v>0</v>
      </c>
      <c r="O8" s="2">
        <v>72.578294292905269</v>
      </c>
      <c r="P8" s="76"/>
      <c r="Q8">
        <f t="shared" si="0"/>
        <v>181</v>
      </c>
      <c r="R8">
        <f t="shared" si="1"/>
        <v>0</v>
      </c>
      <c r="S8">
        <f t="shared" si="2"/>
        <v>0</v>
      </c>
      <c r="T8" s="77"/>
      <c r="U8">
        <f t="shared" si="3"/>
        <v>5.0333333333333332</v>
      </c>
      <c r="V8" s="21">
        <f t="shared" si="6"/>
        <v>111636.088</v>
      </c>
      <c r="Y8">
        <f t="shared" si="4"/>
        <v>151</v>
      </c>
      <c r="Z8" s="20">
        <f t="shared" si="5"/>
        <v>920.30527292695808</v>
      </c>
    </row>
    <row r="9" spans="1:28" x14ac:dyDescent="0.3">
      <c r="A9" s="6">
        <v>44409</v>
      </c>
      <c r="B9" s="2">
        <v>479.70441935483871</v>
      </c>
      <c r="C9" s="2">
        <v>479.70441935483871</v>
      </c>
      <c r="D9" s="2">
        <v>0</v>
      </c>
      <c r="E9" s="2">
        <v>5328.9354838709678</v>
      </c>
      <c r="F9" s="2">
        <v>14870.837</v>
      </c>
      <c r="G9" s="3">
        <v>1.98971944E-3</v>
      </c>
      <c r="H9" s="2">
        <v>165197</v>
      </c>
      <c r="I9" s="2">
        <v>0</v>
      </c>
      <c r="J9" s="4">
        <v>1</v>
      </c>
      <c r="K9" s="4">
        <v>1</v>
      </c>
      <c r="L9" s="7">
        <v>1.8730842876999998E-2</v>
      </c>
      <c r="M9" s="8">
        <v>1.350711</v>
      </c>
      <c r="N9" s="2">
        <v>0</v>
      </c>
      <c r="O9" s="2">
        <v>69.872065076094898</v>
      </c>
      <c r="P9" s="76"/>
      <c r="Q9">
        <f t="shared" si="0"/>
        <v>212</v>
      </c>
      <c r="R9">
        <f t="shared" si="1"/>
        <v>0</v>
      </c>
      <c r="S9">
        <f t="shared" si="2"/>
        <v>0</v>
      </c>
      <c r="T9" s="77"/>
      <c r="U9">
        <f t="shared" si="3"/>
        <v>6.0333333333333332</v>
      </c>
      <c r="V9" s="21">
        <f t="shared" si="6"/>
        <v>125083.473</v>
      </c>
      <c r="Y9">
        <f t="shared" si="4"/>
        <v>181</v>
      </c>
      <c r="Z9" s="20">
        <f t="shared" si="5"/>
        <v>902.26244200457063</v>
      </c>
    </row>
    <row r="10" spans="1:28" x14ac:dyDescent="0.3">
      <c r="A10" s="6">
        <v>44440</v>
      </c>
      <c r="B10" s="2">
        <v>508.07849999999996</v>
      </c>
      <c r="C10" s="2">
        <v>508.07849999999996</v>
      </c>
      <c r="D10" s="2">
        <v>0</v>
      </c>
      <c r="E10" s="2">
        <v>5589</v>
      </c>
      <c r="F10" s="2">
        <v>15242.355</v>
      </c>
      <c r="G10" s="3">
        <v>2.0394285820000001E-3</v>
      </c>
      <c r="H10" s="2">
        <v>167670</v>
      </c>
      <c r="I10" s="2">
        <v>0</v>
      </c>
      <c r="J10" s="4">
        <v>1</v>
      </c>
      <c r="K10" s="4">
        <v>1</v>
      </c>
      <c r="L10" s="7">
        <v>2.0770271458999998E-2</v>
      </c>
      <c r="M10" s="8">
        <v>1.518381</v>
      </c>
      <c r="N10" s="2">
        <v>0</v>
      </c>
      <c r="O10" s="2">
        <v>69.189489813089907</v>
      </c>
      <c r="P10" s="76"/>
      <c r="Q10">
        <f t="shared" si="0"/>
        <v>243</v>
      </c>
      <c r="R10">
        <f t="shared" si="1"/>
        <v>0</v>
      </c>
      <c r="S10">
        <f t="shared" si="2"/>
        <v>0</v>
      </c>
      <c r="T10" s="77"/>
      <c r="U10">
        <f t="shared" si="3"/>
        <v>7.0666666666666664</v>
      </c>
      <c r="V10" s="21">
        <f t="shared" si="6"/>
        <v>139954.31</v>
      </c>
      <c r="Y10">
        <f t="shared" si="4"/>
        <v>212</v>
      </c>
      <c r="Z10" s="20">
        <f t="shared" si="5"/>
        <v>883.98971981582338</v>
      </c>
    </row>
    <row r="11" spans="1:28" x14ac:dyDescent="0.3">
      <c r="A11" s="6">
        <v>44470</v>
      </c>
      <c r="B11" s="2">
        <v>593.54696774193542</v>
      </c>
      <c r="C11" s="2">
        <v>593.54696774193542</v>
      </c>
      <c r="D11" s="2">
        <v>0</v>
      </c>
      <c r="E11" s="2">
        <v>5352.2903225806449</v>
      </c>
      <c r="F11" s="2">
        <v>18399.955999999998</v>
      </c>
      <c r="G11" s="3">
        <v>2.4619159100000001E-3</v>
      </c>
      <c r="H11" s="2">
        <v>165921</v>
      </c>
      <c r="I11" s="2">
        <v>0</v>
      </c>
      <c r="J11" s="4">
        <v>1</v>
      </c>
      <c r="K11" s="4">
        <v>1</v>
      </c>
      <c r="L11" s="7">
        <v>2.3232187368999999E-2</v>
      </c>
      <c r="M11" s="8">
        <v>1.684302</v>
      </c>
      <c r="N11" s="2">
        <v>0</v>
      </c>
      <c r="O11" s="2">
        <v>56.718065293199615</v>
      </c>
      <c r="P11" s="76"/>
      <c r="Q11">
        <f t="shared" si="0"/>
        <v>273</v>
      </c>
      <c r="R11">
        <f t="shared" si="1"/>
        <v>0</v>
      </c>
      <c r="S11">
        <f t="shared" si="2"/>
        <v>0</v>
      </c>
      <c r="T11" s="77"/>
      <c r="U11">
        <f t="shared" si="3"/>
        <v>8.1</v>
      </c>
      <c r="V11" s="21">
        <f t="shared" si="6"/>
        <v>155196.66500000001</v>
      </c>
      <c r="Y11">
        <f t="shared" si="4"/>
        <v>243</v>
      </c>
      <c r="Z11" s="20">
        <f t="shared" si="5"/>
        <v>866.08705888712973</v>
      </c>
    </row>
    <row r="12" spans="1:28" x14ac:dyDescent="0.3">
      <c r="A12" s="6">
        <v>44501</v>
      </c>
      <c r="B12" s="2">
        <v>614.0644666666667</v>
      </c>
      <c r="C12" s="2">
        <v>614.0644666666667</v>
      </c>
      <c r="D12" s="2">
        <v>0</v>
      </c>
      <c r="E12" s="2">
        <v>4176.5666666666666</v>
      </c>
      <c r="F12" s="2">
        <v>18421.934000000001</v>
      </c>
      <c r="G12" s="3">
        <v>2.4648565669999995E-3</v>
      </c>
      <c r="H12" s="2">
        <v>125297</v>
      </c>
      <c r="I12" s="2">
        <v>0</v>
      </c>
      <c r="J12" s="4">
        <v>1</v>
      </c>
      <c r="K12" s="4">
        <v>1</v>
      </c>
      <c r="L12" s="7">
        <v>2.5697043935999999E-2</v>
      </c>
      <c r="M12" s="8">
        <v>1.809599</v>
      </c>
      <c r="N12" s="2">
        <v>0</v>
      </c>
      <c r="O12" s="2">
        <v>42.780148414384719</v>
      </c>
      <c r="P12" s="76"/>
      <c r="Q12">
        <f t="shared" si="0"/>
        <v>304</v>
      </c>
      <c r="R12">
        <f t="shared" si="1"/>
        <v>0</v>
      </c>
      <c r="S12">
        <f t="shared" si="2"/>
        <v>0</v>
      </c>
      <c r="T12" s="77"/>
      <c r="U12">
        <f t="shared" si="3"/>
        <v>9.1</v>
      </c>
      <c r="V12" s="21">
        <f t="shared" si="6"/>
        <v>173596.62100000001</v>
      </c>
      <c r="Y12">
        <f t="shared" si="4"/>
        <v>273</v>
      </c>
      <c r="Z12" s="20">
        <f t="shared" si="5"/>
        <v>849.10719054641174</v>
      </c>
    </row>
    <row r="13" spans="1:28" x14ac:dyDescent="0.3">
      <c r="A13" s="6">
        <v>44531</v>
      </c>
      <c r="B13" s="2">
        <v>590.28361290322584</v>
      </c>
      <c r="C13" s="2">
        <v>590.28361290322584</v>
      </c>
      <c r="D13" s="2">
        <v>0</v>
      </c>
      <c r="E13" s="2">
        <v>4034.5806451612902</v>
      </c>
      <c r="F13" s="2">
        <v>18298.792000000001</v>
      </c>
      <c r="G13" s="3">
        <v>2.4483801549999998E-3</v>
      </c>
      <c r="H13" s="2">
        <v>125072</v>
      </c>
      <c r="I13" s="2">
        <v>0</v>
      </c>
      <c r="J13" s="4">
        <v>1</v>
      </c>
      <c r="K13" s="4">
        <v>1</v>
      </c>
      <c r="L13" s="7">
        <v>2.8145424090999998E-2</v>
      </c>
      <c r="M13" s="8">
        <v>1.934671</v>
      </c>
      <c r="N13" s="2">
        <v>0</v>
      </c>
      <c r="O13" s="2">
        <v>42.990699364198463</v>
      </c>
      <c r="P13" s="76"/>
      <c r="Q13">
        <f t="shared" si="0"/>
        <v>334</v>
      </c>
      <c r="R13">
        <f t="shared" si="1"/>
        <v>0</v>
      </c>
      <c r="S13">
        <f t="shared" si="2"/>
        <v>0</v>
      </c>
      <c r="T13" s="77"/>
      <c r="U13">
        <f t="shared" si="3"/>
        <v>10.133333333333333</v>
      </c>
      <c r="V13" s="21">
        <f t="shared" si="6"/>
        <v>192018.55500000002</v>
      </c>
      <c r="Y13">
        <f t="shared" si="4"/>
        <v>304</v>
      </c>
      <c r="Z13" s="20">
        <f t="shared" si="5"/>
        <v>831.9109745908288</v>
      </c>
    </row>
    <row r="14" spans="1:28" x14ac:dyDescent="0.3">
      <c r="A14" s="6">
        <v>44562</v>
      </c>
      <c r="B14" s="2">
        <v>497.15129032258068</v>
      </c>
      <c r="C14" s="2">
        <v>497.15129032258068</v>
      </c>
      <c r="D14" s="2">
        <v>0</v>
      </c>
      <c r="E14" s="2">
        <v>4001.8709677419356</v>
      </c>
      <c r="F14" s="2">
        <v>15411.69</v>
      </c>
      <c r="G14" s="3">
        <v>2.0620856250000001E-3</v>
      </c>
      <c r="H14" s="2">
        <v>124058</v>
      </c>
      <c r="I14" s="2">
        <v>0</v>
      </c>
      <c r="J14" s="4">
        <v>1</v>
      </c>
      <c r="K14" s="4">
        <v>1</v>
      </c>
      <c r="L14" s="3">
        <v>3.0207509715999999E-2</v>
      </c>
      <c r="M14" s="3">
        <v>2.058729</v>
      </c>
      <c r="N14" s="2">
        <v>0</v>
      </c>
      <c r="O14" s="2">
        <v>50.630398638955228</v>
      </c>
      <c r="P14" s="76"/>
      <c r="Q14">
        <f t="shared" si="0"/>
        <v>365</v>
      </c>
      <c r="R14">
        <f t="shared" si="1"/>
        <v>0</v>
      </c>
      <c r="S14">
        <f t="shared" si="2"/>
        <v>2.6734015382018415E-4</v>
      </c>
      <c r="T14" s="77"/>
      <c r="U14">
        <f t="shared" si="3"/>
        <v>11.133333333333333</v>
      </c>
      <c r="V14" s="21">
        <f t="shared" si="6"/>
        <v>210317.34700000001</v>
      </c>
      <c r="Y14">
        <f t="shared" si="4"/>
        <v>334</v>
      </c>
      <c r="Z14" s="20">
        <f t="shared" si="5"/>
        <v>815.60113751982885</v>
      </c>
    </row>
    <row r="15" spans="1:28" x14ac:dyDescent="0.3">
      <c r="A15" s="6">
        <v>44593</v>
      </c>
      <c r="B15" s="2">
        <v>494.57554428571433</v>
      </c>
      <c r="C15" s="2">
        <v>486.51157142857147</v>
      </c>
      <c r="D15" s="2">
        <v>8.0639728571428559</v>
      </c>
      <c r="E15" s="2">
        <v>3643.3928571428573</v>
      </c>
      <c r="F15" s="2">
        <v>13622.324000000001</v>
      </c>
      <c r="G15" s="3">
        <v>1.8226682789999999E-3</v>
      </c>
      <c r="H15" s="2">
        <v>102015</v>
      </c>
      <c r="I15" s="2">
        <v>225.79123999999999</v>
      </c>
      <c r="J15" s="4">
        <v>1</v>
      </c>
      <c r="K15" s="4">
        <v>1</v>
      </c>
      <c r="L15" s="3">
        <v>3.2030177994999999E-2</v>
      </c>
      <c r="M15" s="3">
        <v>2.1607440000000002</v>
      </c>
      <c r="N15" s="2">
        <v>1.6304835429720179</v>
      </c>
      <c r="O15" s="2">
        <v>47.103118895131253</v>
      </c>
      <c r="P15" s="76"/>
      <c r="Q15">
        <f t="shared" si="0"/>
        <v>396</v>
      </c>
      <c r="R15">
        <f t="shared" si="1"/>
        <v>1.6575089536851419E-2</v>
      </c>
      <c r="S15">
        <f t="shared" si="2"/>
        <v>7.296857764684144E-4</v>
      </c>
      <c r="T15" s="77"/>
      <c r="U15">
        <f t="shared" si="3"/>
        <v>12.166666666666666</v>
      </c>
      <c r="V15" s="21">
        <f t="shared" si="6"/>
        <v>225729.03700000001</v>
      </c>
      <c r="Y15">
        <f t="shared" si="4"/>
        <v>365</v>
      </c>
      <c r="Z15" s="20">
        <f t="shared" si="5"/>
        <v>799.08348998302654</v>
      </c>
    </row>
    <row r="16" spans="1:28" x14ac:dyDescent="0.3">
      <c r="A16" s="6">
        <v>44621</v>
      </c>
      <c r="B16" s="2">
        <v>497.78725867741935</v>
      </c>
      <c r="C16" s="2">
        <v>477.24132258064515</v>
      </c>
      <c r="D16" s="2">
        <v>20.545936096774195</v>
      </c>
      <c r="E16" s="2">
        <v>3946.2580645161293</v>
      </c>
      <c r="F16" s="2">
        <v>14794.481</v>
      </c>
      <c r="G16" s="3">
        <v>1.9795030019999996E-3</v>
      </c>
      <c r="H16" s="2">
        <v>122334</v>
      </c>
      <c r="I16" s="2">
        <v>636.92401900000004</v>
      </c>
      <c r="J16" s="4">
        <v>1</v>
      </c>
      <c r="K16" s="4">
        <v>1</v>
      </c>
      <c r="L16" s="3">
        <v>3.4009680996999997E-2</v>
      </c>
      <c r="M16" s="3">
        <v>2.2830780000000002</v>
      </c>
      <c r="N16" s="2">
        <v>4.1274531918239719</v>
      </c>
      <c r="O16" s="2">
        <v>52.00969153294394</v>
      </c>
      <c r="P16" s="76"/>
      <c r="Q16">
        <f t="shared" si="0"/>
        <v>424</v>
      </c>
      <c r="R16">
        <f t="shared" si="1"/>
        <v>4.3051460811636452E-2</v>
      </c>
      <c r="S16">
        <f t="shared" si="2"/>
        <v>2.1387996069373536E-4</v>
      </c>
      <c r="T16" s="77"/>
      <c r="U16">
        <f t="shared" si="3"/>
        <v>13.2</v>
      </c>
      <c r="V16" s="21">
        <f t="shared" si="6"/>
        <v>239351.361</v>
      </c>
      <c r="Y16">
        <f t="shared" si="4"/>
        <v>396</v>
      </c>
      <c r="Z16" s="20">
        <f t="shared" si="5"/>
        <v>782.90035973365673</v>
      </c>
    </row>
    <row r="17" spans="1:26" x14ac:dyDescent="0.3">
      <c r="A17" s="6">
        <v>44652</v>
      </c>
      <c r="B17" s="2">
        <v>539.18582070000002</v>
      </c>
      <c r="C17" s="2">
        <v>523.89133333333336</v>
      </c>
      <c r="D17" s="2">
        <v>15.294487366666667</v>
      </c>
      <c r="E17" s="2">
        <v>4482.7333333333336</v>
      </c>
      <c r="F17" s="2">
        <v>15716.74</v>
      </c>
      <c r="G17" s="3">
        <v>2.1029013500000002E-3</v>
      </c>
      <c r="H17" s="2">
        <v>134482</v>
      </c>
      <c r="I17" s="2">
        <v>458.83462100000003</v>
      </c>
      <c r="J17" s="4">
        <v>1</v>
      </c>
      <c r="K17" s="4">
        <v>1</v>
      </c>
      <c r="L17" s="3">
        <v>3.6112582346999995E-2</v>
      </c>
      <c r="M17" s="3">
        <v>2.4175599999999999</v>
      </c>
      <c r="N17" s="2">
        <v>2.8365893129033966</v>
      </c>
      <c r="O17" s="2">
        <v>53.819359714546401</v>
      </c>
      <c r="P17" s="76"/>
      <c r="Q17">
        <f t="shared" si="0"/>
        <v>455</v>
      </c>
      <c r="R17">
        <f t="shared" si="1"/>
        <v>2.9194007217781804E-2</v>
      </c>
      <c r="S17">
        <f t="shared" si="2"/>
        <v>-5.953433931155589E-4</v>
      </c>
      <c r="T17" s="77"/>
      <c r="U17">
        <f t="shared" si="3"/>
        <v>14.133333333333333</v>
      </c>
      <c r="V17" s="21">
        <f t="shared" si="6"/>
        <v>254145.842</v>
      </c>
      <c r="Y17">
        <f t="shared" si="4"/>
        <v>424</v>
      </c>
      <c r="Z17" s="20">
        <f t="shared" si="5"/>
        <v>768.56522568848095</v>
      </c>
    </row>
    <row r="18" spans="1:26" x14ac:dyDescent="0.3">
      <c r="A18" s="6">
        <v>44682</v>
      </c>
      <c r="B18" s="2">
        <v>558.33798409677422</v>
      </c>
      <c r="C18" s="2">
        <v>554.60245161290322</v>
      </c>
      <c r="D18" s="2">
        <v>3.7355324838709678</v>
      </c>
      <c r="E18" s="2">
        <v>4762.5483870967746</v>
      </c>
      <c r="F18" s="2">
        <v>17192.675999999999</v>
      </c>
      <c r="G18" s="3">
        <v>2.3003817239999999E-3</v>
      </c>
      <c r="H18" s="2">
        <v>147639</v>
      </c>
      <c r="I18" s="2">
        <v>115.801507</v>
      </c>
      <c r="J18" s="4">
        <v>1</v>
      </c>
      <c r="K18" s="4">
        <v>1</v>
      </c>
      <c r="L18" s="3">
        <v>3.8412964070999998E-2</v>
      </c>
      <c r="M18" s="3">
        <v>2.5651989999999998</v>
      </c>
      <c r="N18" s="2">
        <v>0.66904502116472608</v>
      </c>
      <c r="O18" s="2">
        <v>54.012521506250678</v>
      </c>
      <c r="P18" s="76"/>
      <c r="Q18">
        <f t="shared" si="0"/>
        <v>485</v>
      </c>
      <c r="R18">
        <f t="shared" si="1"/>
        <v>6.7355138315873574E-3</v>
      </c>
      <c r="S18">
        <f t="shared" si="2"/>
        <v>-8.6512931701984635E-5</v>
      </c>
      <c r="T18" s="77"/>
      <c r="U18">
        <f t="shared" si="3"/>
        <v>15.166666666666666</v>
      </c>
      <c r="V18" s="21">
        <f t="shared" si="6"/>
        <v>269862.58199999999</v>
      </c>
      <c r="Y18">
        <f t="shared" si="4"/>
        <v>455</v>
      </c>
      <c r="Z18" s="20">
        <f t="shared" si="5"/>
        <v>753.00015481870594</v>
      </c>
    </row>
    <row r="19" spans="1:26" x14ac:dyDescent="0.3">
      <c r="A19" s="6">
        <v>44713</v>
      </c>
      <c r="B19" s="2">
        <v>516.18679393333332</v>
      </c>
      <c r="C19" s="2">
        <v>504.12966666666665</v>
      </c>
      <c r="D19" s="2">
        <v>12.057127266666667</v>
      </c>
      <c r="E19" s="2">
        <v>4337.7666666666664</v>
      </c>
      <c r="F19" s="2">
        <v>15123.89</v>
      </c>
      <c r="G19" s="3">
        <v>2.023577958E-3</v>
      </c>
      <c r="H19" s="2">
        <v>130133</v>
      </c>
      <c r="I19" s="2">
        <v>361.713818</v>
      </c>
      <c r="J19" s="4">
        <v>1</v>
      </c>
      <c r="K19" s="4">
        <v>1</v>
      </c>
      <c r="L19" s="3">
        <v>4.0436542028999996E-2</v>
      </c>
      <c r="M19" s="3">
        <v>2.6953319999999996</v>
      </c>
      <c r="N19" s="2">
        <v>2.3358070001736371</v>
      </c>
      <c r="O19" s="2">
        <v>54.120371372709002</v>
      </c>
      <c r="P19" s="76"/>
      <c r="Q19">
        <f t="shared" si="0"/>
        <v>516</v>
      </c>
      <c r="R19">
        <f t="shared" si="1"/>
        <v>2.3916718383960742E-2</v>
      </c>
      <c r="S19">
        <f t="shared" si="2"/>
        <v>5.9846346710040581E-4</v>
      </c>
      <c r="T19" s="77"/>
      <c r="U19">
        <f t="shared" si="3"/>
        <v>16.166666666666668</v>
      </c>
      <c r="V19" s="21">
        <f t="shared" si="6"/>
        <v>287055.25799999997</v>
      </c>
      <c r="Y19">
        <f t="shared" si="4"/>
        <v>485</v>
      </c>
      <c r="Z19" s="20">
        <f t="shared" si="5"/>
        <v>738.23738546640675</v>
      </c>
    </row>
    <row r="20" spans="1:26" x14ac:dyDescent="0.3">
      <c r="A20" s="6">
        <v>44743</v>
      </c>
      <c r="B20" s="2">
        <v>489.08820525806453</v>
      </c>
      <c r="C20" s="2">
        <v>468.81577419354841</v>
      </c>
      <c r="D20" s="2">
        <v>20.27243106451613</v>
      </c>
      <c r="E20" s="2">
        <v>3879.4193548387098</v>
      </c>
      <c r="F20" s="2">
        <v>14533.289000000001</v>
      </c>
      <c r="G20" s="3">
        <v>1.9445554850000002E-3</v>
      </c>
      <c r="H20" s="2">
        <v>120262</v>
      </c>
      <c r="I20" s="2">
        <v>628.44536300000004</v>
      </c>
      <c r="J20" s="4">
        <v>1</v>
      </c>
      <c r="K20" s="4">
        <v>1</v>
      </c>
      <c r="L20" s="3">
        <v>4.2381097513999995E-2</v>
      </c>
      <c r="M20" s="3">
        <v>2.8155939999999995</v>
      </c>
      <c r="N20" s="2">
        <v>4.1449437640434406</v>
      </c>
      <c r="O20" s="2">
        <v>52.047676723417524</v>
      </c>
      <c r="P20" s="76"/>
      <c r="Q20">
        <f t="shared" si="0"/>
        <v>546</v>
      </c>
      <c r="R20">
        <f t="shared" si="1"/>
        <v>4.3241785324712116E-2</v>
      </c>
      <c r="S20">
        <f t="shared" si="2"/>
        <v>4.2501481933495435E-4</v>
      </c>
      <c r="T20" s="77"/>
      <c r="U20">
        <f t="shared" si="3"/>
        <v>17.2</v>
      </c>
      <c r="V20" s="21">
        <f t="shared" si="6"/>
        <v>302179.14799999999</v>
      </c>
      <c r="Y20">
        <f t="shared" si="4"/>
        <v>516</v>
      </c>
      <c r="Z20" s="20">
        <f t="shared" si="5"/>
        <v>723.28651748612742</v>
      </c>
    </row>
    <row r="21" spans="1:26" x14ac:dyDescent="0.3">
      <c r="A21" s="6">
        <v>44774</v>
      </c>
      <c r="B21" s="2">
        <v>494.47783935483801</v>
      </c>
      <c r="C21" s="2">
        <v>471.00187096774198</v>
      </c>
      <c r="D21" s="2">
        <v>23.4759683870967</v>
      </c>
      <c r="E21" s="2">
        <v>3842.0645161290299</v>
      </c>
      <c r="F21" s="2">
        <v>14601.058000000001</v>
      </c>
      <c r="G21" s="3">
        <v>1.9536229859999999E-3</v>
      </c>
      <c r="H21" s="2">
        <v>119104</v>
      </c>
      <c r="I21" s="2">
        <v>727.75501999999994</v>
      </c>
      <c r="J21" s="4">
        <v>1</v>
      </c>
      <c r="K21" s="4">
        <v>1</v>
      </c>
      <c r="L21" s="3">
        <v>4.4334720499999994E-2</v>
      </c>
      <c r="M21" s="3">
        <v>2.9346979999999996</v>
      </c>
      <c r="N21" s="2">
        <v>4.747628006489963</v>
      </c>
      <c r="O21" s="2">
        <v>51.307264117435864</v>
      </c>
      <c r="P21" s="76"/>
      <c r="Q21">
        <f t="shared" si="0"/>
        <v>577</v>
      </c>
      <c r="R21">
        <f t="shared" si="1"/>
        <v>4.9842622363392958E-2</v>
      </c>
      <c r="S21">
        <f t="shared" si="2"/>
        <v>4.2140019982951177E-4</v>
      </c>
      <c r="T21" s="77"/>
      <c r="U21">
        <f t="shared" si="3"/>
        <v>18.2</v>
      </c>
      <c r="V21" s="21">
        <f t="shared" si="6"/>
        <v>316712.43699999998</v>
      </c>
      <c r="Y21">
        <f t="shared" si="4"/>
        <v>546</v>
      </c>
      <c r="Z21" s="20">
        <f t="shared" si="5"/>
        <v>709.10629193777254</v>
      </c>
    </row>
    <row r="22" spans="1:26" x14ac:dyDescent="0.3">
      <c r="A22" s="6">
        <v>44805</v>
      </c>
      <c r="B22" s="2">
        <v>539.383175766666</v>
      </c>
      <c r="C22" s="2">
        <v>504.39406666666599</v>
      </c>
      <c r="D22" s="2">
        <v>34.9891091</v>
      </c>
      <c r="E22" s="2">
        <v>3629.9</v>
      </c>
      <c r="F22" s="2">
        <v>15131.822</v>
      </c>
      <c r="G22" s="3">
        <v>2.0246392579999998E-3</v>
      </c>
      <c r="H22" s="2">
        <v>108897</v>
      </c>
      <c r="I22" s="2">
        <v>1049.6732730000001</v>
      </c>
      <c r="J22" s="4">
        <v>1</v>
      </c>
      <c r="K22" s="4">
        <v>1</v>
      </c>
      <c r="L22" s="3">
        <v>4.6359359757999992E-2</v>
      </c>
      <c r="M22" s="3">
        <v>3.0435949999999994</v>
      </c>
      <c r="N22" s="2">
        <v>6.4868743913391995</v>
      </c>
      <c r="O22" s="2">
        <v>45.264896097773281</v>
      </c>
      <c r="P22" s="76"/>
      <c r="Q22">
        <f t="shared" si="0"/>
        <v>608</v>
      </c>
      <c r="R22">
        <f t="shared" si="1"/>
        <v>6.9368597714141847E-2</v>
      </c>
      <c r="S22">
        <f t="shared" si="2"/>
        <v>1.8353476485574396E-4</v>
      </c>
      <c r="T22" s="77"/>
      <c r="U22">
        <f t="shared" si="3"/>
        <v>19.233333333333334</v>
      </c>
      <c r="V22" s="21">
        <f t="shared" si="6"/>
        <v>331313.495</v>
      </c>
      <c r="Y22">
        <f t="shared" si="4"/>
        <v>577</v>
      </c>
      <c r="Z22" s="20">
        <f t="shared" si="5"/>
        <v>694.74539019605299</v>
      </c>
    </row>
    <row r="23" spans="1:26" x14ac:dyDescent="0.3">
      <c r="A23" s="6">
        <v>44835</v>
      </c>
      <c r="B23" s="2">
        <v>543.741848548387</v>
      </c>
      <c r="C23" s="2">
        <v>512.46206451612898</v>
      </c>
      <c r="D23" s="2">
        <v>31.279784032258</v>
      </c>
      <c r="E23" s="2">
        <v>3590.22580645161</v>
      </c>
      <c r="F23" s="2">
        <v>15886.324000000001</v>
      </c>
      <c r="G23" s="3">
        <v>2.1255917019999998E-3</v>
      </c>
      <c r="H23" s="2">
        <v>111297</v>
      </c>
      <c r="I23" s="2">
        <v>969.67330500000003</v>
      </c>
      <c r="J23" s="4">
        <v>1</v>
      </c>
      <c r="K23" s="4">
        <v>1</v>
      </c>
      <c r="L23" s="8">
        <v>4.8484951459999995E-2</v>
      </c>
      <c r="M23" s="3">
        <v>3.1548919999999994</v>
      </c>
      <c r="N23" s="2">
        <v>5.7526901995431947</v>
      </c>
      <c r="O23" s="2">
        <v>44.065314958954623</v>
      </c>
      <c r="P23" s="76"/>
      <c r="Q23">
        <f t="shared" si="0"/>
        <v>638</v>
      </c>
      <c r="R23">
        <f t="shared" si="1"/>
        <v>6.103824301959334E-2</v>
      </c>
      <c r="S23">
        <f t="shared" si="2"/>
        <v>-5.4334230861899824E-4</v>
      </c>
      <c r="T23" s="77"/>
      <c r="U23">
        <f t="shared" si="3"/>
        <v>20.266666666666666</v>
      </c>
      <c r="V23" s="21">
        <f t="shared" si="6"/>
        <v>346445.31699999998</v>
      </c>
      <c r="Y23">
        <f t="shared" si="4"/>
        <v>608</v>
      </c>
      <c r="Z23" s="20">
        <f t="shared" si="5"/>
        <v>680.67532707920554</v>
      </c>
    </row>
    <row r="24" spans="1:26" x14ac:dyDescent="0.3">
      <c r="A24" s="6">
        <v>44866</v>
      </c>
      <c r="B24" s="2">
        <v>474.4379735666667</v>
      </c>
      <c r="C24" s="2">
        <v>457.85239999999999</v>
      </c>
      <c r="D24" s="2">
        <v>16.585573566666667</v>
      </c>
      <c r="E24" s="2">
        <v>3425.9333333333334</v>
      </c>
      <c r="F24" s="2">
        <v>13735.572</v>
      </c>
      <c r="G24" s="3">
        <v>1.8378208770000002E-3</v>
      </c>
      <c r="H24" s="2">
        <v>102778</v>
      </c>
      <c r="I24" s="2">
        <v>497.567207</v>
      </c>
      <c r="J24" s="4">
        <v>1</v>
      </c>
      <c r="K24" s="4">
        <v>1</v>
      </c>
      <c r="L24" s="3">
        <v>5.0322772336999992E-2</v>
      </c>
      <c r="M24" s="3">
        <v>3.2576699999999992</v>
      </c>
      <c r="N24" s="2">
        <v>3.4958360187701354</v>
      </c>
      <c r="O24" s="2">
        <v>47.064153163770683</v>
      </c>
      <c r="P24" s="76"/>
      <c r="Q24">
        <f t="shared" si="0"/>
        <v>669</v>
      </c>
      <c r="R24">
        <f t="shared" si="1"/>
        <v>3.6224716888382955E-2</v>
      </c>
      <c r="S24">
        <f t="shared" si="2"/>
        <v>-9.3069482505440612E-4</v>
      </c>
      <c r="T24" s="77"/>
      <c r="U24">
        <f t="shared" si="3"/>
        <v>21.266666666666666</v>
      </c>
      <c r="V24" s="21">
        <f t="shared" si="6"/>
        <v>362331.641</v>
      </c>
      <c r="Y24">
        <f t="shared" si="4"/>
        <v>638</v>
      </c>
      <c r="Z24" s="20">
        <f t="shared" si="5"/>
        <v>667.33050531102072</v>
      </c>
    </row>
    <row r="25" spans="1:26" x14ac:dyDescent="0.3">
      <c r="A25" s="6">
        <v>44896</v>
      </c>
      <c r="B25" s="2">
        <v>340.09275409677423</v>
      </c>
      <c r="C25" s="2">
        <v>338.64812903225805</v>
      </c>
      <c r="D25" s="2">
        <v>1.4446250645161292</v>
      </c>
      <c r="E25" s="2">
        <v>2648.0967741935483</v>
      </c>
      <c r="F25" s="2">
        <v>10498.092000000001</v>
      </c>
      <c r="G25" s="3">
        <v>1.404645735E-3</v>
      </c>
      <c r="H25" s="2">
        <v>82091</v>
      </c>
      <c r="I25" s="2">
        <v>44.783377000000002</v>
      </c>
      <c r="J25" s="4">
        <v>1</v>
      </c>
      <c r="K25" s="4">
        <v>1</v>
      </c>
      <c r="L25" s="3">
        <v>5.1727418071999993E-2</v>
      </c>
      <c r="M25" s="3">
        <v>3.3397609999999993</v>
      </c>
      <c r="N25" s="2">
        <v>0.42477384393348688</v>
      </c>
      <c r="O25" s="2">
        <v>49.183791854748456</v>
      </c>
      <c r="P25" s="76"/>
      <c r="Q25">
        <f t="shared" si="0"/>
        <v>699</v>
      </c>
      <c r="R25">
        <f t="shared" si="1"/>
        <v>4.2658586912745671E-3</v>
      </c>
      <c r="S25">
        <f t="shared" si="2"/>
        <v>-4.7623296641787958E-4</v>
      </c>
      <c r="T25" s="77"/>
      <c r="U25">
        <f t="shared" si="3"/>
        <v>22.3</v>
      </c>
      <c r="V25" s="21">
        <f t="shared" si="6"/>
        <v>376067.21299999999</v>
      </c>
      <c r="Y25">
        <f t="shared" si="4"/>
        <v>669</v>
      </c>
      <c r="Z25" s="20">
        <f t="shared" si="5"/>
        <v>653.81565157895909</v>
      </c>
    </row>
    <row r="26" spans="1:26" x14ac:dyDescent="0.3">
      <c r="A26" s="6">
        <v>44927</v>
      </c>
      <c r="B26" s="2">
        <v>295.54106338709602</v>
      </c>
      <c r="C26" s="2">
        <v>293.435806451612</v>
      </c>
      <c r="D26" s="2">
        <v>2.1052569354838702</v>
      </c>
      <c r="E26" s="2">
        <v>1957.3225806451601</v>
      </c>
      <c r="F26" s="2">
        <v>9096.51</v>
      </c>
      <c r="G26" s="3">
        <v>1.2171139209999999E-3</v>
      </c>
      <c r="H26" s="2">
        <v>60677</v>
      </c>
      <c r="I26" s="2">
        <v>65.262964999999994</v>
      </c>
      <c r="J26" s="4">
        <v>1</v>
      </c>
      <c r="K26" s="4">
        <v>1</v>
      </c>
      <c r="L26" s="3">
        <v>5.2944531992999991E-2</v>
      </c>
      <c r="M26" s="3">
        <v>3.4004379999999994</v>
      </c>
      <c r="N26" s="2">
        <v>0.71233990679881465</v>
      </c>
      <c r="O26" s="2">
        <v>41.955232787079879</v>
      </c>
      <c r="P26" s="76"/>
      <c r="Q26">
        <f t="shared" si="0"/>
        <v>730</v>
      </c>
      <c r="R26">
        <f t="shared" si="1"/>
        <v>7.1745059368923001E-3</v>
      </c>
      <c r="S26">
        <f t="shared" si="2"/>
        <v>2.0507527942096722E-4</v>
      </c>
      <c r="T26" s="77"/>
      <c r="U26">
        <f t="shared" si="3"/>
        <v>23.3</v>
      </c>
      <c r="V26" s="21">
        <f t="shared" si="6"/>
        <v>386565.30499999999</v>
      </c>
      <c r="Y26">
        <f t="shared" si="4"/>
        <v>699</v>
      </c>
      <c r="Z26" s="20">
        <f t="shared" si="5"/>
        <v>640.99742092997974</v>
      </c>
    </row>
    <row r="27" spans="1:26" x14ac:dyDescent="0.3">
      <c r="A27" s="6">
        <v>44958</v>
      </c>
      <c r="B27" s="2">
        <v>339.54335614285702</v>
      </c>
      <c r="C27" s="2">
        <v>333.873999999999</v>
      </c>
      <c r="D27" s="2">
        <v>5.66935614285714</v>
      </c>
      <c r="E27" s="2">
        <v>2310.8571428571399</v>
      </c>
      <c r="F27" s="2">
        <v>9348.4719999999998</v>
      </c>
      <c r="G27" s="3">
        <v>1.2508264710000001E-3</v>
      </c>
      <c r="H27" s="2">
        <v>64704</v>
      </c>
      <c r="I27" s="2">
        <v>158.741972</v>
      </c>
      <c r="J27" s="4">
        <v>1</v>
      </c>
      <c r="K27" s="4">
        <v>1</v>
      </c>
      <c r="L27" s="3">
        <v>5.419535846399999E-2</v>
      </c>
      <c r="M27" s="3">
        <v>3.4651419999999993</v>
      </c>
      <c r="N27" s="2">
        <v>1.6697002136221617</v>
      </c>
      <c r="O27" s="2">
        <v>43.533875824840678</v>
      </c>
      <c r="P27" s="76"/>
      <c r="Q27">
        <f t="shared" si="0"/>
        <v>761</v>
      </c>
      <c r="R27">
        <f t="shared" si="1"/>
        <v>1.6980526015374534E-2</v>
      </c>
      <c r="S27">
        <f t="shared" si="2"/>
        <v>1.9668972594302981E-4</v>
      </c>
      <c r="T27" s="77"/>
      <c r="U27">
        <f t="shared" si="3"/>
        <v>24.333333333333332</v>
      </c>
      <c r="V27" s="21">
        <f t="shared" si="6"/>
        <v>395661.815</v>
      </c>
      <c r="Y27">
        <f t="shared" si="4"/>
        <v>730</v>
      </c>
      <c r="Z27" s="20">
        <f t="shared" si="5"/>
        <v>628.01586783514563</v>
      </c>
    </row>
    <row r="28" spans="1:26" x14ac:dyDescent="0.3">
      <c r="A28" s="6">
        <v>44986</v>
      </c>
      <c r="B28" s="2">
        <v>360.77304796774098</v>
      </c>
      <c r="C28" s="2">
        <v>354.122903225806</v>
      </c>
      <c r="D28" s="2">
        <v>6.6501447419354802</v>
      </c>
      <c r="E28" s="2">
        <v>2352.7096774193501</v>
      </c>
      <c r="F28" s="2">
        <v>10977.81</v>
      </c>
      <c r="G28" s="3">
        <v>1.468832049E-3</v>
      </c>
      <c r="H28" s="2">
        <v>72934</v>
      </c>
      <c r="I28" s="2">
        <v>206.15448699999999</v>
      </c>
      <c r="J28" s="4">
        <v>1</v>
      </c>
      <c r="K28" s="4">
        <v>1</v>
      </c>
      <c r="L28" s="3">
        <v>5.5664190512999992E-2</v>
      </c>
      <c r="M28" s="3">
        <v>3.5380759999999993</v>
      </c>
      <c r="N28" s="2">
        <v>1.8433041989683492</v>
      </c>
      <c r="O28" s="2">
        <v>41.787958909837208</v>
      </c>
      <c r="P28" s="76"/>
      <c r="Q28">
        <f t="shared" si="0"/>
        <v>789</v>
      </c>
      <c r="R28">
        <f t="shared" si="1"/>
        <v>1.8779199767531059E-2</v>
      </c>
      <c r="S28">
        <f t="shared" si="2"/>
        <v>-2.0045338639078369E-6</v>
      </c>
      <c r="T28" s="77"/>
      <c r="U28">
        <f t="shared" si="3"/>
        <v>25.366666666666667</v>
      </c>
      <c r="V28" s="21">
        <f t="shared" si="6"/>
        <v>405010.28700000001</v>
      </c>
      <c r="Y28">
        <f t="shared" si="4"/>
        <v>761</v>
      </c>
      <c r="Z28" s="20">
        <f t="shared" si="5"/>
        <v>615.29721863859788</v>
      </c>
    </row>
    <row r="29" spans="1:26" x14ac:dyDescent="0.3">
      <c r="A29" s="6">
        <v>45017</v>
      </c>
      <c r="B29" s="2">
        <v>404.56173403333298</v>
      </c>
      <c r="C29" s="2">
        <v>397.85303333333297</v>
      </c>
      <c r="D29" s="2">
        <v>6.7087006999999996</v>
      </c>
      <c r="E29" s="2">
        <v>2697.7666666666601</v>
      </c>
      <c r="F29" s="2">
        <v>11935.591</v>
      </c>
      <c r="G29" s="3">
        <v>1.5969832389999901E-3</v>
      </c>
      <c r="H29" s="2">
        <v>80933</v>
      </c>
      <c r="I29" s="2">
        <v>201.261021</v>
      </c>
      <c r="J29" s="4">
        <v>1</v>
      </c>
      <c r="K29" s="4">
        <v>1</v>
      </c>
      <c r="L29" s="3">
        <v>5.7261173751999982E-2</v>
      </c>
      <c r="M29" s="3">
        <v>3.6190089999999993</v>
      </c>
      <c r="N29" s="2">
        <v>1.6582637792053871</v>
      </c>
      <c r="O29" s="2">
        <v>42.649952013268546</v>
      </c>
      <c r="P29" s="76"/>
      <c r="Q29">
        <f t="shared" si="0"/>
        <v>820</v>
      </c>
      <c r="R29">
        <f t="shared" si="1"/>
        <v>1.6862258517403972E-2</v>
      </c>
      <c r="S29">
        <f t="shared" si="2"/>
        <v>6.8917923651068049E-6</v>
      </c>
      <c r="T29" s="77"/>
      <c r="U29">
        <f t="shared" si="3"/>
        <v>26.3</v>
      </c>
      <c r="V29" s="21">
        <f t="shared" si="6"/>
        <v>415988.09700000001</v>
      </c>
      <c r="Y29">
        <f t="shared" si="4"/>
        <v>789</v>
      </c>
      <c r="Z29" s="20">
        <f t="shared" si="5"/>
        <v>604.03094701520922</v>
      </c>
    </row>
    <row r="30" spans="1:26" x14ac:dyDescent="0.3">
      <c r="A30" s="6">
        <v>45047</v>
      </c>
      <c r="B30" s="2">
        <v>380.06419909677419</v>
      </c>
      <c r="C30" s="2">
        <v>372.90458064516127</v>
      </c>
      <c r="D30" s="2">
        <v>7.1596184516129036</v>
      </c>
      <c r="E30" s="2">
        <v>2526.3548387096776</v>
      </c>
      <c r="F30" s="2">
        <v>11560.041999999999</v>
      </c>
      <c r="G30" s="3">
        <v>1.546734745E-3</v>
      </c>
      <c r="H30" s="2">
        <v>78317</v>
      </c>
      <c r="I30" s="2">
        <v>221.948172</v>
      </c>
      <c r="J30" s="4">
        <v>1</v>
      </c>
      <c r="K30" s="4">
        <v>1</v>
      </c>
      <c r="L30" s="3">
        <v>5.8807908496999982E-2</v>
      </c>
      <c r="M30" s="3">
        <v>3.6973259999999994</v>
      </c>
      <c r="N30" s="2">
        <v>1.8837918616454266</v>
      </c>
      <c r="O30" s="2">
        <v>42.612151980070664</v>
      </c>
      <c r="P30" s="76"/>
      <c r="Q30">
        <f t="shared" si="0"/>
        <v>850</v>
      </c>
      <c r="R30">
        <f t="shared" si="1"/>
        <v>1.9199599101802575E-2</v>
      </c>
      <c r="S30">
        <f t="shared" si="2"/>
        <v>1.0667312646247208E-3</v>
      </c>
      <c r="T30" s="77"/>
      <c r="U30">
        <f t="shared" si="3"/>
        <v>27.333333333333332</v>
      </c>
      <c r="V30" s="21">
        <f t="shared" si="6"/>
        <v>427923.68800000002</v>
      </c>
      <c r="Y30">
        <f t="shared" si="4"/>
        <v>820</v>
      </c>
      <c r="Z30" s="20">
        <f t="shared" si="5"/>
        <v>591.79804317883418</v>
      </c>
    </row>
    <row r="31" spans="1:26" x14ac:dyDescent="0.3">
      <c r="A31" s="6">
        <v>45078</v>
      </c>
      <c r="B31" s="2">
        <v>518.3122012</v>
      </c>
      <c r="C31" s="2">
        <v>479.06133333333332</v>
      </c>
      <c r="D31" s="2">
        <v>39.250867866666667</v>
      </c>
      <c r="E31" s="2">
        <v>3071.4666666666667</v>
      </c>
      <c r="F31" s="2">
        <v>14371.84</v>
      </c>
      <c r="G31" s="3">
        <v>1.922953594E-3</v>
      </c>
      <c r="H31" s="2">
        <v>92144</v>
      </c>
      <c r="I31" s="2">
        <v>1177.526036</v>
      </c>
      <c r="J31" s="4">
        <v>1</v>
      </c>
      <c r="K31" s="4">
        <v>1</v>
      </c>
      <c r="L31" s="3">
        <v>6.0730862090999982E-2</v>
      </c>
      <c r="M31" s="3">
        <v>3.7894699999999997</v>
      </c>
      <c r="N31" s="2">
        <v>7.5728234403498105</v>
      </c>
      <c r="O31" s="2">
        <v>40.326592224795156</v>
      </c>
      <c r="P31" s="76"/>
      <c r="Q31">
        <f t="shared" si="0"/>
        <v>881</v>
      </c>
      <c r="R31">
        <f t="shared" si="1"/>
        <v>8.1932865659511939E-2</v>
      </c>
      <c r="S31">
        <f t="shared" si="2"/>
        <v>6.8458363069857301E-4</v>
      </c>
      <c r="T31" s="77"/>
      <c r="U31">
        <f t="shared" si="3"/>
        <v>28.333333333333332</v>
      </c>
      <c r="V31" s="21">
        <f t="shared" si="6"/>
        <v>439483.73000000004</v>
      </c>
      <c r="Y31">
        <f t="shared" si="4"/>
        <v>850</v>
      </c>
      <c r="Z31" s="20">
        <f t="shared" si="5"/>
        <v>580.19568432315168</v>
      </c>
    </row>
    <row r="32" spans="1:26" x14ac:dyDescent="0.3">
      <c r="A32" s="6">
        <v>45108</v>
      </c>
      <c r="B32" s="2">
        <v>647.34018351612895</v>
      </c>
      <c r="C32" s="2">
        <v>610.14616129032254</v>
      </c>
      <c r="D32" s="2">
        <v>37.194022225806457</v>
      </c>
      <c r="E32" s="2">
        <v>2816.9677419354839</v>
      </c>
      <c r="F32" s="2">
        <v>18914.530999999999</v>
      </c>
      <c r="G32" s="3">
        <v>2.5307660919999999E-3</v>
      </c>
      <c r="H32" s="2">
        <v>87326</v>
      </c>
      <c r="I32" s="2">
        <v>1153.0146890000001</v>
      </c>
      <c r="J32" s="4">
        <v>1</v>
      </c>
      <c r="K32" s="4">
        <v>1</v>
      </c>
      <c r="L32" s="3">
        <v>6.3261628182999977E-2</v>
      </c>
      <c r="M32" s="3">
        <v>3.8767959999999997</v>
      </c>
      <c r="N32" s="2">
        <v>5.7456686874868996</v>
      </c>
      <c r="O32" s="2">
        <v>29.039211958255798</v>
      </c>
      <c r="P32" s="76"/>
      <c r="Q32">
        <f t="shared" si="0"/>
        <v>911</v>
      </c>
      <c r="R32">
        <f t="shared" si="1"/>
        <v>6.0959200574415527E-2</v>
      </c>
      <c r="S32">
        <f t="shared" si="2"/>
        <v>-1.9092213264373958E-4</v>
      </c>
      <c r="T32" s="77"/>
      <c r="U32">
        <f t="shared" si="3"/>
        <v>29.366666666666667</v>
      </c>
      <c r="V32" s="21">
        <f t="shared" si="6"/>
        <v>453855.57000000007</v>
      </c>
      <c r="Y32">
        <f t="shared" si="4"/>
        <v>881</v>
      </c>
      <c r="Z32" s="20">
        <f t="shared" si="5"/>
        <v>568.44549495342346</v>
      </c>
    </row>
    <row r="33" spans="1:26" x14ac:dyDescent="0.3">
      <c r="A33" s="6">
        <v>45139</v>
      </c>
      <c r="B33" s="2">
        <v>680.07402925806446</v>
      </c>
      <c r="C33" s="2">
        <v>635.41300000000001</v>
      </c>
      <c r="D33" s="2">
        <v>44.661029258064517</v>
      </c>
      <c r="E33" s="2">
        <v>2320.0645161290322</v>
      </c>
      <c r="F33" s="2">
        <v>19697.803</v>
      </c>
      <c r="G33" s="3">
        <v>2.6355679620000002E-3</v>
      </c>
      <c r="H33" s="2">
        <v>71922</v>
      </c>
      <c r="I33" s="2">
        <v>1384.4919070000001</v>
      </c>
      <c r="J33" s="4">
        <v>1</v>
      </c>
      <c r="K33" s="4">
        <v>1</v>
      </c>
      <c r="L33" s="3">
        <v>6.5897196144999975E-2</v>
      </c>
      <c r="M33" s="3">
        <v>3.9487179999999995</v>
      </c>
      <c r="N33" s="2">
        <v>6.5670834845418291</v>
      </c>
      <c r="O33" s="2">
        <v>22.965758952914697</v>
      </c>
      <c r="P33" s="76"/>
      <c r="Q33">
        <f t="shared" si="0"/>
        <v>942</v>
      </c>
      <c r="R33">
        <f t="shared" si="1"/>
        <v>7.0286615568243824E-2</v>
      </c>
      <c r="S33" t="e">
        <f t="shared" si="2"/>
        <v>#DIV/0!</v>
      </c>
      <c r="T33" s="77"/>
      <c r="U33">
        <f t="shared" si="3"/>
        <v>30.366666666666667</v>
      </c>
      <c r="V33" s="21">
        <f t="shared" si="6"/>
        <v>472770.10100000008</v>
      </c>
      <c r="Y33">
        <f t="shared" si="4"/>
        <v>911</v>
      </c>
      <c r="Z33" s="20">
        <f t="shared" si="5"/>
        <v>557.300969049081</v>
      </c>
    </row>
    <row r="34" spans="1:26" x14ac:dyDescent="0.3">
      <c r="A34" s="6">
        <v>45170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3">
        <v>0</v>
      </c>
      <c r="H34" s="2">
        <v>0</v>
      </c>
      <c r="I34" s="2">
        <v>0</v>
      </c>
      <c r="J34" s="4">
        <v>1</v>
      </c>
      <c r="K34" s="4">
        <v>1</v>
      </c>
      <c r="L34" s="3">
        <v>6.5897196144999975E-2</v>
      </c>
      <c r="M34" s="3">
        <v>3.9487179999999995</v>
      </c>
      <c r="N34" s="2">
        <v>0</v>
      </c>
      <c r="O34" s="2"/>
      <c r="P34" s="76"/>
      <c r="Q34">
        <f t="shared" si="0"/>
        <v>973</v>
      </c>
      <c r="R34" t="e">
        <f t="shared" si="1"/>
        <v>#DIV/0!</v>
      </c>
      <c r="S34">
        <f t="shared" si="2"/>
        <v>3.04912474107425E-3</v>
      </c>
      <c r="T34" s="77"/>
      <c r="U34">
        <f t="shared" si="3"/>
        <v>31.4</v>
      </c>
      <c r="V34" s="21">
        <f t="shared" si="6"/>
        <v>492467.9040000001</v>
      </c>
      <c r="Y34">
        <f t="shared" si="4"/>
        <v>942</v>
      </c>
      <c r="Z34" s="20">
        <f t="shared" si="5"/>
        <v>546.01444607209794</v>
      </c>
    </row>
    <row r="35" spans="1:26" x14ac:dyDescent="0.3">
      <c r="A35" s="6">
        <v>45200</v>
      </c>
      <c r="B35" s="2">
        <v>421.44306399999994</v>
      </c>
      <c r="C35" s="2">
        <v>335.46819354838709</v>
      </c>
      <c r="D35" s="2">
        <v>85.974870451612901</v>
      </c>
      <c r="E35" s="2">
        <v>1757.3870967741937</v>
      </c>
      <c r="F35" s="2">
        <v>10399.513999999999</v>
      </c>
      <c r="G35" s="3">
        <v>1.391455987E-3</v>
      </c>
      <c r="H35" s="2">
        <v>54479</v>
      </c>
      <c r="I35" s="2">
        <v>2665.220984</v>
      </c>
      <c r="J35" s="4">
        <v>1</v>
      </c>
      <c r="K35" s="4">
        <v>1</v>
      </c>
      <c r="L35" s="3">
        <v>6.7288652131999971E-2</v>
      </c>
      <c r="M35" s="3">
        <v>4.0031969999999992</v>
      </c>
      <c r="N35" s="2">
        <v>20.400115174659252</v>
      </c>
      <c r="O35" s="2">
        <v>32.949810366138266</v>
      </c>
      <c r="P35" s="76"/>
      <c r="Q35">
        <f t="shared" si="0"/>
        <v>1003</v>
      </c>
      <c r="R35">
        <f t="shared" si="1"/>
        <v>0.25628322477377308</v>
      </c>
      <c r="S35" t="e">
        <f t="shared" si="2"/>
        <v>#DIV/0!</v>
      </c>
      <c r="T35" s="77"/>
      <c r="U35">
        <f t="shared" si="3"/>
        <v>32.43333333333333</v>
      </c>
      <c r="V35" s="21">
        <f t="shared" si="6"/>
        <v>492467.9040000001</v>
      </c>
      <c r="Y35">
        <f t="shared" si="4"/>
        <v>973</v>
      </c>
      <c r="Z35" s="20">
        <f t="shared" si="5"/>
        <v>534.9564990495536</v>
      </c>
    </row>
    <row r="36" spans="1:26" x14ac:dyDescent="0.3">
      <c r="A36" s="6">
        <v>45231</v>
      </c>
      <c r="B36" s="2">
        <v>589.15773560000002</v>
      </c>
      <c r="C36" s="2">
        <v>435.36939999999998</v>
      </c>
      <c r="D36" s="2">
        <v>153.78833560000001</v>
      </c>
      <c r="E36" s="2">
        <v>2754.6</v>
      </c>
      <c r="F36" s="2">
        <v>13061.082</v>
      </c>
      <c r="G36" s="3">
        <v>1.747574043E-3</v>
      </c>
      <c r="H36" s="2">
        <v>82638</v>
      </c>
      <c r="I36" s="2">
        <v>4613.6500679999999</v>
      </c>
      <c r="J36" s="4">
        <v>1</v>
      </c>
      <c r="K36" s="4">
        <v>1</v>
      </c>
      <c r="L36" s="3">
        <v>6.9036226174999965E-2</v>
      </c>
      <c r="M36" s="3">
        <v>4.0858349999999994</v>
      </c>
      <c r="N36" s="2">
        <v>26.103083488054601</v>
      </c>
      <c r="O36" s="2">
        <v>39.795821846918955</v>
      </c>
      <c r="P36" s="76"/>
      <c r="Q36">
        <f t="shared" si="0"/>
        <v>1034</v>
      </c>
      <c r="R36">
        <f t="shared" si="1"/>
        <v>0.35323643692000406</v>
      </c>
      <c r="S36">
        <f t="shared" si="2"/>
        <v>7.7143272692481116E-3</v>
      </c>
      <c r="T36" s="77"/>
      <c r="U36">
        <f t="shared" si="3"/>
        <v>33.43333333333333</v>
      </c>
      <c r="V36" s="21">
        <f t="shared" si="6"/>
        <v>502867.41800000012</v>
      </c>
      <c r="Y36">
        <f t="shared" si="4"/>
        <v>1003</v>
      </c>
      <c r="Z36" s="20">
        <f t="shared" si="5"/>
        <v>524.46853386330008</v>
      </c>
    </row>
    <row r="37" spans="1:26" x14ac:dyDescent="0.3">
      <c r="A37" s="6">
        <v>45261</v>
      </c>
      <c r="B37" s="2">
        <v>575.85623635483864</v>
      </c>
      <c r="C37" s="2">
        <v>333.47067741935484</v>
      </c>
      <c r="D37" s="2">
        <v>242.38555893548386</v>
      </c>
      <c r="E37" s="2">
        <v>3609.5483870967741</v>
      </c>
      <c r="F37" s="2">
        <v>10337.591</v>
      </c>
      <c r="G37" s="3">
        <v>1.3831706830000001E-3</v>
      </c>
      <c r="H37" s="2">
        <v>111896</v>
      </c>
      <c r="I37" s="2">
        <v>7513.952327</v>
      </c>
      <c r="J37" s="4">
        <v>1</v>
      </c>
      <c r="K37" s="4">
        <v>1</v>
      </c>
      <c r="L37" s="3">
        <v>7.0419396857999972E-2</v>
      </c>
      <c r="M37" s="3">
        <v>4.1977309999999992</v>
      </c>
      <c r="N37" s="2">
        <v>42.091331765334488</v>
      </c>
      <c r="O37" s="2">
        <v>68.081960371618493</v>
      </c>
      <c r="P37" s="76"/>
      <c r="Q37">
        <f t="shared" si="0"/>
        <v>1064</v>
      </c>
      <c r="R37">
        <f t="shared" si="1"/>
        <v>0.7268571881979079</v>
      </c>
      <c r="S37">
        <f t="shared" si="2"/>
        <v>1.6458572306996481E-3</v>
      </c>
      <c r="T37" s="77"/>
      <c r="U37">
        <f t="shared" si="3"/>
        <v>34.466666666666669</v>
      </c>
      <c r="V37" s="21">
        <f t="shared" si="6"/>
        <v>515928.50000000012</v>
      </c>
      <c r="Y37">
        <f t="shared" si="4"/>
        <v>1034</v>
      </c>
      <c r="Z37" s="20">
        <f t="shared" si="5"/>
        <v>513.84693711952787</v>
      </c>
    </row>
    <row r="38" spans="1:26" x14ac:dyDescent="0.3">
      <c r="A38" s="6">
        <v>45292</v>
      </c>
      <c r="B38" s="2">
        <v>519.6211173548387</v>
      </c>
      <c r="C38" s="2">
        <v>357.46358064516124</v>
      </c>
      <c r="D38" s="2">
        <v>162.15753670967743</v>
      </c>
      <c r="E38" s="2">
        <v>3031.5483870967741</v>
      </c>
      <c r="F38" s="2">
        <v>11081.370999999999</v>
      </c>
      <c r="G38" s="3">
        <v>1.4826885190000001E-3</v>
      </c>
      <c r="H38" s="2">
        <v>93978</v>
      </c>
      <c r="I38" s="2">
        <v>5026.8836380000002</v>
      </c>
      <c r="J38" s="4">
        <v>1</v>
      </c>
      <c r="K38" s="4">
        <v>1</v>
      </c>
      <c r="L38" s="3">
        <v>7.1902085376999977E-2</v>
      </c>
      <c r="M38" s="3">
        <v>4.2917089999999991</v>
      </c>
      <c r="N38" s="2">
        <v>31.206879646298773</v>
      </c>
      <c r="O38" s="2">
        <v>53.342030006936866</v>
      </c>
      <c r="P38" s="76"/>
      <c r="Q38">
        <f t="shared" si="0"/>
        <v>1095</v>
      </c>
      <c r="R38">
        <f t="shared" si="1"/>
        <v>0.45363372799268259</v>
      </c>
      <c r="S38">
        <f t="shared" si="2"/>
        <v>-7.4686454586328187E-3</v>
      </c>
      <c r="T38" s="77"/>
      <c r="U38">
        <f t="shared" si="3"/>
        <v>35.466666666666669</v>
      </c>
      <c r="V38" s="21">
        <f t="shared" si="6"/>
        <v>526266.09100000013</v>
      </c>
      <c r="Y38">
        <f t="shared" si="4"/>
        <v>1064</v>
      </c>
      <c r="Z38" s="20">
        <f t="shared" si="5"/>
        <v>503.77283053862379</v>
      </c>
    </row>
    <row r="39" spans="1:26" x14ac:dyDescent="0.3">
      <c r="A39" s="6">
        <v>45323</v>
      </c>
      <c r="B39" s="2">
        <v>453.31719951724142</v>
      </c>
      <c r="C39" s="2">
        <v>358.69344827586207</v>
      </c>
      <c r="D39" s="2">
        <v>94.62375124137931</v>
      </c>
      <c r="E39" s="2">
        <v>2924.5517241379312</v>
      </c>
      <c r="F39" s="2">
        <v>10402.11</v>
      </c>
      <c r="G39" s="3">
        <v>1.39180333E-3</v>
      </c>
      <c r="H39" s="2">
        <v>84812</v>
      </c>
      <c r="I39" s="2">
        <v>2744.0887859999998</v>
      </c>
      <c r="J39" s="4">
        <v>1</v>
      </c>
      <c r="K39" s="4">
        <v>1</v>
      </c>
      <c r="L39" s="3">
        <v>7.3293888706999974E-2</v>
      </c>
      <c r="M39" s="3">
        <v>4.3765209999999994</v>
      </c>
      <c r="N39" s="2">
        <v>20.873629181100682</v>
      </c>
      <c r="O39" s="2">
        <v>51.282914485618775</v>
      </c>
      <c r="P39" s="76"/>
      <c r="Q39">
        <f t="shared" si="0"/>
        <v>1126</v>
      </c>
      <c r="R39">
        <f t="shared" si="1"/>
        <v>0.26380116976267315</v>
      </c>
      <c r="S39">
        <f t="shared" si="2"/>
        <v>-2.5586010380170454E-3</v>
      </c>
      <c r="T39" s="77"/>
      <c r="U39">
        <f t="shared" si="3"/>
        <v>36.5</v>
      </c>
      <c r="V39" s="21">
        <f t="shared" si="6"/>
        <v>537347.46200000017</v>
      </c>
      <c r="Y39">
        <f t="shared" si="4"/>
        <v>1095</v>
      </c>
      <c r="Z39" s="20">
        <f t="shared" si="5"/>
        <v>493.57036554604406</v>
      </c>
    </row>
    <row r="40" spans="1:26" x14ac:dyDescent="0.3">
      <c r="A40" s="6">
        <v>45352</v>
      </c>
      <c r="B40" s="2">
        <v>436.85341758064516</v>
      </c>
      <c r="C40" s="2">
        <v>336.01067741935486</v>
      </c>
      <c r="D40" s="2">
        <v>100.84274016129032</v>
      </c>
      <c r="E40" s="2">
        <v>2265.3548387096776</v>
      </c>
      <c r="F40" s="2">
        <v>10416.331</v>
      </c>
      <c r="G40" s="3">
        <v>1.393706105E-3</v>
      </c>
      <c r="H40" s="2">
        <v>70226</v>
      </c>
      <c r="I40" s="2">
        <v>3126.124945</v>
      </c>
      <c r="J40" s="4">
        <v>1</v>
      </c>
      <c r="K40" s="4">
        <v>1</v>
      </c>
      <c r="L40" s="3">
        <v>7.4687594811999977E-2</v>
      </c>
      <c r="M40" s="3">
        <v>4.4467469999999993</v>
      </c>
      <c r="N40" s="2">
        <v>23.083884914938153</v>
      </c>
      <c r="O40" s="2">
        <v>42.405285968735058</v>
      </c>
      <c r="P40" s="76"/>
      <c r="Q40">
        <f t="shared" si="0"/>
        <v>1155</v>
      </c>
      <c r="R40">
        <f t="shared" si="1"/>
        <v>0.30011766571165988</v>
      </c>
      <c r="S40">
        <f t="shared" si="2"/>
        <v>2.0503267942638599E-3</v>
      </c>
      <c r="T40" s="77"/>
      <c r="U40">
        <f t="shared" si="3"/>
        <v>37.533333333333331</v>
      </c>
      <c r="V40" s="21">
        <f t="shared" si="6"/>
        <v>547749.57200000016</v>
      </c>
      <c r="Y40">
        <f t="shared" si="4"/>
        <v>1126</v>
      </c>
      <c r="Z40" s="20">
        <f t="shared" si="5"/>
        <v>483.57452204159335</v>
      </c>
    </row>
    <row r="41" spans="1:26" x14ac:dyDescent="0.3">
      <c r="A41" s="6">
        <v>45383</v>
      </c>
      <c r="B41" s="2">
        <v>825.51274150000006</v>
      </c>
      <c r="C41" s="2">
        <v>595.25553333333335</v>
      </c>
      <c r="D41" s="2">
        <v>230.25720816666666</v>
      </c>
      <c r="E41" s="2">
        <v>2745.8333333333335</v>
      </c>
      <c r="F41" s="2">
        <v>17857.666000000001</v>
      </c>
      <c r="G41" s="3">
        <v>2.3893574560000003E-3</v>
      </c>
      <c r="H41" s="2">
        <v>82375</v>
      </c>
      <c r="I41" s="2">
        <v>6907.7162449999996</v>
      </c>
      <c r="J41" s="4">
        <v>1</v>
      </c>
      <c r="K41" s="4">
        <v>1</v>
      </c>
      <c r="L41" s="3">
        <v>7.7076952267999974E-2</v>
      </c>
      <c r="M41" s="3">
        <v>4.5291219999999992</v>
      </c>
      <c r="N41" s="2">
        <v>27.892629221964182</v>
      </c>
      <c r="O41" s="2">
        <v>29.013997405931995</v>
      </c>
      <c r="P41" s="76"/>
      <c r="Q41">
        <f t="shared" si="0"/>
        <v>1186</v>
      </c>
      <c r="R41">
        <f t="shared" si="1"/>
        <v>0.38682077741850474</v>
      </c>
      <c r="S41">
        <f t="shared" si="2"/>
        <v>6.9753091136368387E-4</v>
      </c>
      <c r="T41" s="77"/>
      <c r="U41">
        <f t="shared" si="3"/>
        <v>38.5</v>
      </c>
      <c r="V41" s="21">
        <f t="shared" si="6"/>
        <v>558165.90300000017</v>
      </c>
      <c r="Y41">
        <f t="shared" si="4"/>
        <v>1155</v>
      </c>
      <c r="Z41" s="20">
        <f t="shared" si="5"/>
        <v>474.40691951550332</v>
      </c>
    </row>
    <row r="42" spans="1:26" x14ac:dyDescent="0.3">
      <c r="A42" s="6">
        <v>45413</v>
      </c>
      <c r="B42" s="2">
        <v>685.04588106451615</v>
      </c>
      <c r="C42" s="2">
        <v>510.2127741935484</v>
      </c>
      <c r="D42" s="2">
        <v>174.83310687096773</v>
      </c>
      <c r="E42" s="2">
        <v>2914.3225806451615</v>
      </c>
      <c r="F42" s="2">
        <v>15816.596</v>
      </c>
      <c r="G42" s="3">
        <v>2.1162620869999999E-3</v>
      </c>
      <c r="H42" s="2">
        <v>90344</v>
      </c>
      <c r="I42" s="2">
        <v>5419.8263129999996</v>
      </c>
      <c r="J42" s="4">
        <v>1</v>
      </c>
      <c r="K42" s="4">
        <v>1</v>
      </c>
      <c r="L42" s="3">
        <v>7.9193214354999972E-2</v>
      </c>
      <c r="M42" s="3">
        <v>4.6194659999999992</v>
      </c>
      <c r="N42" s="2">
        <v>25.521371882316647</v>
      </c>
      <c r="O42" s="2">
        <v>35.927179982342594</v>
      </c>
      <c r="P42" s="76"/>
      <c r="Q42">
        <f t="shared" si="0"/>
        <v>1216</v>
      </c>
      <c r="R42">
        <f t="shared" si="1"/>
        <v>0.34266705130484459</v>
      </c>
      <c r="S42">
        <f t="shared" si="2"/>
        <v>-4.4386388140804737E-4</v>
      </c>
      <c r="T42" s="77"/>
      <c r="U42">
        <f t="shared" si="3"/>
        <v>39.533333333333331</v>
      </c>
      <c r="V42" s="21">
        <f t="shared" si="6"/>
        <v>576023.56900000013</v>
      </c>
      <c r="Y42">
        <f t="shared" si="4"/>
        <v>1186</v>
      </c>
      <c r="Z42" s="20">
        <f t="shared" si="5"/>
        <v>464.79917631224339</v>
      </c>
    </row>
    <row r="43" spans="1:26" x14ac:dyDescent="0.3">
      <c r="A43" s="6">
        <v>45444</v>
      </c>
      <c r="B43" s="2">
        <v>602.29219410000007</v>
      </c>
      <c r="C43" s="2">
        <v>442.94493333333332</v>
      </c>
      <c r="D43" s="2">
        <v>159.34726076666666</v>
      </c>
      <c r="E43" s="2">
        <v>3146.7333333333331</v>
      </c>
      <c r="F43" s="2">
        <v>13288.348</v>
      </c>
      <c r="G43" s="3">
        <v>1.777982259E-3</v>
      </c>
      <c r="H43" s="2">
        <v>94402</v>
      </c>
      <c r="I43" s="2">
        <v>4780.4178229999998</v>
      </c>
      <c r="J43" s="4">
        <v>1</v>
      </c>
      <c r="K43" s="4">
        <v>1</v>
      </c>
      <c r="L43" s="3">
        <v>8.0971196613999971E-2</v>
      </c>
      <c r="M43" s="3">
        <v>4.7138679999999988</v>
      </c>
      <c r="N43" s="2">
        <v>26.456803247264045</v>
      </c>
      <c r="O43" s="2">
        <v>44.683485080312465</v>
      </c>
      <c r="P43" s="76"/>
      <c r="Q43">
        <f t="shared" si="0"/>
        <v>1247</v>
      </c>
      <c r="R43">
        <f t="shared" si="1"/>
        <v>0.35974508065261385</v>
      </c>
      <c r="S43">
        <f t="shared" si="2"/>
        <v>-1.46135406500424E-3</v>
      </c>
      <c r="T43" s="77"/>
      <c r="U43">
        <f t="shared" si="3"/>
        <v>40.533333333333331</v>
      </c>
      <c r="V43" s="21">
        <f t="shared" si="6"/>
        <v>591840.16500000015</v>
      </c>
      <c r="Y43">
        <f t="shared" si="4"/>
        <v>1216</v>
      </c>
      <c r="Z43" s="20">
        <f t="shared" si="5"/>
        <v>455.68666419504694</v>
      </c>
    </row>
    <row r="44" spans="1:26" x14ac:dyDescent="0.3">
      <c r="A44" s="6">
        <v>45474</v>
      </c>
      <c r="B44" s="2">
        <v>484.77296435483868</v>
      </c>
      <c r="C44" s="2">
        <v>386.72796774193546</v>
      </c>
      <c r="D44" s="2">
        <v>98.044996612903219</v>
      </c>
      <c r="E44" s="2">
        <v>2480.9032258064517</v>
      </c>
      <c r="F44" s="2">
        <v>11988.566999999999</v>
      </c>
      <c r="G44" s="3">
        <v>1.6040714319999999E-3</v>
      </c>
      <c r="H44" s="2">
        <v>76908</v>
      </c>
      <c r="I44" s="2">
        <v>3039.3948949999999</v>
      </c>
      <c r="J44" s="4">
        <v>1</v>
      </c>
      <c r="K44" s="4">
        <v>1</v>
      </c>
      <c r="L44" s="3">
        <v>8.2575268045999975E-2</v>
      </c>
      <c r="M44" s="3">
        <v>4.7907759999999993</v>
      </c>
      <c r="N44" s="2">
        <v>20.224930807225743</v>
      </c>
      <c r="O44" s="2">
        <v>40.349771444743979</v>
      </c>
      <c r="P44" s="76"/>
      <c r="Q44">
        <f t="shared" si="0"/>
        <v>1277</v>
      </c>
      <c r="R44">
        <f t="shared" si="1"/>
        <v>0.25352445333958595</v>
      </c>
      <c r="S44">
        <f t="shared" si="2"/>
        <v>-1.860108821581972E-3</v>
      </c>
      <c r="T44" s="77"/>
      <c r="U44">
        <f t="shared" si="3"/>
        <v>41.56666666666667</v>
      </c>
      <c r="V44" s="21">
        <f t="shared" si="6"/>
        <v>605128.51300000015</v>
      </c>
      <c r="Y44">
        <f t="shared" si="4"/>
        <v>1247</v>
      </c>
      <c r="Z44" s="20">
        <f t="shared" si="5"/>
        <v>446.45804574401888</v>
      </c>
    </row>
    <row r="45" spans="1:26" x14ac:dyDescent="0.3">
      <c r="A45" s="6">
        <v>45505</v>
      </c>
      <c r="B45" s="2">
        <v>483.83544329032264</v>
      </c>
      <c r="C45" s="2">
        <v>388.22419354838712</v>
      </c>
      <c r="D45" s="2">
        <v>95.611249741935481</v>
      </c>
      <c r="E45" s="2">
        <v>2246.8387096774195</v>
      </c>
      <c r="F45" s="2">
        <v>12034.95</v>
      </c>
      <c r="G45" s="3">
        <v>1.610277488E-3</v>
      </c>
      <c r="H45" s="2">
        <v>69652</v>
      </c>
      <c r="I45" s="2">
        <v>2963.948742</v>
      </c>
      <c r="J45" s="4">
        <v>1</v>
      </c>
      <c r="K45" s="4">
        <v>1</v>
      </c>
      <c r="L45" s="3">
        <v>8.418554553399997E-2</v>
      </c>
      <c r="M45" s="3">
        <v>4.8604279999999989</v>
      </c>
      <c r="N45" s="2">
        <v>19.761109085297939</v>
      </c>
      <c r="O45" s="2">
        <v>36.402074757269446</v>
      </c>
      <c r="P45" s="76"/>
      <c r="Q45">
        <f t="shared" si="0"/>
        <v>1308</v>
      </c>
      <c r="R45">
        <f t="shared" si="1"/>
        <v>0.24627844253611356</v>
      </c>
      <c r="S45">
        <f t="shared" si="2"/>
        <v>-9.4083446148002237E-4</v>
      </c>
      <c r="T45" s="77"/>
      <c r="U45">
        <f t="shared" si="3"/>
        <v>42.56666666666667</v>
      </c>
      <c r="V45" s="21">
        <f t="shared" si="6"/>
        <v>617117.08000000019</v>
      </c>
      <c r="Y45">
        <f t="shared" si="4"/>
        <v>1277</v>
      </c>
      <c r="Z45" s="20">
        <f t="shared" si="5"/>
        <v>437.70511639517417</v>
      </c>
    </row>
    <row r="46" spans="1:26" x14ac:dyDescent="0.3">
      <c r="A46" s="6">
        <v>45536</v>
      </c>
      <c r="B46" s="2">
        <v>433.06708513333336</v>
      </c>
      <c r="C46" s="2">
        <v>362.3408</v>
      </c>
      <c r="D46" s="2">
        <v>70.726285133333334</v>
      </c>
      <c r="E46" s="2">
        <v>2066.7333333333331</v>
      </c>
      <c r="F46" s="2">
        <v>10870.224</v>
      </c>
      <c r="G46" s="3">
        <v>1.4544370320000001E-3</v>
      </c>
      <c r="H46" s="2">
        <v>62002</v>
      </c>
      <c r="I46" s="2">
        <v>2121.7885540000002</v>
      </c>
      <c r="J46" s="4">
        <v>1</v>
      </c>
      <c r="K46" s="4">
        <v>1</v>
      </c>
      <c r="L46" s="3">
        <v>8.5639982565999972E-2</v>
      </c>
      <c r="M46" s="3">
        <v>4.9224299999999985</v>
      </c>
      <c r="N46" s="2">
        <v>16.331484788680726</v>
      </c>
      <c r="O46" s="2">
        <v>35.876002150461666</v>
      </c>
      <c r="P46" s="76"/>
      <c r="Q46">
        <f t="shared" si="0"/>
        <v>1339</v>
      </c>
      <c r="R46">
        <f t="shared" si="1"/>
        <v>0.19519271672782457</v>
      </c>
      <c r="S46">
        <f t="shared" si="2"/>
        <v>-7.9301746121184207E-4</v>
      </c>
      <c r="T46" s="77"/>
      <c r="U46">
        <f t="shared" si="3"/>
        <v>43.6</v>
      </c>
      <c r="V46" s="21">
        <f t="shared" si="6"/>
        <v>629152.03000000014</v>
      </c>
      <c r="Y46">
        <f t="shared" si="4"/>
        <v>1308</v>
      </c>
      <c r="Z46" s="20">
        <f t="shared" si="5"/>
        <v>428.84066230716752</v>
      </c>
    </row>
    <row r="47" spans="1:26" x14ac:dyDescent="0.3">
      <c r="A47" s="6">
        <v>45566</v>
      </c>
      <c r="B47" s="2">
        <v>406.81945548387097</v>
      </c>
      <c r="C47" s="2">
        <v>339.60929032258065</v>
      </c>
      <c r="D47" s="2">
        <v>67.21016516129032</v>
      </c>
      <c r="E47" s="2">
        <v>2194.6774193548385</v>
      </c>
      <c r="F47" s="2">
        <v>10527.888000000001</v>
      </c>
      <c r="G47" s="3">
        <v>1.4086324400000001E-3</v>
      </c>
      <c r="H47" s="2">
        <v>68035</v>
      </c>
      <c r="I47" s="2">
        <v>2083.51512</v>
      </c>
      <c r="J47" s="4">
        <v>1</v>
      </c>
      <c r="K47" s="4">
        <v>1</v>
      </c>
      <c r="L47" s="3">
        <v>8.7048615005999974E-2</v>
      </c>
      <c r="M47" s="3">
        <v>4.9904649999999986</v>
      </c>
      <c r="N47" s="2">
        <v>16.520882729502347</v>
      </c>
      <c r="O47" s="2">
        <v>40.64695055646488</v>
      </c>
      <c r="P47" s="76"/>
      <c r="Q47">
        <f t="shared" si="0"/>
        <v>1369</v>
      </c>
      <c r="R47">
        <f t="shared" si="1"/>
        <v>0.19790437740219119</v>
      </c>
      <c r="S47">
        <f t="shared" si="2"/>
        <v>-3.4410489155604836E-4</v>
      </c>
      <c r="T47" s="77"/>
      <c r="U47">
        <f t="shared" si="3"/>
        <v>44.633333333333333</v>
      </c>
      <c r="V47" s="21">
        <f t="shared" si="6"/>
        <v>640022.25400000019</v>
      </c>
      <c r="Y47">
        <f t="shared" si="4"/>
        <v>1339</v>
      </c>
      <c r="Z47" s="20">
        <f t="shared" si="5"/>
        <v>420.15573215739022</v>
      </c>
    </row>
    <row r="48" spans="1:26" x14ac:dyDescent="0.3">
      <c r="A48" s="6">
        <v>45597</v>
      </c>
      <c r="B48" s="2">
        <v>413.56399810000005</v>
      </c>
      <c r="C48" s="2">
        <v>352.20846666666671</v>
      </c>
      <c r="D48" s="2">
        <v>61.355531433333333</v>
      </c>
      <c r="E48" s="2">
        <v>2174.6</v>
      </c>
      <c r="F48" s="2">
        <v>10566.254000000001</v>
      </c>
      <c r="G48" s="3">
        <v>1.413765815E-3</v>
      </c>
      <c r="H48" s="2">
        <v>65238</v>
      </c>
      <c r="I48" s="2">
        <v>1840.665943</v>
      </c>
      <c r="J48" s="4">
        <v>1</v>
      </c>
      <c r="K48" s="4">
        <v>1</v>
      </c>
      <c r="L48" s="3">
        <v>8.846238082099997E-2</v>
      </c>
      <c r="M48" s="3">
        <v>5.0557029999999985</v>
      </c>
      <c r="N48" s="2">
        <v>14.835800919619102</v>
      </c>
      <c r="O48" s="2">
        <v>38.834384674076546</v>
      </c>
      <c r="P48" s="76"/>
      <c r="Q48">
        <f t="shared" si="0"/>
        <v>1400</v>
      </c>
      <c r="R48">
        <f t="shared" si="1"/>
        <v>0.17420231834290562</v>
      </c>
      <c r="S48">
        <f t="shared" si="2"/>
        <v>-6.1148914697184919E-4</v>
      </c>
      <c r="T48" s="77"/>
      <c r="U48">
        <f t="shared" si="3"/>
        <v>45.633333333333333</v>
      </c>
      <c r="V48" s="21">
        <f t="shared" si="6"/>
        <v>650550.14200000023</v>
      </c>
      <c r="Y48">
        <f t="shared" si="4"/>
        <v>1369</v>
      </c>
      <c r="Z48" s="20">
        <f t="shared" si="5"/>
        <v>411.91846669842181</v>
      </c>
    </row>
    <row r="49" spans="1:27" x14ac:dyDescent="0.3">
      <c r="A49" s="6">
        <v>45627</v>
      </c>
      <c r="B49" s="2">
        <v>485.51917229032256</v>
      </c>
      <c r="C49" s="2">
        <v>418.33335483870968</v>
      </c>
      <c r="D49" s="2">
        <v>67.185817451612905</v>
      </c>
      <c r="E49" s="2">
        <v>2157.3225806451615</v>
      </c>
      <c r="F49" s="2">
        <v>12968.334000000001</v>
      </c>
      <c r="G49" s="3">
        <v>1.7351643540000001E-3</v>
      </c>
      <c r="H49" s="2">
        <v>66877</v>
      </c>
      <c r="I49" s="2">
        <v>2082.7603410000002</v>
      </c>
      <c r="J49" s="4">
        <v>1</v>
      </c>
      <c r="K49" s="4">
        <v>1</v>
      </c>
      <c r="L49" s="3">
        <v>9.0197545174999963E-2</v>
      </c>
      <c r="M49" s="3">
        <v>5.1225799999999984</v>
      </c>
      <c r="N49" s="2">
        <v>13.837932935723135</v>
      </c>
      <c r="O49" s="2">
        <v>32.436159849060026</v>
      </c>
      <c r="P49" s="76"/>
      <c r="Q49">
        <f t="shared" si="0"/>
        <v>1430</v>
      </c>
      <c r="R49">
        <f t="shared" si="1"/>
        <v>0.16060353943690839</v>
      </c>
      <c r="S49">
        <f t="shared" si="2"/>
        <v>-1.9693289314515696E-4</v>
      </c>
      <c r="T49" s="77"/>
      <c r="U49">
        <f t="shared" si="3"/>
        <v>46.666666666666664</v>
      </c>
      <c r="V49" s="21">
        <f t="shared" si="6"/>
        <v>661116.39600000018</v>
      </c>
      <c r="Y49">
        <f t="shared" si="4"/>
        <v>1400</v>
      </c>
      <c r="Z49" s="20">
        <f t="shared" si="5"/>
        <v>403.57624678990783</v>
      </c>
    </row>
    <row r="50" spans="1:27" x14ac:dyDescent="0.3">
      <c r="A50" s="6">
        <v>45658</v>
      </c>
      <c r="B50" s="2">
        <v>526.91639725806453</v>
      </c>
      <c r="C50" s="2">
        <v>453.38254838709679</v>
      </c>
      <c r="D50" s="2">
        <v>73.533848870967745</v>
      </c>
      <c r="E50" s="2">
        <v>2175.8064516129034</v>
      </c>
      <c r="F50" s="2">
        <v>14054.859</v>
      </c>
      <c r="G50" s="3">
        <v>1.880541506E-3</v>
      </c>
      <c r="H50" s="2">
        <v>67450</v>
      </c>
      <c r="I50" s="2">
        <v>2279.5493150000002</v>
      </c>
      <c r="J50" s="4">
        <v>1</v>
      </c>
      <c r="K50" s="4">
        <v>1</v>
      </c>
      <c r="L50" s="3">
        <v>9.2078086680999968E-2</v>
      </c>
      <c r="M50" s="3">
        <v>5.1900299999999984</v>
      </c>
      <c r="N50" s="2">
        <v>13.955505893082606</v>
      </c>
      <c r="O50" s="2">
        <v>30.185077630447942</v>
      </c>
      <c r="P50" s="76"/>
      <c r="Q50">
        <f t="shared" si="0"/>
        <v>1461</v>
      </c>
      <c r="R50">
        <f t="shared" si="1"/>
        <v>0.16218941186105104</v>
      </c>
      <c r="S50">
        <f t="shared" si="2"/>
        <v>1.7812545113559536E-3</v>
      </c>
      <c r="T50" s="77"/>
      <c r="U50">
        <f t="shared" si="3"/>
        <v>47.666666666666664</v>
      </c>
      <c r="V50" s="21">
        <f t="shared" si="6"/>
        <v>674084.73000000021</v>
      </c>
      <c r="Y50">
        <f t="shared" si="4"/>
        <v>1430</v>
      </c>
      <c r="Z50" s="20">
        <f t="shared" si="5"/>
        <v>395.66402657414915</v>
      </c>
    </row>
    <row r="51" spans="1:27" x14ac:dyDescent="0.3">
      <c r="A51" s="6">
        <v>45689</v>
      </c>
      <c r="B51" s="2">
        <v>537.36603710714292</v>
      </c>
      <c r="C51" s="2">
        <v>422.77621428571427</v>
      </c>
      <c r="D51" s="2">
        <v>114.58982282142857</v>
      </c>
      <c r="E51" s="2">
        <v>2141.5357142857142</v>
      </c>
      <c r="F51" s="2">
        <v>11837.734</v>
      </c>
      <c r="G51" s="3">
        <v>1.5838899630000001E-3</v>
      </c>
      <c r="H51" s="2">
        <v>59963</v>
      </c>
      <c r="I51" s="2">
        <v>3208.5150389999999</v>
      </c>
      <c r="J51" s="4">
        <v>1</v>
      </c>
      <c r="K51" s="4">
        <v>1</v>
      </c>
      <c r="L51" s="3">
        <v>9.3661976643999972E-2</v>
      </c>
      <c r="M51" s="3">
        <v>5.2499929999999981</v>
      </c>
      <c r="N51" s="2">
        <v>21.324351542258157</v>
      </c>
      <c r="O51" s="2">
        <v>31.860428473895425</v>
      </c>
      <c r="P51" s="76"/>
      <c r="Q51">
        <f t="shared" si="0"/>
        <v>1492</v>
      </c>
      <c r="R51">
        <f t="shared" si="1"/>
        <v>0.27104131914097751</v>
      </c>
      <c r="S51">
        <f t="shared" si="2"/>
        <v>4.2139213524030354E-3</v>
      </c>
      <c r="T51" s="77"/>
      <c r="U51">
        <f t="shared" si="3"/>
        <v>48.7</v>
      </c>
      <c r="V51" s="21">
        <f t="shared" si="6"/>
        <v>688139.58900000027</v>
      </c>
      <c r="Y51">
        <f t="shared" si="4"/>
        <v>1461</v>
      </c>
      <c r="Z51" s="20">
        <f t="shared" si="5"/>
        <v>387.65099344643988</v>
      </c>
    </row>
    <row r="52" spans="1:27" x14ac:dyDescent="0.3">
      <c r="A52" s="6">
        <v>45717</v>
      </c>
      <c r="B52" s="2">
        <v>570.8050272258065</v>
      </c>
      <c r="C52" s="2">
        <v>404.59361290322579</v>
      </c>
      <c r="D52" s="2">
        <v>166.21141432258065</v>
      </c>
      <c r="E52" s="2">
        <v>2094.8064516129034</v>
      </c>
      <c r="F52" s="2">
        <v>12542.402</v>
      </c>
      <c r="G52" s="3">
        <v>1.6781746129999999E-3</v>
      </c>
      <c r="H52" s="2">
        <v>64939</v>
      </c>
      <c r="I52" s="2">
        <v>5152.553844</v>
      </c>
      <c r="J52" s="4">
        <v>1</v>
      </c>
      <c r="K52" s="4">
        <v>1</v>
      </c>
      <c r="L52" s="3">
        <v>9.5340151256999975E-2</v>
      </c>
      <c r="M52" s="3">
        <v>5.314931999999998</v>
      </c>
      <c r="N52" s="2">
        <v>29.118771979005114</v>
      </c>
      <c r="O52" s="2">
        <v>32.565797380756891</v>
      </c>
      <c r="P52" s="76"/>
      <c r="Q52">
        <f t="shared" si="0"/>
        <v>1520</v>
      </c>
      <c r="R52">
        <f t="shared" si="1"/>
        <v>0.41081077165283014</v>
      </c>
      <c r="S52">
        <f t="shared" si="2"/>
        <v>1.7240780930773574E-3</v>
      </c>
      <c r="T52" s="77"/>
      <c r="U52">
        <f t="shared" si="3"/>
        <v>49.733333333333334</v>
      </c>
      <c r="V52" s="21">
        <f t="shared" si="6"/>
        <v>699977.32300000032</v>
      </c>
      <c r="Y52">
        <f t="shared" si="4"/>
        <v>1492</v>
      </c>
      <c r="Z52" s="20">
        <f t="shared" si="5"/>
        <v>379.80024118227459</v>
      </c>
    </row>
    <row r="53" spans="1:27" x14ac:dyDescent="0.3">
      <c r="A53" s="6">
        <v>45748</v>
      </c>
      <c r="B53" s="2">
        <v>504.62957216666666</v>
      </c>
      <c r="C53" s="2">
        <v>367.60166666666663</v>
      </c>
      <c r="D53" s="2">
        <v>137.0279055</v>
      </c>
      <c r="E53" s="2">
        <v>2162.0666666666666</v>
      </c>
      <c r="F53" s="2">
        <v>11028.05</v>
      </c>
      <c r="G53" s="3">
        <v>1.475554167E-3</v>
      </c>
      <c r="H53" s="2">
        <v>64862</v>
      </c>
      <c r="I53" s="2">
        <v>4110.8371649999999</v>
      </c>
      <c r="J53" s="4">
        <v>1</v>
      </c>
      <c r="K53" s="4">
        <v>1</v>
      </c>
      <c r="L53" s="3">
        <v>9.6815705423999976E-2</v>
      </c>
      <c r="M53" s="3">
        <v>5.3797939999999977</v>
      </c>
      <c r="N53" s="2">
        <v>27.154156842544907</v>
      </c>
      <c r="O53" s="2">
        <v>36.993757518328266</v>
      </c>
      <c r="P53" s="76"/>
      <c r="Q53">
        <f t="shared" si="0"/>
        <v>1551</v>
      </c>
      <c r="R53">
        <f t="shared" si="1"/>
        <v>0.3727619266325416</v>
      </c>
      <c r="S53">
        <f t="shared" si="2"/>
        <v>-1.9028956405411476E-3</v>
      </c>
      <c r="T53" s="77"/>
      <c r="U53">
        <f t="shared" si="3"/>
        <v>50.666666666666664</v>
      </c>
      <c r="V53" s="21">
        <f t="shared" si="6"/>
        <v>712519.72500000033</v>
      </c>
      <c r="Y53">
        <f t="shared" si="4"/>
        <v>1520</v>
      </c>
      <c r="Z53" s="20">
        <f t="shared" si="5"/>
        <v>372.84598793657386</v>
      </c>
    </row>
    <row r="54" spans="1:27" x14ac:dyDescent="0.3">
      <c r="A54" s="6">
        <v>45778</v>
      </c>
      <c r="B54" s="2">
        <v>177.26944329032258</v>
      </c>
      <c r="C54" s="2">
        <v>136.91570967741936</v>
      </c>
      <c r="D54" s="2">
        <v>40.353733612903227</v>
      </c>
      <c r="E54" s="2">
        <v>714.0322580645161</v>
      </c>
      <c r="F54" s="2">
        <v>4244.3869999999997</v>
      </c>
      <c r="G54" s="3">
        <v>5.6789939600000001E-4</v>
      </c>
      <c r="H54" s="2">
        <v>22135</v>
      </c>
      <c r="I54" s="2">
        <v>1250.9657420000001</v>
      </c>
      <c r="J54" s="4">
        <v>1</v>
      </c>
      <c r="K54" s="4">
        <v>1</v>
      </c>
      <c r="L54" s="3">
        <v>9.7383604819999969E-2</v>
      </c>
      <c r="M54" s="3">
        <v>5.4019289999999973</v>
      </c>
      <c r="N54" s="2">
        <v>22.764066307137888</v>
      </c>
      <c r="O54" s="2">
        <v>32.802080253285105</v>
      </c>
      <c r="P54" s="76"/>
      <c r="Q54">
        <f t="shared" si="0"/>
        <v>1581</v>
      </c>
      <c r="R54">
        <f t="shared" si="1"/>
        <v>0.29473413757982014</v>
      </c>
      <c r="S54" t="e">
        <f t="shared" si="2"/>
        <v>#DIV/0!</v>
      </c>
      <c r="T54" s="77"/>
      <c r="U54">
        <f t="shared" si="3"/>
        <v>51.7</v>
      </c>
      <c r="V54" s="21">
        <f t="shared" si="6"/>
        <v>723547.77500000037</v>
      </c>
      <c r="Y54">
        <f t="shared" si="4"/>
        <v>1551</v>
      </c>
      <c r="Z54" s="20">
        <f t="shared" si="5"/>
        <v>365.29506833759598</v>
      </c>
    </row>
    <row r="55" spans="1:27" x14ac:dyDescent="0.3">
      <c r="A55" s="6">
        <v>45809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3">
        <v>0</v>
      </c>
      <c r="H55" s="2">
        <v>0</v>
      </c>
      <c r="I55" s="2">
        <v>0</v>
      </c>
      <c r="J55" s="4">
        <v>1</v>
      </c>
      <c r="K55" s="4">
        <v>1</v>
      </c>
      <c r="L55" s="3">
        <v>9.7383604819999969E-2</v>
      </c>
      <c r="M55" s="3">
        <v>5.4019289999999973</v>
      </c>
      <c r="N55" s="2">
        <v>0</v>
      </c>
      <c r="O55" s="2"/>
      <c r="P55" s="76"/>
      <c r="Q55">
        <f t="shared" si="0"/>
        <v>1612</v>
      </c>
      <c r="R55" t="e">
        <f t="shared" si="1"/>
        <v>#DIV/0!</v>
      </c>
      <c r="S55" t="e">
        <f t="shared" si="2"/>
        <v>#DIV/0!</v>
      </c>
      <c r="T55" s="77"/>
      <c r="U55">
        <f t="shared" si="3"/>
        <v>52.7</v>
      </c>
      <c r="V55" s="21">
        <f t="shared" si="6"/>
        <v>727792.16200000036</v>
      </c>
      <c r="Y55">
        <f t="shared" si="4"/>
        <v>1581</v>
      </c>
      <c r="Z55" s="20">
        <f t="shared" si="5"/>
        <v>358.13336085999435</v>
      </c>
    </row>
    <row r="56" spans="1:27" x14ac:dyDescent="0.3">
      <c r="A56" s="6">
        <v>45839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3">
        <v>0</v>
      </c>
      <c r="H56" s="2">
        <v>0</v>
      </c>
      <c r="I56" s="2">
        <v>0</v>
      </c>
      <c r="J56" s="4">
        <v>1</v>
      </c>
      <c r="K56" s="4">
        <v>1</v>
      </c>
      <c r="L56" s="3">
        <v>9.7383604819999969E-2</v>
      </c>
      <c r="M56" s="3">
        <v>5.4019289999999973</v>
      </c>
      <c r="N56" s="2">
        <v>0</v>
      </c>
      <c r="O56" s="2"/>
      <c r="P56" s="76"/>
      <c r="Q56">
        <f t="shared" si="0"/>
        <v>1642</v>
      </c>
      <c r="R56" t="e">
        <f t="shared" si="1"/>
        <v>#DIV/0!</v>
      </c>
      <c r="S56" t="e">
        <f t="shared" si="2"/>
        <v>#DIV/0!</v>
      </c>
      <c r="T56" s="77"/>
      <c r="U56">
        <f t="shared" si="3"/>
        <v>53.733333333333334</v>
      </c>
      <c r="V56" s="21">
        <f t="shared" si="6"/>
        <v>727792.16200000036</v>
      </c>
      <c r="Y56">
        <f t="shared" si="4"/>
        <v>1612</v>
      </c>
      <c r="Z56" s="20">
        <f t="shared" si="5"/>
        <v>350.8804030676053</v>
      </c>
    </row>
    <row r="57" spans="1:27" x14ac:dyDescent="0.3">
      <c r="A57" s="6">
        <v>45870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3">
        <v>0</v>
      </c>
      <c r="H57" s="2">
        <v>0</v>
      </c>
      <c r="I57" s="2">
        <v>0</v>
      </c>
      <c r="J57" s="4">
        <v>1</v>
      </c>
      <c r="K57" s="4">
        <v>1</v>
      </c>
      <c r="L57" s="3">
        <v>9.7383604819999969E-2</v>
      </c>
      <c r="M57" s="3">
        <v>5.4019289999999973</v>
      </c>
      <c r="N57" s="2">
        <v>0</v>
      </c>
      <c r="O57" s="2"/>
      <c r="P57" s="76"/>
      <c r="Q57">
        <f t="shared" si="0"/>
        <v>1673</v>
      </c>
      <c r="R57" t="e">
        <f t="shared" si="1"/>
        <v>#DIV/0!</v>
      </c>
      <c r="S57" t="e">
        <f t="shared" si="2"/>
        <v>#DIV/0!</v>
      </c>
      <c r="T57" s="77"/>
      <c r="U57">
        <f t="shared" si="3"/>
        <v>54.733333333333334</v>
      </c>
      <c r="V57" s="21">
        <f t="shared" si="6"/>
        <v>727792.16200000036</v>
      </c>
      <c r="Y57">
        <f t="shared" si="4"/>
        <v>1642</v>
      </c>
      <c r="Z57" s="20">
        <f t="shared" si="5"/>
        <v>344.00129895643022</v>
      </c>
    </row>
    <row r="58" spans="1:27" x14ac:dyDescent="0.3">
      <c r="A58" s="6">
        <v>45901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3">
        <v>0</v>
      </c>
      <c r="H58" s="2">
        <v>0</v>
      </c>
      <c r="I58" s="2">
        <v>0</v>
      </c>
      <c r="J58" s="4">
        <v>1</v>
      </c>
      <c r="K58" s="4">
        <v>1</v>
      </c>
      <c r="L58" s="3">
        <v>9.7383604819999969E-2</v>
      </c>
      <c r="M58" s="3">
        <v>5.4019289999999973</v>
      </c>
      <c r="N58" s="2">
        <v>0</v>
      </c>
      <c r="O58" s="2"/>
      <c r="P58" s="76"/>
      <c r="Q58">
        <f t="shared" si="0"/>
        <v>1704</v>
      </c>
      <c r="R58" t="e">
        <f t="shared" si="1"/>
        <v>#DIV/0!</v>
      </c>
      <c r="S58" t="e">
        <f t="shared" si="2"/>
        <v>#DIV/0!</v>
      </c>
      <c r="T58" s="77"/>
      <c r="U58">
        <f t="shared" si="3"/>
        <v>55.766666666666666</v>
      </c>
      <c r="V58" s="21">
        <f t="shared" si="6"/>
        <v>727792.16200000036</v>
      </c>
      <c r="Y58">
        <f t="shared" si="4"/>
        <v>1673</v>
      </c>
      <c r="Z58" s="20">
        <f t="shared" si="5"/>
        <v>337.03454529833306</v>
      </c>
    </row>
    <row r="59" spans="1:27" x14ac:dyDescent="0.3">
      <c r="A59" s="6">
        <v>45931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3">
        <v>0</v>
      </c>
      <c r="H59" s="2">
        <v>0</v>
      </c>
      <c r="I59" s="2">
        <v>0</v>
      </c>
      <c r="J59" s="4">
        <v>1</v>
      </c>
      <c r="K59" s="4">
        <v>1</v>
      </c>
      <c r="L59" s="3">
        <v>9.7383604819999969E-2</v>
      </c>
      <c r="M59" s="3">
        <v>5.4019289999999973</v>
      </c>
      <c r="N59" s="2">
        <v>0</v>
      </c>
      <c r="O59" s="2"/>
      <c r="P59" s="76"/>
      <c r="Q59">
        <f t="shared" si="0"/>
        <v>1734</v>
      </c>
      <c r="R59" t="e">
        <f t="shared" si="1"/>
        <v>#DIV/0!</v>
      </c>
      <c r="S59" t="e">
        <f t="shared" si="2"/>
        <v>#DIV/0!</v>
      </c>
      <c r="T59" s="77"/>
      <c r="U59">
        <f t="shared" si="3"/>
        <v>56.8</v>
      </c>
      <c r="V59" s="21">
        <f t="shared" si="6"/>
        <v>727792.16200000036</v>
      </c>
      <c r="Y59">
        <f t="shared" si="4"/>
        <v>1704</v>
      </c>
      <c r="Z59" s="20">
        <f t="shared" si="5"/>
        <v>330.2088831322734</v>
      </c>
    </row>
    <row r="60" spans="1:27" x14ac:dyDescent="0.3">
      <c r="U60">
        <f t="shared" si="3"/>
        <v>57.8</v>
      </c>
      <c r="Y60">
        <f t="shared" si="4"/>
        <v>1734</v>
      </c>
      <c r="Z60" s="20">
        <f t="shared" si="5"/>
        <v>323.73504969602971</v>
      </c>
      <c r="AA60" s="20">
        <f>AA59+Z60</f>
        <v>323.73504969602971</v>
      </c>
    </row>
    <row r="61" spans="1:27" x14ac:dyDescent="0.3">
      <c r="Y61">
        <f>Y60+2</f>
        <v>1736</v>
      </c>
      <c r="Z61" s="20">
        <f t="shared" si="5"/>
        <v>323.30800134435043</v>
      </c>
      <c r="AA61">
        <f t="shared" ref="AA61:AA68" si="7">AA60+Z61</f>
        <v>647.04305104038008</v>
      </c>
    </row>
    <row r="62" spans="1:27" x14ac:dyDescent="0.3">
      <c r="Y62">
        <f t="shared" ref="Y62:Y125" si="8">Y61+2</f>
        <v>1738</v>
      </c>
      <c r="Z62" s="20">
        <f t="shared" si="5"/>
        <v>322.88151632461455</v>
      </c>
      <c r="AA62">
        <f t="shared" si="7"/>
        <v>969.92456736499457</v>
      </c>
    </row>
    <row r="63" spans="1:27" x14ac:dyDescent="0.3">
      <c r="Y63">
        <f t="shared" si="8"/>
        <v>1740</v>
      </c>
      <c r="Z63" s="20">
        <f t="shared" si="5"/>
        <v>322.45559389371437</v>
      </c>
      <c r="AA63">
        <f t="shared" si="7"/>
        <v>1292.380161258709</v>
      </c>
    </row>
    <row r="64" spans="1:27" x14ac:dyDescent="0.3">
      <c r="Y64">
        <f t="shared" si="8"/>
        <v>1742</v>
      </c>
      <c r="Z64" s="20">
        <f t="shared" si="5"/>
        <v>322.0302333095226</v>
      </c>
      <c r="AA64">
        <f t="shared" si="7"/>
        <v>1614.4103945682316</v>
      </c>
    </row>
    <row r="65" spans="25:27" x14ac:dyDescent="0.3">
      <c r="Y65">
        <f t="shared" si="8"/>
        <v>1744</v>
      </c>
      <c r="Z65" s="20">
        <f t="shared" si="5"/>
        <v>321.60543383089083</v>
      </c>
      <c r="AA65">
        <f t="shared" si="7"/>
        <v>1936.0158283991225</v>
      </c>
    </row>
    <row r="66" spans="25:27" x14ac:dyDescent="0.3">
      <c r="Y66">
        <f t="shared" si="8"/>
        <v>1746</v>
      </c>
      <c r="Z66" s="20">
        <f t="shared" si="5"/>
        <v>321.18119471764828</v>
      </c>
      <c r="AA66">
        <f t="shared" si="7"/>
        <v>2257.1970231167707</v>
      </c>
    </row>
    <row r="67" spans="25:27" x14ac:dyDescent="0.3">
      <c r="Y67">
        <f t="shared" si="8"/>
        <v>1748</v>
      </c>
      <c r="Z67" s="20">
        <f t="shared" si="5"/>
        <v>320.75751523060075</v>
      </c>
      <c r="AA67">
        <f t="shared" si="7"/>
        <v>2577.9545383473715</v>
      </c>
    </row>
    <row r="68" spans="25:27" x14ac:dyDescent="0.3">
      <c r="Y68">
        <f t="shared" si="8"/>
        <v>1750</v>
      </c>
      <c r="Z68" s="20">
        <f t="shared" ref="Z68:Z131" si="9">1016.74887*EXP(-0.00066*Y68)</f>
        <v>320.33439463152877</v>
      </c>
      <c r="AA68">
        <f t="shared" si="7"/>
        <v>2898.2889329789004</v>
      </c>
    </row>
    <row r="69" spans="25:27" x14ac:dyDescent="0.3">
      <c r="Y69">
        <f t="shared" si="8"/>
        <v>1752</v>
      </c>
      <c r="Z69" s="20">
        <f t="shared" si="9"/>
        <v>319.91183218318719</v>
      </c>
      <c r="AA69">
        <f t="shared" ref="AA69:AA132" si="10">AA68+Z69</f>
        <v>3218.2007651620875</v>
      </c>
    </row>
    <row r="70" spans="25:27" x14ac:dyDescent="0.3">
      <c r="Y70">
        <f t="shared" si="8"/>
        <v>1754</v>
      </c>
      <c r="Z70" s="20">
        <f t="shared" si="9"/>
        <v>319.48982714930287</v>
      </c>
      <c r="AA70">
        <f t="shared" si="10"/>
        <v>3537.6905923113904</v>
      </c>
    </row>
    <row r="71" spans="25:27" x14ac:dyDescent="0.3">
      <c r="Y71">
        <f t="shared" si="8"/>
        <v>1756</v>
      </c>
      <c r="Z71" s="20">
        <f t="shared" si="9"/>
        <v>319.06837879457419</v>
      </c>
      <c r="AA71">
        <f t="shared" si="10"/>
        <v>3856.7589711059645</v>
      </c>
    </row>
    <row r="72" spans="25:27" x14ac:dyDescent="0.3">
      <c r="Y72">
        <f t="shared" si="8"/>
        <v>1758</v>
      </c>
      <c r="Z72" s="20">
        <f t="shared" si="9"/>
        <v>318.64748638466949</v>
      </c>
      <c r="AA72">
        <f t="shared" si="10"/>
        <v>4175.4064574906342</v>
      </c>
    </row>
    <row r="73" spans="25:27" x14ac:dyDescent="0.3">
      <c r="Y73">
        <f t="shared" si="8"/>
        <v>1760</v>
      </c>
      <c r="Z73" s="20">
        <f t="shared" si="9"/>
        <v>318.22714918622563</v>
      </c>
      <c r="AA73">
        <f t="shared" si="10"/>
        <v>4493.6336066768599</v>
      </c>
    </row>
    <row r="74" spans="25:27" x14ac:dyDescent="0.3">
      <c r="Y74">
        <f t="shared" si="8"/>
        <v>1762</v>
      </c>
      <c r="Z74" s="20">
        <f t="shared" si="9"/>
        <v>317.8073664668471</v>
      </c>
      <c r="AA74">
        <f t="shared" si="10"/>
        <v>4811.4409731437072</v>
      </c>
    </row>
    <row r="75" spans="25:27" x14ac:dyDescent="0.3">
      <c r="Y75">
        <f t="shared" si="8"/>
        <v>1764</v>
      </c>
      <c r="Z75" s="20">
        <f t="shared" si="9"/>
        <v>317.38813749510422</v>
      </c>
      <c r="AA75">
        <f t="shared" si="10"/>
        <v>5128.8291106388115</v>
      </c>
    </row>
    <row r="76" spans="25:27" x14ac:dyDescent="0.3">
      <c r="Y76">
        <f t="shared" si="8"/>
        <v>1766</v>
      </c>
      <c r="Z76" s="20">
        <f t="shared" si="9"/>
        <v>316.96946154053245</v>
      </c>
      <c r="AA76">
        <f t="shared" si="10"/>
        <v>5445.7985721793439</v>
      </c>
    </row>
    <row r="77" spans="25:27" x14ac:dyDescent="0.3">
      <c r="Y77">
        <f t="shared" si="8"/>
        <v>1768</v>
      </c>
      <c r="Z77" s="20">
        <f t="shared" si="9"/>
        <v>316.55133787363064</v>
      </c>
      <c r="AA77">
        <f t="shared" si="10"/>
        <v>5762.3499100529743</v>
      </c>
    </row>
    <row r="78" spans="25:27" x14ac:dyDescent="0.3">
      <c r="Y78">
        <f t="shared" si="8"/>
        <v>1770</v>
      </c>
      <c r="Z78" s="20">
        <f t="shared" si="9"/>
        <v>316.13376576586012</v>
      </c>
      <c r="AA78">
        <f t="shared" si="10"/>
        <v>6078.4836758188349</v>
      </c>
    </row>
    <row r="79" spans="25:27" x14ac:dyDescent="0.3">
      <c r="Y79">
        <f t="shared" si="8"/>
        <v>1772</v>
      </c>
      <c r="Z79" s="20">
        <f t="shared" si="9"/>
        <v>315.71674448964296</v>
      </c>
      <c r="AA79">
        <f t="shared" si="10"/>
        <v>6394.200420308478</v>
      </c>
    </row>
    <row r="80" spans="25:27" x14ac:dyDescent="0.3">
      <c r="Y80">
        <f t="shared" si="8"/>
        <v>1774</v>
      </c>
      <c r="Z80" s="20">
        <f t="shared" si="9"/>
        <v>315.30027331836123</v>
      </c>
      <c r="AA80">
        <f t="shared" si="10"/>
        <v>6709.5006936268392</v>
      </c>
    </row>
    <row r="81" spans="25:27" x14ac:dyDescent="0.3">
      <c r="Y81">
        <f t="shared" si="8"/>
        <v>1776</v>
      </c>
      <c r="Z81" s="20">
        <f t="shared" si="9"/>
        <v>314.88435152635554</v>
      </c>
      <c r="AA81">
        <f t="shared" si="10"/>
        <v>7024.3850451531944</v>
      </c>
    </row>
    <row r="82" spans="25:27" x14ac:dyDescent="0.3">
      <c r="Y82">
        <f t="shared" si="8"/>
        <v>1778</v>
      </c>
      <c r="Z82" s="20">
        <f t="shared" si="9"/>
        <v>314.46897838892363</v>
      </c>
      <c r="AA82">
        <f t="shared" si="10"/>
        <v>7338.8540235421178</v>
      </c>
    </row>
    <row r="83" spans="25:27" x14ac:dyDescent="0.3">
      <c r="Y83">
        <f t="shared" si="8"/>
        <v>1780</v>
      </c>
      <c r="Z83" s="20">
        <f t="shared" si="9"/>
        <v>314.05415318231923</v>
      </c>
      <c r="AA83">
        <f t="shared" si="10"/>
        <v>7652.908176724437</v>
      </c>
    </row>
    <row r="84" spans="25:27" x14ac:dyDescent="0.3">
      <c r="Y84">
        <f t="shared" si="8"/>
        <v>1782</v>
      </c>
      <c r="Z84" s="20">
        <f t="shared" si="9"/>
        <v>313.6398751837508</v>
      </c>
      <c r="AA84">
        <f t="shared" si="10"/>
        <v>7966.5480519081875</v>
      </c>
    </row>
    <row r="85" spans="25:27" x14ac:dyDescent="0.3">
      <c r="Y85">
        <f t="shared" si="8"/>
        <v>1784</v>
      </c>
      <c r="Z85" s="20">
        <f t="shared" si="9"/>
        <v>313.22614367138027</v>
      </c>
      <c r="AA85">
        <f t="shared" si="10"/>
        <v>8279.7741955795682</v>
      </c>
    </row>
    <row r="86" spans="25:27" x14ac:dyDescent="0.3">
      <c r="Y86">
        <f t="shared" si="8"/>
        <v>1786</v>
      </c>
      <c r="Z86" s="20">
        <f t="shared" si="9"/>
        <v>312.81295792432161</v>
      </c>
      <c r="AA86">
        <f t="shared" si="10"/>
        <v>8592.5871535038896</v>
      </c>
    </row>
    <row r="87" spans="25:27" x14ac:dyDescent="0.3">
      <c r="Y87">
        <f t="shared" si="8"/>
        <v>1788</v>
      </c>
      <c r="Z87" s="20">
        <f t="shared" si="9"/>
        <v>312.40031722264007</v>
      </c>
      <c r="AA87">
        <f t="shared" si="10"/>
        <v>8904.9874707265299</v>
      </c>
    </row>
    <row r="88" spans="25:27" x14ac:dyDescent="0.3">
      <c r="Y88">
        <f t="shared" si="8"/>
        <v>1790</v>
      </c>
      <c r="Z88" s="20">
        <f t="shared" si="9"/>
        <v>311.98822084735031</v>
      </c>
      <c r="AA88">
        <f t="shared" si="10"/>
        <v>9216.9756915738799</v>
      </c>
    </row>
    <row r="89" spans="25:27" x14ac:dyDescent="0.3">
      <c r="Y89">
        <f t="shared" si="8"/>
        <v>1792</v>
      </c>
      <c r="Z89" s="20">
        <f t="shared" si="9"/>
        <v>311.5766680804154</v>
      </c>
      <c r="AA89">
        <f t="shared" si="10"/>
        <v>9528.5523596542953</v>
      </c>
    </row>
    <row r="90" spans="25:27" x14ac:dyDescent="0.3">
      <c r="Y90">
        <f t="shared" si="8"/>
        <v>1794</v>
      </c>
      <c r="Z90" s="20">
        <f t="shared" si="9"/>
        <v>311.16565820474585</v>
      </c>
      <c r="AA90">
        <f t="shared" si="10"/>
        <v>9839.7180178590406</v>
      </c>
    </row>
    <row r="91" spans="25:27" x14ac:dyDescent="0.3">
      <c r="Y91">
        <f t="shared" si="8"/>
        <v>1796</v>
      </c>
      <c r="Z91" s="20">
        <f t="shared" si="9"/>
        <v>310.75519050419786</v>
      </c>
      <c r="AA91">
        <f t="shared" si="10"/>
        <v>10150.473208363239</v>
      </c>
    </row>
    <row r="92" spans="25:27" x14ac:dyDescent="0.3">
      <c r="Y92">
        <f t="shared" si="8"/>
        <v>1798</v>
      </c>
      <c r="Z92" s="20">
        <f t="shared" si="9"/>
        <v>310.34526426357246</v>
      </c>
      <c r="AA92">
        <f t="shared" si="10"/>
        <v>10460.818472626812</v>
      </c>
    </row>
    <row r="93" spans="25:27" x14ac:dyDescent="0.3">
      <c r="Y93">
        <f t="shared" si="8"/>
        <v>1800</v>
      </c>
      <c r="Z93" s="20">
        <f t="shared" si="9"/>
        <v>309.93587876861392</v>
      </c>
      <c r="AA93">
        <f t="shared" si="10"/>
        <v>10770.754351395426</v>
      </c>
    </row>
    <row r="94" spans="25:27" x14ac:dyDescent="0.3">
      <c r="Y94">
        <f t="shared" si="8"/>
        <v>1802</v>
      </c>
      <c r="Z94" s="20">
        <f t="shared" si="9"/>
        <v>309.52703330600906</v>
      </c>
      <c r="AA94">
        <f t="shared" si="10"/>
        <v>11080.281384701435</v>
      </c>
    </row>
    <row r="95" spans="25:27" x14ac:dyDescent="0.3">
      <c r="Y95">
        <f t="shared" si="8"/>
        <v>1804</v>
      </c>
      <c r="Z95" s="20">
        <f t="shared" si="9"/>
        <v>309.11872716338536</v>
      </c>
      <c r="AA95">
        <f t="shared" si="10"/>
        <v>11389.400111864821</v>
      </c>
    </row>
    <row r="96" spans="25:27" x14ac:dyDescent="0.3">
      <c r="Y96">
        <f t="shared" si="8"/>
        <v>1806</v>
      </c>
      <c r="Z96" s="20">
        <f t="shared" si="9"/>
        <v>308.71095962931003</v>
      </c>
      <c r="AA96">
        <f t="shared" si="10"/>
        <v>11698.111071494131</v>
      </c>
    </row>
    <row r="97" spans="25:27" x14ac:dyDescent="0.3">
      <c r="Y97">
        <f t="shared" si="8"/>
        <v>1808</v>
      </c>
      <c r="Z97" s="20">
        <f t="shared" si="9"/>
        <v>308.30372999328881</v>
      </c>
      <c r="AA97">
        <f t="shared" si="10"/>
        <v>12006.414801487421</v>
      </c>
    </row>
    <row r="98" spans="25:27" x14ac:dyDescent="0.3">
      <c r="Y98">
        <f t="shared" si="8"/>
        <v>1810</v>
      </c>
      <c r="Z98" s="20">
        <f t="shared" si="9"/>
        <v>307.89703754576482</v>
      </c>
      <c r="AA98">
        <f t="shared" si="10"/>
        <v>12314.311839033186</v>
      </c>
    </row>
    <row r="99" spans="25:27" x14ac:dyDescent="0.3">
      <c r="Y99">
        <f t="shared" si="8"/>
        <v>1812</v>
      </c>
      <c r="Z99" s="20">
        <f t="shared" si="9"/>
        <v>307.49088157811678</v>
      </c>
      <c r="AA99">
        <f t="shared" si="10"/>
        <v>12621.802720611302</v>
      </c>
    </row>
    <row r="100" spans="25:27" x14ac:dyDescent="0.3">
      <c r="Y100">
        <f t="shared" si="8"/>
        <v>1814</v>
      </c>
      <c r="Z100" s="20">
        <f t="shared" si="9"/>
        <v>307.0852613826587</v>
      </c>
      <c r="AA100">
        <f t="shared" si="10"/>
        <v>12928.887981993961</v>
      </c>
    </row>
    <row r="101" spans="25:27" x14ac:dyDescent="0.3">
      <c r="Y101">
        <f t="shared" si="8"/>
        <v>1816</v>
      </c>
      <c r="Z101" s="20">
        <f t="shared" si="9"/>
        <v>306.68017625263781</v>
      </c>
      <c r="AA101">
        <f t="shared" si="10"/>
        <v>13235.568158246599</v>
      </c>
    </row>
    <row r="102" spans="25:27" x14ac:dyDescent="0.3">
      <c r="Y102">
        <f t="shared" si="8"/>
        <v>1818</v>
      </c>
      <c r="Z102" s="20">
        <f t="shared" si="9"/>
        <v>306.27562548223358</v>
      </c>
      <c r="AA102">
        <f t="shared" si="10"/>
        <v>13541.843783728833</v>
      </c>
    </row>
    <row r="103" spans="25:27" x14ac:dyDescent="0.3">
      <c r="Y103">
        <f t="shared" si="8"/>
        <v>1820</v>
      </c>
      <c r="Z103" s="20">
        <f t="shared" si="9"/>
        <v>305.8716083665567</v>
      </c>
      <c r="AA103">
        <f t="shared" si="10"/>
        <v>13847.71539209539</v>
      </c>
    </row>
    <row r="104" spans="25:27" x14ac:dyDescent="0.3">
      <c r="Y104">
        <f t="shared" si="8"/>
        <v>1822</v>
      </c>
      <c r="Z104" s="20">
        <f t="shared" si="9"/>
        <v>305.46812420164758</v>
      </c>
      <c r="AA104">
        <f t="shared" si="10"/>
        <v>14153.183516297036</v>
      </c>
    </row>
    <row r="105" spans="25:27" x14ac:dyDescent="0.3">
      <c r="Y105">
        <f t="shared" si="8"/>
        <v>1824</v>
      </c>
      <c r="Z105" s="20">
        <f t="shared" si="9"/>
        <v>305.0651722844753</v>
      </c>
      <c r="AA105">
        <f t="shared" si="10"/>
        <v>14458.248688581512</v>
      </c>
    </row>
    <row r="106" spans="25:27" x14ac:dyDescent="0.3">
      <c r="Y106">
        <f t="shared" si="8"/>
        <v>1826</v>
      </c>
      <c r="Z106" s="20">
        <f t="shared" si="9"/>
        <v>304.66275191293647</v>
      </c>
      <c r="AA106">
        <f t="shared" si="10"/>
        <v>14762.911440494448</v>
      </c>
    </row>
    <row r="107" spans="25:27" x14ac:dyDescent="0.3">
      <c r="Y107">
        <f t="shared" si="8"/>
        <v>1828</v>
      </c>
      <c r="Z107" s="20">
        <f t="shared" si="9"/>
        <v>304.26086238585361</v>
      </c>
      <c r="AA107">
        <f t="shared" si="10"/>
        <v>15067.172302880303</v>
      </c>
    </row>
    <row r="108" spans="25:27" x14ac:dyDescent="0.3">
      <c r="Y108">
        <f t="shared" si="8"/>
        <v>1830</v>
      </c>
      <c r="Z108" s="20">
        <f t="shared" si="9"/>
        <v>303.85950300297441</v>
      </c>
      <c r="AA108">
        <f t="shared" si="10"/>
        <v>15371.031805883276</v>
      </c>
    </row>
    <row r="109" spans="25:27" x14ac:dyDescent="0.3">
      <c r="Y109">
        <f t="shared" si="8"/>
        <v>1832</v>
      </c>
      <c r="Z109" s="20">
        <f t="shared" si="9"/>
        <v>303.45867306497007</v>
      </c>
      <c r="AA109">
        <f t="shared" si="10"/>
        <v>15674.490478948246</v>
      </c>
    </row>
    <row r="110" spans="25:27" x14ac:dyDescent="0.3">
      <c r="Y110">
        <f t="shared" si="8"/>
        <v>1834</v>
      </c>
      <c r="Z110" s="20">
        <f t="shared" si="9"/>
        <v>303.05837187343445</v>
      </c>
      <c r="AA110">
        <f t="shared" si="10"/>
        <v>15977.54885082168</v>
      </c>
    </row>
    <row r="111" spans="25:27" x14ac:dyDescent="0.3">
      <c r="Y111">
        <f t="shared" si="8"/>
        <v>1836</v>
      </c>
      <c r="Z111" s="20">
        <f t="shared" si="9"/>
        <v>302.65859873088266</v>
      </c>
      <c r="AA111">
        <f t="shared" si="10"/>
        <v>16280.207449552563</v>
      </c>
    </row>
    <row r="112" spans="25:27" x14ac:dyDescent="0.3">
      <c r="Y112">
        <f t="shared" si="8"/>
        <v>1838</v>
      </c>
      <c r="Z112" s="20">
        <f t="shared" si="9"/>
        <v>302.25935294074986</v>
      </c>
      <c r="AA112">
        <f t="shared" si="10"/>
        <v>16582.466802493313</v>
      </c>
    </row>
    <row r="113" spans="25:27" x14ac:dyDescent="0.3">
      <c r="Y113">
        <f t="shared" si="8"/>
        <v>1840</v>
      </c>
      <c r="Z113" s="20">
        <f t="shared" si="9"/>
        <v>301.86063380739012</v>
      </c>
      <c r="AA113">
        <f t="shared" si="10"/>
        <v>16884.327436300704</v>
      </c>
    </row>
    <row r="114" spans="25:27" x14ac:dyDescent="0.3">
      <c r="Y114">
        <f t="shared" si="8"/>
        <v>1842</v>
      </c>
      <c r="Z114" s="20">
        <f t="shared" si="9"/>
        <v>301.46244063607509</v>
      </c>
      <c r="AA114">
        <f t="shared" si="10"/>
        <v>17185.789876936778</v>
      </c>
    </row>
    <row r="115" spans="25:27" x14ac:dyDescent="0.3">
      <c r="Y115">
        <f t="shared" si="8"/>
        <v>1844</v>
      </c>
      <c r="Z115" s="20">
        <f t="shared" si="9"/>
        <v>301.06477273299288</v>
      </c>
      <c r="AA115">
        <f t="shared" si="10"/>
        <v>17486.854649669771</v>
      </c>
    </row>
    <row r="116" spans="25:27" x14ac:dyDescent="0.3">
      <c r="Y116">
        <f t="shared" si="8"/>
        <v>1846</v>
      </c>
      <c r="Z116" s="20">
        <f t="shared" si="9"/>
        <v>300.66762940524688</v>
      </c>
      <c r="AA116">
        <f t="shared" si="10"/>
        <v>17787.522279075019</v>
      </c>
    </row>
    <row r="117" spans="25:27" x14ac:dyDescent="0.3">
      <c r="Y117">
        <f t="shared" si="8"/>
        <v>1848</v>
      </c>
      <c r="Z117" s="20">
        <f t="shared" si="9"/>
        <v>300.27100996085431</v>
      </c>
      <c r="AA117">
        <f t="shared" si="10"/>
        <v>18087.793289035875</v>
      </c>
    </row>
    <row r="118" spans="25:27" x14ac:dyDescent="0.3">
      <c r="Y118">
        <f t="shared" si="8"/>
        <v>1850</v>
      </c>
      <c r="Z118" s="20">
        <f t="shared" si="9"/>
        <v>299.87491370874551</v>
      </c>
      <c r="AA118">
        <f t="shared" si="10"/>
        <v>18387.668202744622</v>
      </c>
    </row>
    <row r="119" spans="25:27" x14ac:dyDescent="0.3">
      <c r="Y119">
        <f t="shared" si="8"/>
        <v>1852</v>
      </c>
      <c r="Z119" s="20">
        <f t="shared" si="9"/>
        <v>299.47933995876235</v>
      </c>
      <c r="AA119">
        <f t="shared" si="10"/>
        <v>18687.147542703384</v>
      </c>
    </row>
    <row r="120" spans="25:27" x14ac:dyDescent="0.3">
      <c r="Y120">
        <f t="shared" si="8"/>
        <v>1854</v>
      </c>
      <c r="Z120" s="20">
        <f t="shared" si="9"/>
        <v>299.08428802165679</v>
      </c>
      <c r="AA120">
        <f t="shared" si="10"/>
        <v>18986.231830725039</v>
      </c>
    </row>
    <row r="121" spans="25:27" x14ac:dyDescent="0.3">
      <c r="Y121">
        <f t="shared" si="8"/>
        <v>1856</v>
      </c>
      <c r="Z121" s="20">
        <f t="shared" si="9"/>
        <v>298.68975720909037</v>
      </c>
      <c r="AA121">
        <f t="shared" si="10"/>
        <v>19284.921587934128</v>
      </c>
    </row>
    <row r="122" spans="25:27" x14ac:dyDescent="0.3">
      <c r="Y122">
        <f t="shared" si="8"/>
        <v>1858</v>
      </c>
      <c r="Z122" s="20">
        <f t="shared" si="9"/>
        <v>298.29574683363245</v>
      </c>
      <c r="AA122">
        <f t="shared" si="10"/>
        <v>19583.21733476776</v>
      </c>
    </row>
    <row r="123" spans="25:27" x14ac:dyDescent="0.3">
      <c r="Y123">
        <f t="shared" si="8"/>
        <v>1860</v>
      </c>
      <c r="Z123" s="20">
        <f t="shared" si="9"/>
        <v>297.9022562087593</v>
      </c>
      <c r="AA123">
        <f t="shared" si="10"/>
        <v>19881.119590976519</v>
      </c>
    </row>
    <row r="124" spans="25:27" x14ac:dyDescent="0.3">
      <c r="Y124">
        <f t="shared" si="8"/>
        <v>1862</v>
      </c>
      <c r="Z124" s="20">
        <f t="shared" si="9"/>
        <v>297.50928464885277</v>
      </c>
      <c r="AA124">
        <f t="shared" si="10"/>
        <v>20178.628875625371</v>
      </c>
    </row>
    <row r="125" spans="25:27" x14ac:dyDescent="0.3">
      <c r="Y125">
        <f t="shared" si="8"/>
        <v>1864</v>
      </c>
      <c r="Z125" s="20">
        <f t="shared" si="9"/>
        <v>297.11683146919904</v>
      </c>
      <c r="AA125">
        <f t="shared" si="10"/>
        <v>20475.745707094571</v>
      </c>
    </row>
    <row r="126" spans="25:27" x14ac:dyDescent="0.3">
      <c r="Y126">
        <f t="shared" ref="Y126:Y189" si="11">Y125+2</f>
        <v>1866</v>
      </c>
      <c r="Z126" s="20">
        <f t="shared" si="9"/>
        <v>296.7248959859877</v>
      </c>
      <c r="AA126">
        <f t="shared" si="10"/>
        <v>20772.470603080557</v>
      </c>
    </row>
    <row r="127" spans="25:27" x14ac:dyDescent="0.3">
      <c r="Y127">
        <f t="shared" si="11"/>
        <v>1868</v>
      </c>
      <c r="Z127" s="20">
        <f t="shared" si="9"/>
        <v>296.33347751631015</v>
      </c>
      <c r="AA127">
        <f t="shared" si="10"/>
        <v>21068.804080596867</v>
      </c>
    </row>
    <row r="128" spans="25:27" x14ac:dyDescent="0.3">
      <c r="Y128">
        <f t="shared" si="11"/>
        <v>1870</v>
      </c>
      <c r="Z128" s="20">
        <f t="shared" si="9"/>
        <v>295.94257537815878</v>
      </c>
      <c r="AA128">
        <f t="shared" si="10"/>
        <v>21364.746655975025</v>
      </c>
    </row>
    <row r="129" spans="25:27" x14ac:dyDescent="0.3">
      <c r="Y129">
        <f t="shared" si="11"/>
        <v>1872</v>
      </c>
      <c r="Z129" s="20">
        <f t="shared" si="9"/>
        <v>295.55218889042567</v>
      </c>
      <c r="AA129">
        <f t="shared" si="10"/>
        <v>21660.298844865451</v>
      </c>
    </row>
    <row r="130" spans="25:27" x14ac:dyDescent="0.3">
      <c r="Y130">
        <f t="shared" si="11"/>
        <v>1874</v>
      </c>
      <c r="Z130" s="20">
        <f t="shared" si="9"/>
        <v>295.16231737290116</v>
      </c>
      <c r="AA130">
        <f t="shared" si="10"/>
        <v>21955.461162238353</v>
      </c>
    </row>
    <row r="131" spans="25:27" x14ac:dyDescent="0.3">
      <c r="Y131">
        <f t="shared" si="11"/>
        <v>1876</v>
      </c>
      <c r="Z131" s="20">
        <f t="shared" si="9"/>
        <v>294.77296014627319</v>
      </c>
      <c r="AA131">
        <f t="shared" si="10"/>
        <v>22250.234122384627</v>
      </c>
    </row>
    <row r="132" spans="25:27" x14ac:dyDescent="0.3">
      <c r="Y132">
        <f t="shared" si="11"/>
        <v>1878</v>
      </c>
      <c r="Z132" s="20">
        <f t="shared" ref="Z132:Z195" si="12">1016.74887*EXP(-0.00066*Y132)</f>
        <v>294.38411653212552</v>
      </c>
      <c r="AA132">
        <f t="shared" si="10"/>
        <v>22544.618238916752</v>
      </c>
    </row>
    <row r="133" spans="25:27" x14ac:dyDescent="0.3">
      <c r="Y133">
        <f t="shared" si="11"/>
        <v>1880</v>
      </c>
      <c r="Z133" s="20">
        <f t="shared" si="12"/>
        <v>293.99578585293705</v>
      </c>
      <c r="AA133">
        <f t="shared" ref="AA133:AA196" si="13">AA132+Z133</f>
        <v>22838.614024769689</v>
      </c>
    </row>
    <row r="134" spans="25:27" x14ac:dyDescent="0.3">
      <c r="Y134">
        <f t="shared" si="11"/>
        <v>1882</v>
      </c>
      <c r="Z134" s="20">
        <f t="shared" si="12"/>
        <v>293.60796743208016</v>
      </c>
      <c r="AA134">
        <f t="shared" si="13"/>
        <v>23132.221992201768</v>
      </c>
    </row>
    <row r="135" spans="25:27" x14ac:dyDescent="0.3">
      <c r="Y135">
        <f t="shared" si="11"/>
        <v>1884</v>
      </c>
      <c r="Z135" s="20">
        <f t="shared" si="12"/>
        <v>293.22066059381996</v>
      </c>
      <c r="AA135">
        <f t="shared" si="13"/>
        <v>23425.442652795587</v>
      </c>
    </row>
    <row r="136" spans="25:27" x14ac:dyDescent="0.3">
      <c r="Y136">
        <f t="shared" si="11"/>
        <v>1886</v>
      </c>
      <c r="Z136" s="20">
        <f t="shared" si="12"/>
        <v>292.83386466331297</v>
      </c>
      <c r="AA136">
        <f t="shared" si="13"/>
        <v>23718.2765174589</v>
      </c>
    </row>
    <row r="137" spans="25:27" x14ac:dyDescent="0.3">
      <c r="Y137">
        <f t="shared" si="11"/>
        <v>1888</v>
      </c>
      <c r="Z137" s="20">
        <f t="shared" si="12"/>
        <v>292.44757896660593</v>
      </c>
      <c r="AA137">
        <f t="shared" si="13"/>
        <v>24010.724096425507</v>
      </c>
    </row>
    <row r="138" spans="25:27" x14ac:dyDescent="0.3">
      <c r="Y138">
        <f t="shared" si="11"/>
        <v>1890</v>
      </c>
      <c r="Z138" s="20">
        <f t="shared" si="12"/>
        <v>292.06180283063446</v>
      </c>
      <c r="AA138">
        <f t="shared" si="13"/>
        <v>24302.785899256141</v>
      </c>
    </row>
    <row r="139" spans="25:27" x14ac:dyDescent="0.3">
      <c r="Y139">
        <f t="shared" si="11"/>
        <v>1892</v>
      </c>
      <c r="Z139" s="20">
        <f t="shared" si="12"/>
        <v>291.67653558322212</v>
      </c>
      <c r="AA139">
        <f t="shared" si="13"/>
        <v>24594.462434839363</v>
      </c>
    </row>
    <row r="140" spans="25:27" x14ac:dyDescent="0.3">
      <c r="Y140">
        <f t="shared" si="11"/>
        <v>1894</v>
      </c>
      <c r="Z140" s="20">
        <f t="shared" si="12"/>
        <v>291.29177655307916</v>
      </c>
      <c r="AA140">
        <f t="shared" si="13"/>
        <v>24885.754211392443</v>
      </c>
    </row>
    <row r="141" spans="25:27" x14ac:dyDescent="0.3">
      <c r="Y141">
        <f t="shared" si="11"/>
        <v>1896</v>
      </c>
      <c r="Z141" s="20">
        <f t="shared" si="12"/>
        <v>290.90752506980141</v>
      </c>
      <c r="AA141">
        <f t="shared" si="13"/>
        <v>25176.661736462243</v>
      </c>
    </row>
    <row r="142" spans="25:27" x14ac:dyDescent="0.3">
      <c r="Y142">
        <f t="shared" si="11"/>
        <v>1898</v>
      </c>
      <c r="Z142" s="20">
        <f t="shared" si="12"/>
        <v>290.52378046386889</v>
      </c>
      <c r="AA142">
        <f t="shared" si="13"/>
        <v>25467.185516926111</v>
      </c>
    </row>
    <row r="143" spans="25:27" x14ac:dyDescent="0.3">
      <c r="Y143">
        <f t="shared" si="11"/>
        <v>1900</v>
      </c>
      <c r="Z143" s="20">
        <f t="shared" si="12"/>
        <v>290.14054206664497</v>
      </c>
      <c r="AA143">
        <f t="shared" si="13"/>
        <v>25757.326058992756</v>
      </c>
    </row>
    <row r="144" spans="25:27" x14ac:dyDescent="0.3">
      <c r="Y144">
        <f t="shared" si="11"/>
        <v>1902</v>
      </c>
      <c r="Z144" s="20">
        <f t="shared" si="12"/>
        <v>289.75780921037494</v>
      </c>
      <c r="AA144">
        <f t="shared" si="13"/>
        <v>26047.083868203132</v>
      </c>
    </row>
    <row r="145" spans="25:27" x14ac:dyDescent="0.3">
      <c r="Y145">
        <f t="shared" si="11"/>
        <v>1904</v>
      </c>
      <c r="Z145" s="20">
        <f t="shared" si="12"/>
        <v>289.37558122818501</v>
      </c>
      <c r="AA145">
        <f t="shared" si="13"/>
        <v>26336.459449431317</v>
      </c>
    </row>
    <row r="146" spans="25:27" x14ac:dyDescent="0.3">
      <c r="Y146">
        <f t="shared" si="11"/>
        <v>1906</v>
      </c>
      <c r="Z146" s="20">
        <f t="shared" si="12"/>
        <v>288.99385745408102</v>
      </c>
      <c r="AA146">
        <f t="shared" si="13"/>
        <v>26625.453306885396</v>
      </c>
    </row>
    <row r="147" spans="25:27" x14ac:dyDescent="0.3">
      <c r="Y147">
        <f t="shared" si="11"/>
        <v>1908</v>
      </c>
      <c r="Z147" s="20">
        <f t="shared" si="12"/>
        <v>288.61263722294734</v>
      </c>
      <c r="AA147">
        <f t="shared" si="13"/>
        <v>26914.065944108344</v>
      </c>
    </row>
    <row r="148" spans="25:27" x14ac:dyDescent="0.3">
      <c r="Y148">
        <f t="shared" si="11"/>
        <v>1910</v>
      </c>
      <c r="Z148" s="20">
        <f t="shared" si="12"/>
        <v>288.23191987054577</v>
      </c>
      <c r="AA148">
        <f t="shared" si="13"/>
        <v>27202.297863978889</v>
      </c>
    </row>
    <row r="149" spans="25:27" x14ac:dyDescent="0.3">
      <c r="Y149">
        <f t="shared" si="11"/>
        <v>1912</v>
      </c>
      <c r="Z149" s="20">
        <f t="shared" si="12"/>
        <v>287.85170473351434</v>
      </c>
      <c r="AA149">
        <f t="shared" si="13"/>
        <v>27490.149568712404</v>
      </c>
    </row>
    <row r="150" spans="25:27" x14ac:dyDescent="0.3">
      <c r="Y150">
        <f t="shared" si="11"/>
        <v>1914</v>
      </c>
      <c r="Z150" s="20">
        <f t="shared" si="12"/>
        <v>287.47199114936609</v>
      </c>
      <c r="AA150">
        <f t="shared" si="13"/>
        <v>27777.621559861771</v>
      </c>
    </row>
    <row r="151" spans="25:27" x14ac:dyDescent="0.3">
      <c r="Y151">
        <f t="shared" si="11"/>
        <v>1916</v>
      </c>
      <c r="Z151" s="20">
        <f t="shared" si="12"/>
        <v>287.09277845648785</v>
      </c>
      <c r="AA151">
        <f t="shared" si="13"/>
        <v>28064.714338318259</v>
      </c>
    </row>
    <row r="152" spans="25:27" x14ac:dyDescent="0.3">
      <c r="Y152">
        <f t="shared" si="11"/>
        <v>1918</v>
      </c>
      <c r="Z152" s="20">
        <f t="shared" si="12"/>
        <v>286.7140659941395</v>
      </c>
      <c r="AA152">
        <f t="shared" si="13"/>
        <v>28351.428404312399</v>
      </c>
    </row>
    <row r="153" spans="25:27" x14ac:dyDescent="0.3">
      <c r="Y153">
        <f t="shared" si="11"/>
        <v>1920</v>
      </c>
      <c r="Z153" s="20">
        <f t="shared" si="12"/>
        <v>286.33585310245229</v>
      </c>
      <c r="AA153">
        <f t="shared" si="13"/>
        <v>28637.764257414852</v>
      </c>
    </row>
    <row r="154" spans="25:27" x14ac:dyDescent="0.3">
      <c r="Y154">
        <f t="shared" si="11"/>
        <v>1922</v>
      </c>
      <c r="Z154" s="20">
        <f t="shared" si="12"/>
        <v>285.95813912242784</v>
      </c>
      <c r="AA154">
        <f t="shared" si="13"/>
        <v>28923.72239653728</v>
      </c>
    </row>
    <row r="155" spans="25:27" x14ac:dyDescent="0.3">
      <c r="Y155">
        <f t="shared" si="11"/>
        <v>1924</v>
      </c>
      <c r="Z155" s="20">
        <f t="shared" si="12"/>
        <v>285.58092339593748</v>
      </c>
      <c r="AA155">
        <f t="shared" si="13"/>
        <v>29209.303319933217</v>
      </c>
    </row>
    <row r="156" spans="25:27" x14ac:dyDescent="0.3">
      <c r="Y156">
        <f t="shared" si="11"/>
        <v>1926</v>
      </c>
      <c r="Z156" s="20">
        <f t="shared" si="12"/>
        <v>285.20420526572025</v>
      </c>
      <c r="AA156">
        <f t="shared" si="13"/>
        <v>29494.507525198936</v>
      </c>
    </row>
    <row r="157" spans="25:27" x14ac:dyDescent="0.3">
      <c r="Y157">
        <f t="shared" si="11"/>
        <v>1928</v>
      </c>
      <c r="Z157" s="20">
        <f t="shared" si="12"/>
        <v>284.8279840753824</v>
      </c>
      <c r="AA157">
        <f t="shared" si="13"/>
        <v>29779.335509274319</v>
      </c>
    </row>
    <row r="158" spans="25:27" x14ac:dyDescent="0.3">
      <c r="Y158">
        <f t="shared" si="11"/>
        <v>1930</v>
      </c>
      <c r="Z158" s="20">
        <f t="shared" si="12"/>
        <v>284.45225916939614</v>
      </c>
      <c r="AA158">
        <f t="shared" si="13"/>
        <v>30063.787768443715</v>
      </c>
    </row>
    <row r="159" spans="25:27" x14ac:dyDescent="0.3">
      <c r="Y159">
        <f t="shared" si="11"/>
        <v>1932</v>
      </c>
      <c r="Z159" s="20">
        <f t="shared" si="12"/>
        <v>284.0770298930982</v>
      </c>
      <c r="AA159">
        <f t="shared" si="13"/>
        <v>30347.864798336814</v>
      </c>
    </row>
    <row r="160" spans="25:27" x14ac:dyDescent="0.3">
      <c r="Y160">
        <f t="shared" si="11"/>
        <v>1934</v>
      </c>
      <c r="Z160" s="20">
        <f t="shared" si="12"/>
        <v>283.70229559268898</v>
      </c>
      <c r="AA160">
        <f t="shared" si="13"/>
        <v>30631.567093929501</v>
      </c>
    </row>
    <row r="161" spans="25:27" x14ac:dyDescent="0.3">
      <c r="Y161">
        <f t="shared" si="11"/>
        <v>1936</v>
      </c>
      <c r="Z161" s="20">
        <f t="shared" si="12"/>
        <v>283.32805561523145</v>
      </c>
      <c r="AA161">
        <f t="shared" si="13"/>
        <v>30914.895149544733</v>
      </c>
    </row>
    <row r="162" spans="25:27" x14ac:dyDescent="0.3">
      <c r="Y162">
        <f t="shared" si="11"/>
        <v>1938</v>
      </c>
      <c r="Z162" s="20">
        <f t="shared" si="12"/>
        <v>282.95430930864961</v>
      </c>
      <c r="AA162">
        <f t="shared" si="13"/>
        <v>31197.849458853383</v>
      </c>
    </row>
    <row r="163" spans="25:27" x14ac:dyDescent="0.3">
      <c r="Y163">
        <f t="shared" si="11"/>
        <v>1940</v>
      </c>
      <c r="Z163" s="20">
        <f t="shared" si="12"/>
        <v>282.58105602172793</v>
      </c>
      <c r="AA163">
        <f t="shared" si="13"/>
        <v>31480.430514875112</v>
      </c>
    </row>
    <row r="164" spans="25:27" x14ac:dyDescent="0.3">
      <c r="Y164">
        <f t="shared" si="11"/>
        <v>1942</v>
      </c>
      <c r="Z164" s="20">
        <f t="shared" si="12"/>
        <v>282.20829510410982</v>
      </c>
      <c r="AA164">
        <f t="shared" si="13"/>
        <v>31762.63880997922</v>
      </c>
    </row>
    <row r="165" spans="25:27" x14ac:dyDescent="0.3">
      <c r="Y165">
        <f t="shared" si="11"/>
        <v>1944</v>
      </c>
      <c r="Z165" s="20">
        <f t="shared" si="12"/>
        <v>281.83602590629641</v>
      </c>
      <c r="AA165">
        <f t="shared" si="13"/>
        <v>32044.474835885518</v>
      </c>
    </row>
    <row r="166" spans="25:27" x14ac:dyDescent="0.3">
      <c r="Y166">
        <f t="shared" si="11"/>
        <v>1946</v>
      </c>
      <c r="Z166" s="20">
        <f t="shared" si="12"/>
        <v>281.46424777964592</v>
      </c>
      <c r="AA166">
        <f t="shared" si="13"/>
        <v>32325.939083665162</v>
      </c>
    </row>
    <row r="167" spans="25:27" x14ac:dyDescent="0.3">
      <c r="Y167">
        <f t="shared" si="11"/>
        <v>1948</v>
      </c>
      <c r="Z167" s="20">
        <f t="shared" si="12"/>
        <v>281.09296007637187</v>
      </c>
      <c r="AA167">
        <f t="shared" si="13"/>
        <v>32607.032043741532</v>
      </c>
    </row>
    <row r="168" spans="25:27" x14ac:dyDescent="0.3">
      <c r="Y168">
        <f t="shared" si="11"/>
        <v>1950</v>
      </c>
      <c r="Z168" s="20">
        <f t="shared" si="12"/>
        <v>280.72216214954261</v>
      </c>
      <c r="AA168">
        <f t="shared" si="13"/>
        <v>32887.754205891077</v>
      </c>
    </row>
    <row r="169" spans="25:27" x14ac:dyDescent="0.3">
      <c r="Y169">
        <f t="shared" si="11"/>
        <v>1952</v>
      </c>
      <c r="Z169" s="20">
        <f t="shared" si="12"/>
        <v>280.35185335307972</v>
      </c>
      <c r="AA169">
        <f t="shared" si="13"/>
        <v>33168.106059244157</v>
      </c>
    </row>
    <row r="170" spans="25:27" x14ac:dyDescent="0.3">
      <c r="Y170">
        <f t="shared" si="11"/>
        <v>1954</v>
      </c>
      <c r="Z170" s="20">
        <f t="shared" si="12"/>
        <v>279.98203304175706</v>
      </c>
      <c r="AA170">
        <f t="shared" si="13"/>
        <v>33448.088092285914</v>
      </c>
    </row>
    <row r="171" spans="25:27" x14ac:dyDescent="0.3">
      <c r="Y171">
        <f t="shared" si="11"/>
        <v>1956</v>
      </c>
      <c r="Z171" s="20">
        <f t="shared" si="12"/>
        <v>279.61270057119964</v>
      </c>
      <c r="AA171">
        <f t="shared" si="13"/>
        <v>33727.700792857111</v>
      </c>
    </row>
    <row r="172" spans="25:27" x14ac:dyDescent="0.3">
      <c r="Y172">
        <f t="shared" si="11"/>
        <v>1958</v>
      </c>
      <c r="Z172" s="20">
        <f t="shared" si="12"/>
        <v>279.24385529788231</v>
      </c>
      <c r="AA172">
        <f t="shared" si="13"/>
        <v>34006.944648154997</v>
      </c>
    </row>
    <row r="173" spans="25:27" x14ac:dyDescent="0.3">
      <c r="Y173">
        <f t="shared" si="11"/>
        <v>1960</v>
      </c>
      <c r="Z173" s="20">
        <f t="shared" si="12"/>
        <v>278.87549657912911</v>
      </c>
      <c r="AA173">
        <f t="shared" si="13"/>
        <v>34285.820144734127</v>
      </c>
    </row>
    <row r="174" spans="25:27" x14ac:dyDescent="0.3">
      <c r="Y174">
        <f t="shared" si="11"/>
        <v>1962</v>
      </c>
      <c r="Z174" s="20">
        <f t="shared" si="12"/>
        <v>278.50762377311179</v>
      </c>
      <c r="AA174">
        <f t="shared" si="13"/>
        <v>34564.327768507239</v>
      </c>
    </row>
    <row r="175" spans="25:27" x14ac:dyDescent="0.3">
      <c r="Y175">
        <f t="shared" si="11"/>
        <v>1964</v>
      </c>
      <c r="Z175" s="20">
        <f t="shared" si="12"/>
        <v>278.14023623884856</v>
      </c>
      <c r="AA175">
        <f t="shared" si="13"/>
        <v>34842.468004746086</v>
      </c>
    </row>
    <row r="176" spans="25:27" x14ac:dyDescent="0.3">
      <c r="Y176">
        <f t="shared" si="11"/>
        <v>1966</v>
      </c>
      <c r="Z176" s="20">
        <f t="shared" si="12"/>
        <v>277.77333333620334</v>
      </c>
      <c r="AA176">
        <f t="shared" si="13"/>
        <v>35120.241338082291</v>
      </c>
    </row>
    <row r="177" spans="25:27" x14ac:dyDescent="0.3">
      <c r="Y177">
        <f t="shared" si="11"/>
        <v>1968</v>
      </c>
      <c r="Z177" s="20">
        <f t="shared" si="12"/>
        <v>277.40691442588439</v>
      </c>
      <c r="AA177">
        <f t="shared" si="13"/>
        <v>35397.648252508174</v>
      </c>
    </row>
    <row r="178" spans="25:27" x14ac:dyDescent="0.3">
      <c r="Y178">
        <f t="shared" si="11"/>
        <v>1970</v>
      </c>
      <c r="Z178" s="20">
        <f t="shared" si="12"/>
        <v>277.04097886944328</v>
      </c>
      <c r="AA178">
        <f t="shared" si="13"/>
        <v>35674.689231377619</v>
      </c>
    </row>
    <row r="179" spans="25:27" x14ac:dyDescent="0.3">
      <c r="Y179">
        <f t="shared" si="11"/>
        <v>1972</v>
      </c>
      <c r="Z179" s="20">
        <f t="shared" si="12"/>
        <v>276.6755260292739</v>
      </c>
      <c r="AA179">
        <f t="shared" si="13"/>
        <v>35951.364757406889</v>
      </c>
    </row>
    <row r="180" spans="25:27" x14ac:dyDescent="0.3">
      <c r="Y180">
        <f t="shared" si="11"/>
        <v>1974</v>
      </c>
      <c r="Z180" s="20">
        <f t="shared" si="12"/>
        <v>276.31055526861104</v>
      </c>
      <c r="AA180">
        <f t="shared" si="13"/>
        <v>36227.675312675499</v>
      </c>
    </row>
    <row r="181" spans="25:27" x14ac:dyDescent="0.3">
      <c r="Y181">
        <f t="shared" si="11"/>
        <v>1976</v>
      </c>
      <c r="Z181" s="20">
        <f t="shared" si="12"/>
        <v>275.94606595152965</v>
      </c>
      <c r="AA181">
        <f t="shared" si="13"/>
        <v>36503.621378627031</v>
      </c>
    </row>
    <row r="182" spans="25:27" x14ac:dyDescent="0.3">
      <c r="Y182">
        <f t="shared" si="11"/>
        <v>1978</v>
      </c>
      <c r="Z182" s="20">
        <f t="shared" si="12"/>
        <v>275.58205744294327</v>
      </c>
      <c r="AA182">
        <f t="shared" si="13"/>
        <v>36779.203436069976</v>
      </c>
    </row>
    <row r="183" spans="25:27" x14ac:dyDescent="0.3">
      <c r="Y183">
        <f t="shared" si="11"/>
        <v>1980</v>
      </c>
      <c r="Z183" s="20">
        <f t="shared" si="12"/>
        <v>275.2185291086036</v>
      </c>
      <c r="AA183">
        <f t="shared" si="13"/>
        <v>37054.421965178582</v>
      </c>
    </row>
    <row r="184" spans="25:27" x14ac:dyDescent="0.3">
      <c r="Y184">
        <f t="shared" si="11"/>
        <v>1982</v>
      </c>
      <c r="Z184" s="20">
        <f t="shared" si="12"/>
        <v>274.85548031509865</v>
      </c>
      <c r="AA184">
        <f t="shared" si="13"/>
        <v>37329.277445493681</v>
      </c>
    </row>
    <row r="185" spans="25:27" x14ac:dyDescent="0.3">
      <c r="Y185">
        <f t="shared" si="11"/>
        <v>1984</v>
      </c>
      <c r="Z185" s="20">
        <f t="shared" si="12"/>
        <v>274.49291042985209</v>
      </c>
      <c r="AA185">
        <f t="shared" si="13"/>
        <v>37603.770355923531</v>
      </c>
    </row>
    <row r="186" spans="25:27" x14ac:dyDescent="0.3">
      <c r="Y186">
        <f t="shared" si="11"/>
        <v>1986</v>
      </c>
      <c r="Z186" s="20">
        <f t="shared" si="12"/>
        <v>274.1308188211222</v>
      </c>
      <c r="AA186">
        <f t="shared" si="13"/>
        <v>37877.901174744649</v>
      </c>
    </row>
    <row r="187" spans="25:27" x14ac:dyDescent="0.3">
      <c r="Y187">
        <f t="shared" si="11"/>
        <v>1988</v>
      </c>
      <c r="Z187" s="20">
        <f t="shared" si="12"/>
        <v>273.76920485800031</v>
      </c>
      <c r="AA187">
        <f t="shared" si="13"/>
        <v>38151.670379602649</v>
      </c>
    </row>
    <row r="188" spans="25:27" x14ac:dyDescent="0.3">
      <c r="Y188">
        <f t="shared" si="11"/>
        <v>1990</v>
      </c>
      <c r="Z188" s="20">
        <f t="shared" si="12"/>
        <v>273.40806791041024</v>
      </c>
      <c r="AA188">
        <f t="shared" si="13"/>
        <v>38425.078447513057</v>
      </c>
    </row>
    <row r="189" spans="25:27" x14ac:dyDescent="0.3">
      <c r="Y189">
        <f t="shared" si="11"/>
        <v>1992</v>
      </c>
      <c r="Z189" s="20">
        <f t="shared" si="12"/>
        <v>273.04740734910683</v>
      </c>
      <c r="AA189">
        <f t="shared" si="13"/>
        <v>38698.125854862163</v>
      </c>
    </row>
    <row r="190" spans="25:27" x14ac:dyDescent="0.3">
      <c r="Y190">
        <f t="shared" ref="Y190:Y253" si="14">Y189+2</f>
        <v>1994</v>
      </c>
      <c r="Z190" s="20">
        <f t="shared" si="12"/>
        <v>272.68722254567507</v>
      </c>
      <c r="AA190">
        <f t="shared" si="13"/>
        <v>38970.813077407838</v>
      </c>
    </row>
    <row r="191" spans="25:27" x14ac:dyDescent="0.3">
      <c r="Y191">
        <f t="shared" si="14"/>
        <v>1996</v>
      </c>
      <c r="Z191" s="20">
        <f t="shared" si="12"/>
        <v>272.32751287252893</v>
      </c>
      <c r="AA191">
        <f t="shared" si="13"/>
        <v>39243.140590280367</v>
      </c>
    </row>
    <row r="192" spans="25:27" x14ac:dyDescent="0.3">
      <c r="Y192">
        <f t="shared" si="14"/>
        <v>1998</v>
      </c>
      <c r="Z192" s="20">
        <f t="shared" si="12"/>
        <v>271.96827770291009</v>
      </c>
      <c r="AA192">
        <f t="shared" si="13"/>
        <v>39515.108867983276</v>
      </c>
    </row>
    <row r="193" spans="25:27" x14ac:dyDescent="0.3">
      <c r="Y193">
        <f t="shared" si="14"/>
        <v>2000</v>
      </c>
      <c r="Z193" s="20">
        <f t="shared" si="12"/>
        <v>271.60951641088712</v>
      </c>
      <c r="AA193">
        <f t="shared" si="13"/>
        <v>39786.71838439416</v>
      </c>
    </row>
    <row r="194" spans="25:27" x14ac:dyDescent="0.3">
      <c r="Y194">
        <f t="shared" si="14"/>
        <v>2002</v>
      </c>
      <c r="Z194" s="20">
        <f t="shared" si="12"/>
        <v>271.25122837135427</v>
      </c>
      <c r="AA194">
        <f t="shared" si="13"/>
        <v>40057.969612765512</v>
      </c>
    </row>
    <row r="195" spans="25:27" x14ac:dyDescent="0.3">
      <c r="Y195">
        <f t="shared" si="14"/>
        <v>2004</v>
      </c>
      <c r="Z195" s="20">
        <f t="shared" si="12"/>
        <v>270.89341296003039</v>
      </c>
      <c r="AA195">
        <f t="shared" si="13"/>
        <v>40328.863025725543</v>
      </c>
    </row>
    <row r="196" spans="25:27" x14ac:dyDescent="0.3">
      <c r="Y196">
        <f t="shared" si="14"/>
        <v>2006</v>
      </c>
      <c r="Z196" s="20">
        <f t="shared" ref="Z196:Z259" si="15">1016.74887*EXP(-0.00066*Y196)</f>
        <v>270.53606955345776</v>
      </c>
      <c r="AA196">
        <f t="shared" si="13"/>
        <v>40599.399095278997</v>
      </c>
    </row>
    <row r="197" spans="25:27" x14ac:dyDescent="0.3">
      <c r="Y197">
        <f t="shared" si="14"/>
        <v>2008</v>
      </c>
      <c r="Z197" s="20">
        <f t="shared" si="15"/>
        <v>270.17919752900116</v>
      </c>
      <c r="AA197">
        <f t="shared" ref="AA197:AA260" si="16">AA196+Z197</f>
        <v>40869.578292808001</v>
      </c>
    </row>
    <row r="198" spans="25:27" x14ac:dyDescent="0.3">
      <c r="Y198">
        <f t="shared" si="14"/>
        <v>2010</v>
      </c>
      <c r="Z198" s="20">
        <f t="shared" si="15"/>
        <v>269.82279626484666</v>
      </c>
      <c r="AA198">
        <f t="shared" si="16"/>
        <v>41139.401089072846</v>
      </c>
    </row>
    <row r="199" spans="25:27" x14ac:dyDescent="0.3">
      <c r="Y199">
        <f t="shared" si="14"/>
        <v>2012</v>
      </c>
      <c r="Z199" s="20">
        <f t="shared" si="15"/>
        <v>269.46686514000061</v>
      </c>
      <c r="AA199">
        <f t="shared" si="16"/>
        <v>41408.867954212845</v>
      </c>
    </row>
    <row r="200" spans="25:27" x14ac:dyDescent="0.3">
      <c r="Y200">
        <f t="shared" si="14"/>
        <v>2014</v>
      </c>
      <c r="Z200" s="20">
        <f t="shared" si="15"/>
        <v>269.11140353428868</v>
      </c>
      <c r="AA200">
        <f t="shared" si="16"/>
        <v>41677.979357747136</v>
      </c>
    </row>
    <row r="201" spans="25:27" x14ac:dyDescent="0.3">
      <c r="Y201">
        <f t="shared" si="14"/>
        <v>2016</v>
      </c>
      <c r="Z201" s="20">
        <f t="shared" si="15"/>
        <v>268.75641082835421</v>
      </c>
      <c r="AA201">
        <f t="shared" si="16"/>
        <v>41946.735768575491</v>
      </c>
    </row>
    <row r="202" spans="25:27" x14ac:dyDescent="0.3">
      <c r="Y202">
        <f t="shared" si="14"/>
        <v>2018</v>
      </c>
      <c r="Z202" s="20">
        <f t="shared" si="15"/>
        <v>268.40188640365801</v>
      </c>
      <c r="AA202">
        <f t="shared" si="16"/>
        <v>42215.137654979146</v>
      </c>
    </row>
    <row r="203" spans="25:27" x14ac:dyDescent="0.3">
      <c r="Y203">
        <f t="shared" si="14"/>
        <v>2020</v>
      </c>
      <c r="Z203" s="20">
        <f t="shared" si="15"/>
        <v>268.04782964247664</v>
      </c>
      <c r="AA203">
        <f t="shared" si="16"/>
        <v>42483.185484621623</v>
      </c>
    </row>
    <row r="204" spans="25:27" x14ac:dyDescent="0.3">
      <c r="Y204">
        <f t="shared" si="14"/>
        <v>2022</v>
      </c>
      <c r="Z204" s="20">
        <f t="shared" si="15"/>
        <v>267.69423992790144</v>
      </c>
      <c r="AA204">
        <f t="shared" si="16"/>
        <v>42750.879724549523</v>
      </c>
    </row>
    <row r="205" spans="25:27" x14ac:dyDescent="0.3">
      <c r="Y205">
        <f t="shared" si="14"/>
        <v>2024</v>
      </c>
      <c r="Z205" s="20">
        <f t="shared" si="15"/>
        <v>267.34111664383761</v>
      </c>
      <c r="AA205">
        <f t="shared" si="16"/>
        <v>43018.220841193361</v>
      </c>
    </row>
    <row r="206" spans="25:27" x14ac:dyDescent="0.3">
      <c r="Y206">
        <f t="shared" si="14"/>
        <v>2026</v>
      </c>
      <c r="Z206" s="20">
        <f t="shared" si="15"/>
        <v>266.98845917500302</v>
      </c>
      <c r="AA206">
        <f t="shared" si="16"/>
        <v>43285.209300368362</v>
      </c>
    </row>
    <row r="207" spans="25:27" x14ac:dyDescent="0.3">
      <c r="Y207">
        <f t="shared" si="14"/>
        <v>2028</v>
      </c>
      <c r="Z207" s="20">
        <f t="shared" si="15"/>
        <v>266.63626690692729</v>
      </c>
      <c r="AA207">
        <f t="shared" si="16"/>
        <v>43551.84556727529</v>
      </c>
    </row>
    <row r="208" spans="25:27" x14ac:dyDescent="0.3">
      <c r="Y208">
        <f t="shared" si="14"/>
        <v>2030</v>
      </c>
      <c r="Z208" s="20">
        <f t="shared" si="15"/>
        <v>266.28453922595037</v>
      </c>
      <c r="AA208">
        <f t="shared" si="16"/>
        <v>43818.130106501238</v>
      </c>
    </row>
    <row r="209" spans="25:27" x14ac:dyDescent="0.3">
      <c r="Y209">
        <f t="shared" si="14"/>
        <v>2032</v>
      </c>
      <c r="Z209" s="20">
        <f t="shared" si="15"/>
        <v>265.93327551922204</v>
      </c>
      <c r="AA209">
        <f t="shared" si="16"/>
        <v>44084.06338202046</v>
      </c>
    </row>
    <row r="210" spans="25:27" x14ac:dyDescent="0.3">
      <c r="Y210">
        <f t="shared" si="14"/>
        <v>2034</v>
      </c>
      <c r="Z210" s="20">
        <f t="shared" si="15"/>
        <v>265.58247517470028</v>
      </c>
      <c r="AA210">
        <f t="shared" si="16"/>
        <v>44349.645857195159</v>
      </c>
    </row>
    <row r="211" spans="25:27" x14ac:dyDescent="0.3">
      <c r="Y211">
        <f t="shared" si="14"/>
        <v>2036</v>
      </c>
      <c r="Z211" s="20">
        <f t="shared" si="15"/>
        <v>265.23213758115043</v>
      </c>
      <c r="AA211">
        <f t="shared" si="16"/>
        <v>44614.877994776311</v>
      </c>
    </row>
    <row r="212" spans="25:27" x14ac:dyDescent="0.3">
      <c r="Y212">
        <f t="shared" si="14"/>
        <v>2038</v>
      </c>
      <c r="Z212" s="20">
        <f t="shared" si="15"/>
        <v>264.88226212814419</v>
      </c>
      <c r="AA212">
        <f t="shared" si="16"/>
        <v>44879.760256904454</v>
      </c>
    </row>
    <row r="213" spans="25:27" x14ac:dyDescent="0.3">
      <c r="Y213">
        <f t="shared" si="14"/>
        <v>2040</v>
      </c>
      <c r="Z213" s="20">
        <f t="shared" si="15"/>
        <v>264.53284820605853</v>
      </c>
      <c r="AA213">
        <f t="shared" si="16"/>
        <v>45144.293105110512</v>
      </c>
    </row>
    <row r="214" spans="25:27" x14ac:dyDescent="0.3">
      <c r="Y214">
        <f t="shared" si="14"/>
        <v>2042</v>
      </c>
      <c r="Z214" s="20">
        <f t="shared" si="15"/>
        <v>264.18389520607451</v>
      </c>
      <c r="AA214">
        <f t="shared" si="16"/>
        <v>45408.477000316583</v>
      </c>
    </row>
    <row r="215" spans="25:27" x14ac:dyDescent="0.3">
      <c r="Y215">
        <f t="shared" si="14"/>
        <v>2044</v>
      </c>
      <c r="Z215" s="20">
        <f t="shared" si="15"/>
        <v>263.83540252017633</v>
      </c>
      <c r="AA215">
        <f t="shared" si="16"/>
        <v>45672.31240283676</v>
      </c>
    </row>
    <row r="216" spans="25:27" x14ac:dyDescent="0.3">
      <c r="Y216">
        <f t="shared" si="14"/>
        <v>2046</v>
      </c>
      <c r="Z216" s="20">
        <f t="shared" si="15"/>
        <v>263.4873695411502</v>
      </c>
      <c r="AA216">
        <f t="shared" si="16"/>
        <v>45935.799772377912</v>
      </c>
    </row>
    <row r="217" spans="25:27" x14ac:dyDescent="0.3">
      <c r="Y217">
        <f t="shared" si="14"/>
        <v>2048</v>
      </c>
      <c r="Z217" s="20">
        <f t="shared" si="15"/>
        <v>263.13979566258348</v>
      </c>
      <c r="AA217">
        <f t="shared" si="16"/>
        <v>46198.939568040492</v>
      </c>
    </row>
    <row r="218" spans="25:27" x14ac:dyDescent="0.3">
      <c r="Y218">
        <f t="shared" si="14"/>
        <v>2050</v>
      </c>
      <c r="Z218" s="20">
        <f t="shared" si="15"/>
        <v>262.79268027886332</v>
      </c>
      <c r="AA218">
        <f t="shared" si="16"/>
        <v>46461.732248319357</v>
      </c>
    </row>
    <row r="219" spans="25:27" x14ac:dyDescent="0.3">
      <c r="Y219">
        <f t="shared" si="14"/>
        <v>2052</v>
      </c>
      <c r="Z219" s="20">
        <f t="shared" si="15"/>
        <v>262.44602278517573</v>
      </c>
      <c r="AA219">
        <f t="shared" si="16"/>
        <v>46724.178271104531</v>
      </c>
    </row>
    <row r="220" spans="25:27" x14ac:dyDescent="0.3">
      <c r="Y220">
        <f t="shared" si="14"/>
        <v>2054</v>
      </c>
      <c r="Z220" s="20">
        <f t="shared" si="15"/>
        <v>262.0998225775046</v>
      </c>
      <c r="AA220">
        <f t="shared" si="16"/>
        <v>46986.278093682035</v>
      </c>
    </row>
    <row r="221" spans="25:27" x14ac:dyDescent="0.3">
      <c r="Y221">
        <f t="shared" si="14"/>
        <v>2056</v>
      </c>
      <c r="Z221" s="20">
        <f t="shared" si="15"/>
        <v>261.75407905263069</v>
      </c>
      <c r="AA221">
        <f t="shared" si="16"/>
        <v>47248.032172734667</v>
      </c>
    </row>
    <row r="222" spans="25:27" x14ac:dyDescent="0.3">
      <c r="Y222">
        <f t="shared" si="14"/>
        <v>2058</v>
      </c>
      <c r="Z222" s="20">
        <f t="shared" si="15"/>
        <v>261.40879160813034</v>
      </c>
      <c r="AA222">
        <f t="shared" si="16"/>
        <v>47509.440964342801</v>
      </c>
    </row>
    <row r="223" spans="25:27" x14ac:dyDescent="0.3">
      <c r="Y223">
        <f t="shared" si="14"/>
        <v>2060</v>
      </c>
      <c r="Z223" s="20">
        <f t="shared" si="15"/>
        <v>261.06395964237458</v>
      </c>
      <c r="AA223">
        <f t="shared" si="16"/>
        <v>47770.504923985172</v>
      </c>
    </row>
    <row r="224" spans="25:27" x14ac:dyDescent="0.3">
      <c r="Y224">
        <f t="shared" si="14"/>
        <v>2062</v>
      </c>
      <c r="Z224" s="20">
        <f t="shared" si="15"/>
        <v>260.71958255452819</v>
      </c>
      <c r="AA224">
        <f t="shared" si="16"/>
        <v>48031.2245065397</v>
      </c>
    </row>
    <row r="225" spans="25:27" x14ac:dyDescent="0.3">
      <c r="Y225">
        <f t="shared" si="14"/>
        <v>2064</v>
      </c>
      <c r="Z225" s="20">
        <f t="shared" si="15"/>
        <v>260.37565974454839</v>
      </c>
      <c r="AA225">
        <f t="shared" si="16"/>
        <v>48291.600166284246</v>
      </c>
    </row>
    <row r="226" spans="25:27" x14ac:dyDescent="0.3">
      <c r="Y226">
        <f t="shared" si="14"/>
        <v>2066</v>
      </c>
      <c r="Z226" s="20">
        <f t="shared" si="15"/>
        <v>260.03219061318401</v>
      </c>
      <c r="AA226">
        <f t="shared" si="16"/>
        <v>48551.632356897433</v>
      </c>
    </row>
    <row r="227" spans="25:27" x14ac:dyDescent="0.3">
      <c r="Y227">
        <f t="shared" si="14"/>
        <v>2068</v>
      </c>
      <c r="Z227" s="20">
        <f t="shared" si="15"/>
        <v>259.68917456197426</v>
      </c>
      <c r="AA227">
        <f t="shared" si="16"/>
        <v>48811.321531459405</v>
      </c>
    </row>
    <row r="228" spans="25:27" x14ac:dyDescent="0.3">
      <c r="Y228">
        <f t="shared" si="14"/>
        <v>2070</v>
      </c>
      <c r="Z228" s="20">
        <f t="shared" si="15"/>
        <v>259.34661099324802</v>
      </c>
      <c r="AA228">
        <f t="shared" si="16"/>
        <v>49070.668142452654</v>
      </c>
    </row>
    <row r="229" spans="25:27" x14ac:dyDescent="0.3">
      <c r="Y229">
        <f t="shared" si="14"/>
        <v>2072</v>
      </c>
      <c r="Z229" s="20">
        <f t="shared" si="15"/>
        <v>259.00449931012247</v>
      </c>
      <c r="AA229">
        <f t="shared" si="16"/>
        <v>49329.67264176278</v>
      </c>
    </row>
    <row r="230" spans="25:27" x14ac:dyDescent="0.3">
      <c r="Y230">
        <f t="shared" si="14"/>
        <v>2074</v>
      </c>
      <c r="Z230" s="20">
        <f t="shared" si="15"/>
        <v>258.66283891650198</v>
      </c>
      <c r="AA230">
        <f t="shared" si="16"/>
        <v>49588.335480679285</v>
      </c>
    </row>
    <row r="231" spans="25:27" x14ac:dyDescent="0.3">
      <c r="Y231">
        <f t="shared" si="14"/>
        <v>2076</v>
      </c>
      <c r="Z231" s="20">
        <f t="shared" si="15"/>
        <v>258.32162921707743</v>
      </c>
      <c r="AA231">
        <f t="shared" si="16"/>
        <v>49846.657109896361</v>
      </c>
    </row>
    <row r="232" spans="25:27" x14ac:dyDescent="0.3">
      <c r="Y232">
        <f t="shared" si="14"/>
        <v>2078</v>
      </c>
      <c r="Z232" s="20">
        <f t="shared" si="15"/>
        <v>257.98086961732503</v>
      </c>
      <c r="AA232">
        <f t="shared" si="16"/>
        <v>50104.637979513689</v>
      </c>
    </row>
    <row r="233" spans="25:27" x14ac:dyDescent="0.3">
      <c r="Y233">
        <f t="shared" si="14"/>
        <v>2080</v>
      </c>
      <c r="Z233" s="20">
        <f t="shared" si="15"/>
        <v>257.64055952350515</v>
      </c>
      <c r="AA233">
        <f t="shared" si="16"/>
        <v>50362.278539037194</v>
      </c>
    </row>
    <row r="234" spans="25:27" x14ac:dyDescent="0.3">
      <c r="Y234">
        <f t="shared" si="14"/>
        <v>2082</v>
      </c>
      <c r="Z234" s="20">
        <f t="shared" si="15"/>
        <v>257.30069834266129</v>
      </c>
      <c r="AA234">
        <f t="shared" si="16"/>
        <v>50619.579237379854</v>
      </c>
    </row>
    <row r="235" spans="25:27" x14ac:dyDescent="0.3">
      <c r="Y235">
        <f t="shared" si="14"/>
        <v>2084</v>
      </c>
      <c r="Z235" s="20">
        <f t="shared" si="15"/>
        <v>256.96128548261936</v>
      </c>
      <c r="AA235">
        <f t="shared" si="16"/>
        <v>50876.540522862473</v>
      </c>
    </row>
    <row r="236" spans="25:27" x14ac:dyDescent="0.3">
      <c r="Y236">
        <f t="shared" si="14"/>
        <v>2086</v>
      </c>
      <c r="Z236" s="20">
        <f t="shared" si="15"/>
        <v>256.62232035198627</v>
      </c>
      <c r="AA236">
        <f t="shared" si="16"/>
        <v>51133.162843214457</v>
      </c>
    </row>
    <row r="237" spans="25:27" x14ac:dyDescent="0.3">
      <c r="Y237">
        <f t="shared" si="14"/>
        <v>2088</v>
      </c>
      <c r="Z237" s="20">
        <f t="shared" si="15"/>
        <v>256.28380236014908</v>
      </c>
      <c r="AA237">
        <f t="shared" si="16"/>
        <v>51389.446645574608</v>
      </c>
    </row>
    <row r="238" spans="25:27" x14ac:dyDescent="0.3">
      <c r="Y238">
        <f t="shared" si="14"/>
        <v>2090</v>
      </c>
      <c r="Z238" s="20">
        <f t="shared" si="15"/>
        <v>255.94573091727395</v>
      </c>
      <c r="AA238">
        <f t="shared" si="16"/>
        <v>51645.39237649188</v>
      </c>
    </row>
    <row r="239" spans="25:27" x14ac:dyDescent="0.3">
      <c r="Y239">
        <f t="shared" si="14"/>
        <v>2092</v>
      </c>
      <c r="Z239" s="20">
        <f t="shared" si="15"/>
        <v>255.60810543430514</v>
      </c>
      <c r="AA239">
        <f t="shared" si="16"/>
        <v>51901.000481926189</v>
      </c>
    </row>
    <row r="240" spans="25:27" x14ac:dyDescent="0.3">
      <c r="Y240">
        <f t="shared" si="14"/>
        <v>2094</v>
      </c>
      <c r="Z240" s="20">
        <f t="shared" si="15"/>
        <v>255.27092532296388</v>
      </c>
      <c r="AA240">
        <f t="shared" si="16"/>
        <v>52156.271407249151</v>
      </c>
    </row>
    <row r="241" spans="25:27" x14ac:dyDescent="0.3">
      <c r="Y241">
        <f t="shared" si="14"/>
        <v>2096</v>
      </c>
      <c r="Z241" s="20">
        <f t="shared" si="15"/>
        <v>254.93418999574752</v>
      </c>
      <c r="AA241">
        <f t="shared" si="16"/>
        <v>52411.205597244902</v>
      </c>
    </row>
    <row r="242" spans="25:27" x14ac:dyDescent="0.3">
      <c r="Y242">
        <f t="shared" si="14"/>
        <v>2098</v>
      </c>
      <c r="Z242" s="20">
        <f t="shared" si="15"/>
        <v>254.59789886592827</v>
      </c>
      <c r="AA242">
        <f t="shared" si="16"/>
        <v>52665.803496110828</v>
      </c>
    </row>
    <row r="243" spans="25:27" x14ac:dyDescent="0.3">
      <c r="Y243">
        <f t="shared" si="14"/>
        <v>2100</v>
      </c>
      <c r="Z243" s="20">
        <f t="shared" si="15"/>
        <v>254.26205134755247</v>
      </c>
      <c r="AA243">
        <f t="shared" si="16"/>
        <v>52920.065547458384</v>
      </c>
    </row>
    <row r="244" spans="25:27" x14ac:dyDescent="0.3">
      <c r="Y244">
        <f t="shared" si="14"/>
        <v>2102</v>
      </c>
      <c r="Z244" s="20">
        <f t="shared" si="15"/>
        <v>253.9266468554392</v>
      </c>
      <c r="AA244">
        <f t="shared" si="16"/>
        <v>53173.992194313825</v>
      </c>
    </row>
    <row r="245" spans="25:27" x14ac:dyDescent="0.3">
      <c r="Y245">
        <f t="shared" si="14"/>
        <v>2104</v>
      </c>
      <c r="Z245" s="20">
        <f t="shared" si="15"/>
        <v>253.59168480517963</v>
      </c>
      <c r="AA245">
        <f t="shared" si="16"/>
        <v>53427.583879119004</v>
      </c>
    </row>
    <row r="246" spans="25:27" x14ac:dyDescent="0.3">
      <c r="Y246">
        <f t="shared" si="14"/>
        <v>2106</v>
      </c>
      <c r="Z246" s="20">
        <f t="shared" si="15"/>
        <v>253.25716461313587</v>
      </c>
      <c r="AA246">
        <f t="shared" si="16"/>
        <v>53680.841043732136</v>
      </c>
    </row>
    <row r="247" spans="25:27" x14ac:dyDescent="0.3">
      <c r="Y247">
        <f t="shared" si="14"/>
        <v>2108</v>
      </c>
      <c r="Z247" s="20">
        <f t="shared" si="15"/>
        <v>252.92308569643981</v>
      </c>
      <c r="AA247">
        <f t="shared" si="16"/>
        <v>53933.764129428579</v>
      </c>
    </row>
    <row r="248" spans="25:27" x14ac:dyDescent="0.3">
      <c r="Y248">
        <f t="shared" si="14"/>
        <v>2110</v>
      </c>
      <c r="Z248" s="20">
        <f t="shared" si="15"/>
        <v>252.58944747299225</v>
      </c>
      <c r="AA248">
        <f t="shared" si="16"/>
        <v>54186.353576901573</v>
      </c>
    </row>
    <row r="249" spans="25:27" x14ac:dyDescent="0.3">
      <c r="Y249">
        <f t="shared" si="14"/>
        <v>2112</v>
      </c>
      <c r="Z249" s="20">
        <f t="shared" si="15"/>
        <v>252.2562493614619</v>
      </c>
      <c r="AA249">
        <f t="shared" si="16"/>
        <v>54438.609826263033</v>
      </c>
    </row>
    <row r="250" spans="25:27" x14ac:dyDescent="0.3">
      <c r="Y250">
        <f t="shared" si="14"/>
        <v>2114</v>
      </c>
      <c r="Z250" s="20">
        <f t="shared" si="15"/>
        <v>251.92349078128422</v>
      </c>
      <c r="AA250">
        <f t="shared" si="16"/>
        <v>54690.533317044319</v>
      </c>
    </row>
    <row r="251" spans="25:27" x14ac:dyDescent="0.3">
      <c r="Y251">
        <f t="shared" si="14"/>
        <v>2116</v>
      </c>
      <c r="Z251" s="20">
        <f t="shared" si="15"/>
        <v>251.59117115266062</v>
      </c>
      <c r="AA251">
        <f t="shared" si="16"/>
        <v>54942.124488196983</v>
      </c>
    </row>
    <row r="252" spans="25:27" x14ac:dyDescent="0.3">
      <c r="Y252">
        <f t="shared" si="14"/>
        <v>2118</v>
      </c>
      <c r="Z252" s="20">
        <f t="shared" si="15"/>
        <v>251.25928989655731</v>
      </c>
      <c r="AA252">
        <f t="shared" si="16"/>
        <v>55193.383778093543</v>
      </c>
    </row>
    <row r="253" spans="25:27" x14ac:dyDescent="0.3">
      <c r="Y253">
        <f t="shared" si="14"/>
        <v>2120</v>
      </c>
      <c r="Z253" s="20">
        <f t="shared" si="15"/>
        <v>250.92784643470426</v>
      </c>
      <c r="AA253">
        <f t="shared" si="16"/>
        <v>55444.311624528244</v>
      </c>
    </row>
    <row r="254" spans="25:27" x14ac:dyDescent="0.3">
      <c r="Y254">
        <f t="shared" ref="Y254:Y317" si="17">Y253+2</f>
        <v>2122</v>
      </c>
      <c r="Z254" s="20">
        <f t="shared" si="15"/>
        <v>250.59684018959433</v>
      </c>
      <c r="AA254">
        <f t="shared" si="16"/>
        <v>55694.908464717839</v>
      </c>
    </row>
    <row r="255" spans="25:27" x14ac:dyDescent="0.3">
      <c r="Y255">
        <f t="shared" si="17"/>
        <v>2124</v>
      </c>
      <c r="Z255" s="20">
        <f t="shared" si="15"/>
        <v>250.26627058448216</v>
      </c>
      <c r="AA255">
        <f t="shared" si="16"/>
        <v>55945.174735302324</v>
      </c>
    </row>
    <row r="256" spans="25:27" x14ac:dyDescent="0.3">
      <c r="Y256">
        <f t="shared" si="17"/>
        <v>2126</v>
      </c>
      <c r="Z256" s="20">
        <f t="shared" si="15"/>
        <v>249.93613704338316</v>
      </c>
      <c r="AA256">
        <f t="shared" si="16"/>
        <v>56195.110872345707</v>
      </c>
    </row>
    <row r="257" spans="25:27" x14ac:dyDescent="0.3">
      <c r="Y257">
        <f t="shared" si="17"/>
        <v>2128</v>
      </c>
      <c r="Z257" s="20">
        <f t="shared" si="15"/>
        <v>249.60643899107259</v>
      </c>
      <c r="AA257">
        <f t="shared" si="16"/>
        <v>56444.717311336783</v>
      </c>
    </row>
    <row r="258" spans="25:27" x14ac:dyDescent="0.3">
      <c r="Y258">
        <f t="shared" si="17"/>
        <v>2130</v>
      </c>
      <c r="Z258" s="20">
        <f t="shared" si="15"/>
        <v>249.27717585308446</v>
      </c>
      <c r="AA258">
        <f t="shared" si="16"/>
        <v>56693.99448718987</v>
      </c>
    </row>
    <row r="259" spans="25:27" x14ac:dyDescent="0.3">
      <c r="Y259">
        <f t="shared" si="17"/>
        <v>2132</v>
      </c>
      <c r="Z259" s="20">
        <f t="shared" si="15"/>
        <v>248.9483470557106</v>
      </c>
      <c r="AA259">
        <f t="shared" si="16"/>
        <v>56942.942834245579</v>
      </c>
    </row>
    <row r="260" spans="25:27" x14ac:dyDescent="0.3">
      <c r="Y260">
        <f t="shared" si="17"/>
        <v>2134</v>
      </c>
      <c r="Z260" s="20">
        <f t="shared" ref="Z260:Z323" si="18">1016.74887*EXP(-0.00066*Y260)</f>
        <v>248.61995202599959</v>
      </c>
      <c r="AA260">
        <f t="shared" si="16"/>
        <v>57191.562786271577</v>
      </c>
    </row>
    <row r="261" spans="25:27" x14ac:dyDescent="0.3">
      <c r="Y261">
        <f t="shared" si="17"/>
        <v>2136</v>
      </c>
      <c r="Z261" s="20">
        <f t="shared" si="18"/>
        <v>248.29199019175593</v>
      </c>
      <c r="AA261">
        <f t="shared" ref="AA261:AA324" si="19">AA260+Z261</f>
        <v>57439.854776463333</v>
      </c>
    </row>
    <row r="262" spans="25:27" x14ac:dyDescent="0.3">
      <c r="Y262">
        <f t="shared" si="17"/>
        <v>2138</v>
      </c>
      <c r="Z262" s="20">
        <f t="shared" si="18"/>
        <v>247.96446098153882</v>
      </c>
      <c r="AA262">
        <f t="shared" si="19"/>
        <v>57687.81923744487</v>
      </c>
    </row>
    <row r="263" spans="25:27" x14ac:dyDescent="0.3">
      <c r="Y263">
        <f t="shared" si="17"/>
        <v>2140</v>
      </c>
      <c r="Z263" s="20">
        <f t="shared" si="18"/>
        <v>247.63736382466118</v>
      </c>
      <c r="AA263">
        <f t="shared" si="19"/>
        <v>57935.456601269529</v>
      </c>
    </row>
    <row r="264" spans="25:27" x14ac:dyDescent="0.3">
      <c r="Y264">
        <f t="shared" si="17"/>
        <v>2142</v>
      </c>
      <c r="Z264" s="20">
        <f t="shared" si="18"/>
        <v>247.31069815118897</v>
      </c>
      <c r="AA264">
        <f t="shared" si="19"/>
        <v>58182.767299420717</v>
      </c>
    </row>
    <row r="265" spans="25:27" x14ac:dyDescent="0.3">
      <c r="Y265">
        <f t="shared" si="17"/>
        <v>2144</v>
      </c>
      <c r="Z265" s="20">
        <f t="shared" si="18"/>
        <v>246.98446339193981</v>
      </c>
      <c r="AA265">
        <f t="shared" si="19"/>
        <v>58429.751762812659</v>
      </c>
    </row>
    <row r="266" spans="25:27" x14ac:dyDescent="0.3">
      <c r="Y266">
        <f t="shared" si="17"/>
        <v>2146</v>
      </c>
      <c r="Z266" s="20">
        <f t="shared" si="18"/>
        <v>246.65865897848212</v>
      </c>
      <c r="AA266">
        <f t="shared" si="19"/>
        <v>58676.410421791144</v>
      </c>
    </row>
    <row r="267" spans="25:27" x14ac:dyDescent="0.3">
      <c r="Y267">
        <f t="shared" si="17"/>
        <v>2148</v>
      </c>
      <c r="Z267" s="20">
        <f t="shared" si="18"/>
        <v>246.33328434313424</v>
      </c>
      <c r="AA267">
        <f t="shared" si="19"/>
        <v>58922.743706134279</v>
      </c>
    </row>
    <row r="268" spans="25:27" x14ac:dyDescent="0.3">
      <c r="Y268">
        <f t="shared" si="17"/>
        <v>2150</v>
      </c>
      <c r="Z268" s="20">
        <f t="shared" si="18"/>
        <v>246.00833891896335</v>
      </c>
      <c r="AA268">
        <f t="shared" si="19"/>
        <v>59168.752045053239</v>
      </c>
    </row>
    <row r="269" spans="25:27" x14ac:dyDescent="0.3">
      <c r="Y269">
        <f t="shared" si="17"/>
        <v>2152</v>
      </c>
      <c r="Z269" s="20">
        <f t="shared" si="18"/>
        <v>245.68382213978441</v>
      </c>
      <c r="AA269">
        <f t="shared" si="19"/>
        <v>59414.435867193024</v>
      </c>
    </row>
    <row r="270" spans="25:27" x14ac:dyDescent="0.3">
      <c r="Y270">
        <f t="shared" si="17"/>
        <v>2154</v>
      </c>
      <c r="Z270" s="20">
        <f t="shared" si="18"/>
        <v>245.35973344015932</v>
      </c>
      <c r="AA270">
        <f t="shared" si="19"/>
        <v>59659.795600633181</v>
      </c>
    </row>
    <row r="271" spans="25:27" x14ac:dyDescent="0.3">
      <c r="Y271">
        <f t="shared" si="17"/>
        <v>2156</v>
      </c>
      <c r="Z271" s="20">
        <f t="shared" si="18"/>
        <v>245.03607225539588</v>
      </c>
      <c r="AA271">
        <f t="shared" si="19"/>
        <v>59904.831672888577</v>
      </c>
    </row>
    <row r="272" spans="25:27" x14ac:dyDescent="0.3">
      <c r="Y272">
        <f t="shared" si="17"/>
        <v>2158</v>
      </c>
      <c r="Z272" s="20">
        <f t="shared" si="18"/>
        <v>244.7128380215467</v>
      </c>
      <c r="AA272">
        <f t="shared" si="19"/>
        <v>60149.54451091012</v>
      </c>
    </row>
    <row r="273" spans="25:27" x14ac:dyDescent="0.3">
      <c r="Y273">
        <f t="shared" si="17"/>
        <v>2160</v>
      </c>
      <c r="Z273" s="20">
        <f t="shared" si="18"/>
        <v>244.39003017540841</v>
      </c>
      <c r="AA273">
        <f t="shared" si="19"/>
        <v>60393.934541085531</v>
      </c>
    </row>
    <row r="274" spans="25:27" x14ac:dyDescent="0.3">
      <c r="Y274">
        <f t="shared" si="17"/>
        <v>2162</v>
      </c>
      <c r="Z274" s="20">
        <f t="shared" si="18"/>
        <v>244.06764815452053</v>
      </c>
      <c r="AA274">
        <f t="shared" si="19"/>
        <v>60638.002189240055</v>
      </c>
    </row>
    <row r="275" spans="25:27" x14ac:dyDescent="0.3">
      <c r="Y275">
        <f t="shared" si="17"/>
        <v>2164</v>
      </c>
      <c r="Z275" s="20">
        <f t="shared" si="18"/>
        <v>243.74569139716453</v>
      </c>
      <c r="AA275">
        <f t="shared" si="19"/>
        <v>60881.747880637216</v>
      </c>
    </row>
    <row r="276" spans="25:27" x14ac:dyDescent="0.3">
      <c r="Y276">
        <f t="shared" si="17"/>
        <v>2166</v>
      </c>
      <c r="Z276" s="20">
        <f t="shared" si="18"/>
        <v>243.42415934236291</v>
      </c>
      <c r="AA276">
        <f t="shared" si="19"/>
        <v>61125.172039979581</v>
      </c>
    </row>
    <row r="277" spans="25:27" x14ac:dyDescent="0.3">
      <c r="Y277">
        <f t="shared" si="17"/>
        <v>2168</v>
      </c>
      <c r="Z277" s="20">
        <f t="shared" si="18"/>
        <v>243.10305142987812</v>
      </c>
      <c r="AA277">
        <f t="shared" si="19"/>
        <v>61368.275091409458</v>
      </c>
    </row>
    <row r="278" spans="25:27" x14ac:dyDescent="0.3">
      <c r="Y278">
        <f t="shared" si="17"/>
        <v>2170</v>
      </c>
      <c r="Z278" s="20">
        <f t="shared" si="18"/>
        <v>242.78236710021162</v>
      </c>
      <c r="AA278">
        <f t="shared" si="19"/>
        <v>61611.057458509669</v>
      </c>
    </row>
    <row r="279" spans="25:27" x14ac:dyDescent="0.3">
      <c r="Y279">
        <f t="shared" si="17"/>
        <v>2172</v>
      </c>
      <c r="Z279" s="20">
        <f t="shared" si="18"/>
        <v>242.46210579460296</v>
      </c>
      <c r="AA279">
        <f t="shared" si="19"/>
        <v>61853.519564304275</v>
      </c>
    </row>
    <row r="280" spans="25:27" x14ac:dyDescent="0.3">
      <c r="Y280">
        <f t="shared" si="17"/>
        <v>2174</v>
      </c>
      <c r="Z280" s="20">
        <f t="shared" si="18"/>
        <v>242.14226695502882</v>
      </c>
      <c r="AA280">
        <f t="shared" si="19"/>
        <v>62095.661831259305</v>
      </c>
    </row>
    <row r="281" spans="25:27" x14ac:dyDescent="0.3">
      <c r="Y281">
        <f t="shared" si="17"/>
        <v>2176</v>
      </c>
      <c r="Z281" s="20">
        <f t="shared" si="18"/>
        <v>241.82285002420181</v>
      </c>
      <c r="AA281">
        <f t="shared" si="19"/>
        <v>62337.484681283509</v>
      </c>
    </row>
    <row r="282" spans="25:27" x14ac:dyDescent="0.3">
      <c r="Y282">
        <f t="shared" si="17"/>
        <v>2178</v>
      </c>
      <c r="Z282" s="20">
        <f t="shared" si="18"/>
        <v>241.50385444556994</v>
      </c>
      <c r="AA282">
        <f t="shared" si="19"/>
        <v>62578.988535729077</v>
      </c>
    </row>
    <row r="283" spans="25:27" x14ac:dyDescent="0.3">
      <c r="Y283">
        <f t="shared" si="17"/>
        <v>2180</v>
      </c>
      <c r="Z283" s="20">
        <f t="shared" si="18"/>
        <v>241.18527966331513</v>
      </c>
      <c r="AA283">
        <f t="shared" si="19"/>
        <v>62820.173815392394</v>
      </c>
    </row>
    <row r="284" spans="25:27" x14ac:dyDescent="0.3">
      <c r="Y284">
        <f t="shared" si="17"/>
        <v>2182</v>
      </c>
      <c r="Z284" s="20">
        <f t="shared" si="18"/>
        <v>240.8671251223526</v>
      </c>
      <c r="AA284">
        <f t="shared" si="19"/>
        <v>63061.040940514744</v>
      </c>
    </row>
    <row r="285" spans="25:27" x14ac:dyDescent="0.3">
      <c r="Y285">
        <f t="shared" si="17"/>
        <v>2184</v>
      </c>
      <c r="Z285" s="20">
        <f t="shared" si="18"/>
        <v>240.54939026832986</v>
      </c>
      <c r="AA285">
        <f t="shared" si="19"/>
        <v>63301.590330783074</v>
      </c>
    </row>
    <row r="286" spans="25:27" x14ac:dyDescent="0.3">
      <c r="Y286">
        <f t="shared" si="17"/>
        <v>2186</v>
      </c>
      <c r="Z286" s="20">
        <f t="shared" si="18"/>
        <v>240.23207454762559</v>
      </c>
      <c r="AA286">
        <f t="shared" si="19"/>
        <v>63541.822405330699</v>
      </c>
    </row>
    <row r="287" spans="25:27" x14ac:dyDescent="0.3">
      <c r="Y287">
        <f t="shared" si="17"/>
        <v>2188</v>
      </c>
      <c r="Z287" s="20">
        <f t="shared" si="18"/>
        <v>239.91517740734875</v>
      </c>
      <c r="AA287">
        <f t="shared" si="19"/>
        <v>63781.737582738046</v>
      </c>
    </row>
    <row r="288" spans="25:27" x14ac:dyDescent="0.3">
      <c r="Y288">
        <f t="shared" si="17"/>
        <v>2190</v>
      </c>
      <c r="Z288" s="20">
        <f t="shared" si="18"/>
        <v>239.59869829533775</v>
      </c>
      <c r="AA288">
        <f t="shared" si="19"/>
        <v>64021.336281033386</v>
      </c>
    </row>
    <row r="289" spans="25:27" x14ac:dyDescent="0.3">
      <c r="Y289">
        <f t="shared" si="17"/>
        <v>2192</v>
      </c>
      <c r="Z289" s="20">
        <f t="shared" si="18"/>
        <v>239.28263666015928</v>
      </c>
      <c r="AA289">
        <f t="shared" si="19"/>
        <v>64260.618917693544</v>
      </c>
    </row>
    <row r="290" spans="25:27" x14ac:dyDescent="0.3">
      <c r="Y290">
        <f t="shared" si="17"/>
        <v>2194</v>
      </c>
      <c r="Z290" s="20">
        <f t="shared" si="18"/>
        <v>238.96699195110747</v>
      </c>
      <c r="AA290">
        <f t="shared" si="19"/>
        <v>64499.585909644651</v>
      </c>
    </row>
    <row r="291" spans="25:27" x14ac:dyDescent="0.3">
      <c r="Y291">
        <f t="shared" si="17"/>
        <v>2196</v>
      </c>
      <c r="Z291" s="20">
        <f t="shared" si="18"/>
        <v>238.65176361820289</v>
      </c>
      <c r="AA291">
        <f t="shared" si="19"/>
        <v>64738.237673262855</v>
      </c>
    </row>
    <row r="292" spans="25:27" x14ac:dyDescent="0.3">
      <c r="Y292">
        <f t="shared" si="17"/>
        <v>2198</v>
      </c>
      <c r="Z292" s="20">
        <f t="shared" si="18"/>
        <v>238.3369511121916</v>
      </c>
      <c r="AA292">
        <f t="shared" si="19"/>
        <v>64976.574624375047</v>
      </c>
    </row>
    <row r="293" spans="25:27" x14ac:dyDescent="0.3">
      <c r="Y293">
        <f t="shared" si="17"/>
        <v>2200</v>
      </c>
      <c r="Z293" s="20">
        <f t="shared" si="18"/>
        <v>238.02255388454421</v>
      </c>
      <c r="AA293">
        <f t="shared" si="19"/>
        <v>65214.597178259588</v>
      </c>
    </row>
    <row r="294" spans="25:27" x14ac:dyDescent="0.3">
      <c r="Y294">
        <f t="shared" si="17"/>
        <v>2202</v>
      </c>
      <c r="Z294" s="20">
        <f t="shared" si="18"/>
        <v>237.70857138745495</v>
      </c>
      <c r="AA294">
        <f t="shared" si="19"/>
        <v>65452.305749647043</v>
      </c>
    </row>
    <row r="295" spans="25:27" x14ac:dyDescent="0.3">
      <c r="Y295">
        <f t="shared" si="17"/>
        <v>2204</v>
      </c>
      <c r="Z295" s="20">
        <f t="shared" si="18"/>
        <v>237.39500307384063</v>
      </c>
      <c r="AA295">
        <f t="shared" si="19"/>
        <v>65689.700752720877</v>
      </c>
    </row>
    <row r="296" spans="25:27" x14ac:dyDescent="0.3">
      <c r="Y296">
        <f t="shared" si="17"/>
        <v>2206</v>
      </c>
      <c r="Z296" s="20">
        <f t="shared" si="18"/>
        <v>237.08184839733971</v>
      </c>
      <c r="AA296">
        <f t="shared" si="19"/>
        <v>65926.782601118219</v>
      </c>
    </row>
    <row r="297" spans="25:27" x14ac:dyDescent="0.3">
      <c r="Y297">
        <f t="shared" si="17"/>
        <v>2208</v>
      </c>
      <c r="Z297" s="20">
        <f t="shared" si="18"/>
        <v>236.76910681231143</v>
      </c>
      <c r="AA297">
        <f t="shared" si="19"/>
        <v>66163.551707930528</v>
      </c>
    </row>
    <row r="298" spans="25:27" x14ac:dyDescent="0.3">
      <c r="Y298">
        <f t="shared" si="17"/>
        <v>2210</v>
      </c>
      <c r="Z298" s="20">
        <f t="shared" si="18"/>
        <v>236.45677777383474</v>
      </c>
      <c r="AA298">
        <f t="shared" si="19"/>
        <v>66400.008485704369</v>
      </c>
    </row>
    <row r="299" spans="25:27" x14ac:dyDescent="0.3">
      <c r="Y299">
        <f t="shared" si="17"/>
        <v>2212</v>
      </c>
      <c r="Z299" s="20">
        <f t="shared" si="18"/>
        <v>236.14486073770749</v>
      </c>
      <c r="AA299">
        <f t="shared" si="19"/>
        <v>66636.153346442079</v>
      </c>
    </row>
    <row r="300" spans="25:27" x14ac:dyDescent="0.3">
      <c r="Y300">
        <f t="shared" si="17"/>
        <v>2214</v>
      </c>
      <c r="Z300" s="20">
        <f t="shared" si="18"/>
        <v>235.83335516044525</v>
      </c>
      <c r="AA300">
        <f t="shared" si="19"/>
        <v>66871.986701602524</v>
      </c>
    </row>
    <row r="301" spans="25:27" x14ac:dyDescent="0.3">
      <c r="Y301">
        <f t="shared" si="17"/>
        <v>2216</v>
      </c>
      <c r="Z301" s="20">
        <f t="shared" si="18"/>
        <v>235.52226049928078</v>
      </c>
      <c r="AA301">
        <f t="shared" si="19"/>
        <v>67107.508962101798</v>
      </c>
    </row>
    <row r="302" spans="25:27" x14ac:dyDescent="0.3">
      <c r="Y302">
        <f t="shared" si="17"/>
        <v>2218</v>
      </c>
      <c r="Z302" s="20">
        <f t="shared" si="18"/>
        <v>235.21157621216258</v>
      </c>
      <c r="AA302">
        <f t="shared" si="19"/>
        <v>67342.720538313966</v>
      </c>
    </row>
    <row r="303" spans="25:27" x14ac:dyDescent="0.3">
      <c r="Y303">
        <f t="shared" si="17"/>
        <v>2220</v>
      </c>
      <c r="Z303" s="20">
        <f t="shared" si="18"/>
        <v>234.90130175775431</v>
      </c>
      <c r="AA303">
        <f t="shared" si="19"/>
        <v>67577.621840071719</v>
      </c>
    </row>
    <row r="304" spans="25:27" x14ac:dyDescent="0.3">
      <c r="Y304">
        <f t="shared" si="17"/>
        <v>2222</v>
      </c>
      <c r="Z304" s="20">
        <f t="shared" si="18"/>
        <v>234.59143659543361</v>
      </c>
      <c r="AA304">
        <f t="shared" si="19"/>
        <v>67812.213276667157</v>
      </c>
    </row>
    <row r="305" spans="25:27" x14ac:dyDescent="0.3">
      <c r="Y305">
        <f t="shared" si="17"/>
        <v>2224</v>
      </c>
      <c r="Z305" s="20">
        <f t="shared" si="18"/>
        <v>234.28198018529142</v>
      </c>
      <c r="AA305">
        <f t="shared" si="19"/>
        <v>68046.495256852446</v>
      </c>
    </row>
    <row r="306" spans="25:27" x14ac:dyDescent="0.3">
      <c r="Y306">
        <f t="shared" si="17"/>
        <v>2226</v>
      </c>
      <c r="Z306" s="20">
        <f t="shared" si="18"/>
        <v>233.97293198813074</v>
      </c>
      <c r="AA306">
        <f t="shared" si="19"/>
        <v>68280.468188840576</v>
      </c>
    </row>
    <row r="307" spans="25:27" x14ac:dyDescent="0.3">
      <c r="Y307">
        <f t="shared" si="17"/>
        <v>2228</v>
      </c>
      <c r="Z307" s="20">
        <f t="shared" si="18"/>
        <v>233.66429146546596</v>
      </c>
      <c r="AA307">
        <f t="shared" si="19"/>
        <v>68514.132480306042</v>
      </c>
    </row>
    <row r="308" spans="25:27" x14ac:dyDescent="0.3">
      <c r="Y308">
        <f t="shared" si="17"/>
        <v>2230</v>
      </c>
      <c r="Z308" s="20">
        <f t="shared" si="18"/>
        <v>233.35605807952177</v>
      </c>
      <c r="AA308">
        <f t="shared" si="19"/>
        <v>68747.488538385558</v>
      </c>
    </row>
    <row r="309" spans="25:27" x14ac:dyDescent="0.3">
      <c r="Y309">
        <f t="shared" si="17"/>
        <v>2232</v>
      </c>
      <c r="Z309" s="20">
        <f t="shared" si="18"/>
        <v>233.04823129323222</v>
      </c>
      <c r="AA309">
        <f t="shared" si="19"/>
        <v>68980.536769678787</v>
      </c>
    </row>
    <row r="310" spans="25:27" x14ac:dyDescent="0.3">
      <c r="Y310">
        <f t="shared" si="17"/>
        <v>2234</v>
      </c>
      <c r="Z310" s="20">
        <f t="shared" si="18"/>
        <v>232.7408105702398</v>
      </c>
      <c r="AA310">
        <f t="shared" si="19"/>
        <v>69213.277580249021</v>
      </c>
    </row>
    <row r="311" spans="25:27" x14ac:dyDescent="0.3">
      <c r="Y311">
        <f t="shared" si="17"/>
        <v>2236</v>
      </c>
      <c r="Z311" s="20">
        <f t="shared" si="18"/>
        <v>232.43379537489463</v>
      </c>
      <c r="AA311">
        <f t="shared" si="19"/>
        <v>69445.711375623912</v>
      </c>
    </row>
    <row r="312" spans="25:27" x14ac:dyDescent="0.3">
      <c r="Y312">
        <f t="shared" si="17"/>
        <v>2238</v>
      </c>
      <c r="Z312" s="20">
        <f t="shared" si="18"/>
        <v>232.12718517225332</v>
      </c>
      <c r="AA312">
        <f t="shared" si="19"/>
        <v>69677.838560796168</v>
      </c>
    </row>
    <row r="313" spans="25:27" x14ac:dyDescent="0.3">
      <c r="Y313">
        <f t="shared" si="17"/>
        <v>2240</v>
      </c>
      <c r="Z313" s="20">
        <f t="shared" si="18"/>
        <v>231.82097942807818</v>
      </c>
      <c r="AA313">
        <f t="shared" si="19"/>
        <v>69909.659540224253</v>
      </c>
    </row>
    <row r="314" spans="25:27" x14ac:dyDescent="0.3">
      <c r="Y314">
        <f t="shared" si="17"/>
        <v>2242</v>
      </c>
      <c r="Z314" s="20">
        <f t="shared" si="18"/>
        <v>231.51517760883624</v>
      </c>
      <c r="AA314">
        <f t="shared" si="19"/>
        <v>70141.174717833084</v>
      </c>
    </row>
    <row r="315" spans="25:27" x14ac:dyDescent="0.3">
      <c r="Y315">
        <f t="shared" si="17"/>
        <v>2244</v>
      </c>
      <c r="Z315" s="20">
        <f t="shared" si="18"/>
        <v>231.20977918169834</v>
      </c>
      <c r="AA315">
        <f t="shared" si="19"/>
        <v>70372.384497014777</v>
      </c>
    </row>
    <row r="316" spans="25:27" x14ac:dyDescent="0.3">
      <c r="Y316">
        <f t="shared" si="17"/>
        <v>2246</v>
      </c>
      <c r="Z316" s="20">
        <f t="shared" si="18"/>
        <v>230.90478361453816</v>
      </c>
      <c r="AA316">
        <f t="shared" si="19"/>
        <v>70603.289280629309</v>
      </c>
    </row>
    <row r="317" spans="25:27" x14ac:dyDescent="0.3">
      <c r="Y317">
        <f t="shared" si="17"/>
        <v>2248</v>
      </c>
      <c r="Z317" s="20">
        <f t="shared" si="18"/>
        <v>230.60019037593142</v>
      </c>
      <c r="AA317">
        <f t="shared" si="19"/>
        <v>70833.889471005241</v>
      </c>
    </row>
    <row r="318" spans="25:27" x14ac:dyDescent="0.3">
      <c r="Y318">
        <f t="shared" ref="Y318:Y381" si="20">Y317+2</f>
        <v>2250</v>
      </c>
      <c r="Z318" s="20">
        <f t="shared" si="18"/>
        <v>230.29599893515461</v>
      </c>
      <c r="AA318">
        <f t="shared" si="19"/>
        <v>71064.185469940392</v>
      </c>
    </row>
    <row r="319" spans="25:27" x14ac:dyDescent="0.3">
      <c r="Y319">
        <f t="shared" si="20"/>
        <v>2252</v>
      </c>
      <c r="Z319" s="20">
        <f t="shared" si="18"/>
        <v>229.99220876218473</v>
      </c>
      <c r="AA319">
        <f t="shared" si="19"/>
        <v>71294.177678702574</v>
      </c>
    </row>
    <row r="320" spans="25:27" x14ac:dyDescent="0.3">
      <c r="Y320">
        <f t="shared" si="20"/>
        <v>2254</v>
      </c>
      <c r="Z320" s="20">
        <f t="shared" si="18"/>
        <v>229.68881932769753</v>
      </c>
      <c r="AA320">
        <f t="shared" si="19"/>
        <v>71523.866498030271</v>
      </c>
    </row>
    <row r="321" spans="25:27" x14ac:dyDescent="0.3">
      <c r="Y321">
        <f t="shared" si="20"/>
        <v>2256</v>
      </c>
      <c r="Z321" s="20">
        <f t="shared" si="18"/>
        <v>229.38583010306729</v>
      </c>
      <c r="AA321">
        <f t="shared" si="19"/>
        <v>71753.252328133342</v>
      </c>
    </row>
    <row r="322" spans="25:27" x14ac:dyDescent="0.3">
      <c r="Y322">
        <f t="shared" si="20"/>
        <v>2258</v>
      </c>
      <c r="Z322" s="20">
        <f t="shared" si="18"/>
        <v>229.08324056036543</v>
      </c>
      <c r="AA322">
        <f t="shared" si="19"/>
        <v>71982.335568693714</v>
      </c>
    </row>
    <row r="323" spans="25:27" x14ac:dyDescent="0.3">
      <c r="Y323">
        <f t="shared" si="20"/>
        <v>2260</v>
      </c>
      <c r="Z323" s="20">
        <f t="shared" si="18"/>
        <v>228.78105017235987</v>
      </c>
      <c r="AA323">
        <f t="shared" si="19"/>
        <v>72211.116618866072</v>
      </c>
    </row>
    <row r="324" spans="25:27" x14ac:dyDescent="0.3">
      <c r="Y324">
        <f t="shared" si="20"/>
        <v>2262</v>
      </c>
      <c r="Z324" s="20">
        <f t="shared" ref="Z324:Z387" si="21">1016.74887*EXP(-0.00066*Y324)</f>
        <v>228.47925841251401</v>
      </c>
      <c r="AA324">
        <f t="shared" si="19"/>
        <v>72439.595877278582</v>
      </c>
    </row>
    <row r="325" spans="25:27" x14ac:dyDescent="0.3">
      <c r="Y325">
        <f t="shared" si="20"/>
        <v>2264</v>
      </c>
      <c r="Z325" s="20">
        <f t="shared" si="21"/>
        <v>228.17786475498585</v>
      </c>
      <c r="AA325">
        <f t="shared" ref="AA325:AA388" si="22">AA324+Z325</f>
        <v>72667.773742033562</v>
      </c>
    </row>
    <row r="326" spans="25:27" x14ac:dyDescent="0.3">
      <c r="Y326">
        <f t="shared" si="20"/>
        <v>2266</v>
      </c>
      <c r="Z326" s="20">
        <f t="shared" si="21"/>
        <v>227.87686867462691</v>
      </c>
      <c r="AA326">
        <f t="shared" si="22"/>
        <v>72895.650610708195</v>
      </c>
    </row>
    <row r="327" spans="25:27" x14ac:dyDescent="0.3">
      <c r="Y327">
        <f t="shared" si="20"/>
        <v>2268</v>
      </c>
      <c r="Z327" s="20">
        <f t="shared" si="21"/>
        <v>227.57626964698164</v>
      </c>
      <c r="AA327">
        <f t="shared" si="22"/>
        <v>73123.226880355171</v>
      </c>
    </row>
    <row r="328" spans="25:27" x14ac:dyDescent="0.3">
      <c r="Y328">
        <f t="shared" si="20"/>
        <v>2270</v>
      </c>
      <c r="Z328" s="20">
        <f t="shared" si="21"/>
        <v>227.27606714828616</v>
      </c>
      <c r="AA328">
        <f t="shared" si="22"/>
        <v>73350.502947503453</v>
      </c>
    </row>
    <row r="329" spans="25:27" x14ac:dyDescent="0.3">
      <c r="Y329">
        <f t="shared" si="20"/>
        <v>2272</v>
      </c>
      <c r="Z329" s="20">
        <f t="shared" si="21"/>
        <v>226.9762606554676</v>
      </c>
      <c r="AA329">
        <f t="shared" si="22"/>
        <v>73577.479208158926</v>
      </c>
    </row>
    <row r="330" spans="25:27" x14ac:dyDescent="0.3">
      <c r="Y330">
        <f t="shared" si="20"/>
        <v>2274</v>
      </c>
      <c r="Z330" s="20">
        <f t="shared" si="21"/>
        <v>226.67684964614301</v>
      </c>
      <c r="AA330">
        <f t="shared" si="22"/>
        <v>73804.15605780507</v>
      </c>
    </row>
    <row r="331" spans="25:27" x14ac:dyDescent="0.3">
      <c r="Y331">
        <f t="shared" si="20"/>
        <v>2276</v>
      </c>
      <c r="Z331" s="20">
        <f t="shared" si="21"/>
        <v>226.37783359861862</v>
      </c>
      <c r="AA331">
        <f t="shared" si="22"/>
        <v>74030.533891403684</v>
      </c>
    </row>
    <row r="332" spans="25:27" x14ac:dyDescent="0.3">
      <c r="Y332">
        <f t="shared" si="20"/>
        <v>2278</v>
      </c>
      <c r="Z332" s="20">
        <f t="shared" si="21"/>
        <v>226.07921199188874</v>
      </c>
      <c r="AA332">
        <f t="shared" si="22"/>
        <v>74256.613103395575</v>
      </c>
    </row>
    <row r="333" spans="25:27" x14ac:dyDescent="0.3">
      <c r="Y333">
        <f t="shared" si="20"/>
        <v>2280</v>
      </c>
      <c r="Z333" s="20">
        <f t="shared" si="21"/>
        <v>225.780984305635</v>
      </c>
      <c r="AA333">
        <f t="shared" si="22"/>
        <v>74482.394087701206</v>
      </c>
    </row>
    <row r="334" spans="25:27" x14ac:dyDescent="0.3">
      <c r="Y334">
        <f t="shared" si="20"/>
        <v>2282</v>
      </c>
      <c r="Z334" s="20">
        <f t="shared" si="21"/>
        <v>225.48315002022548</v>
      </c>
      <c r="AA334">
        <f t="shared" si="22"/>
        <v>74707.877237721434</v>
      </c>
    </row>
    <row r="335" spans="25:27" x14ac:dyDescent="0.3">
      <c r="Y335">
        <f t="shared" si="20"/>
        <v>2284</v>
      </c>
      <c r="Z335" s="20">
        <f t="shared" si="21"/>
        <v>225.18570861671361</v>
      </c>
      <c r="AA335">
        <f t="shared" si="22"/>
        <v>74933.062946338148</v>
      </c>
    </row>
    <row r="336" spans="25:27" x14ac:dyDescent="0.3">
      <c r="Y336">
        <f t="shared" si="20"/>
        <v>2286</v>
      </c>
      <c r="Z336" s="20">
        <f t="shared" si="21"/>
        <v>224.88865957683731</v>
      </c>
      <c r="AA336">
        <f t="shared" si="22"/>
        <v>75157.95160591499</v>
      </c>
    </row>
    <row r="337" spans="25:27" x14ac:dyDescent="0.3">
      <c r="Y337">
        <f t="shared" si="20"/>
        <v>2288</v>
      </c>
      <c r="Z337" s="20">
        <f t="shared" si="21"/>
        <v>224.59200238301847</v>
      </c>
      <c r="AA337">
        <f t="shared" si="22"/>
        <v>75382.543608298001</v>
      </c>
    </row>
    <row r="338" spans="25:27" x14ac:dyDescent="0.3">
      <c r="Y338">
        <f t="shared" si="20"/>
        <v>2290</v>
      </c>
      <c r="Z338" s="20">
        <f t="shared" si="21"/>
        <v>224.29573651836134</v>
      </c>
      <c r="AA338">
        <f t="shared" si="22"/>
        <v>75606.83934481637</v>
      </c>
    </row>
    <row r="339" spans="25:27" x14ac:dyDescent="0.3">
      <c r="Y339">
        <f t="shared" si="20"/>
        <v>2292</v>
      </c>
      <c r="Z339" s="20">
        <f t="shared" si="21"/>
        <v>223.99986146665231</v>
      </c>
      <c r="AA339">
        <f t="shared" si="22"/>
        <v>75830.839206283024</v>
      </c>
    </row>
    <row r="340" spans="25:27" x14ac:dyDescent="0.3">
      <c r="Y340">
        <f t="shared" si="20"/>
        <v>2294</v>
      </c>
      <c r="Z340" s="20">
        <f t="shared" si="21"/>
        <v>223.70437671235854</v>
      </c>
      <c r="AA340">
        <f t="shared" si="22"/>
        <v>76054.543582995379</v>
      </c>
    </row>
    <row r="341" spans="25:27" x14ac:dyDescent="0.3">
      <c r="Y341">
        <f t="shared" si="20"/>
        <v>2296</v>
      </c>
      <c r="Z341" s="20">
        <f t="shared" si="21"/>
        <v>223.40928174062736</v>
      </c>
      <c r="AA341">
        <f t="shared" si="22"/>
        <v>76277.952864736013</v>
      </c>
    </row>
    <row r="342" spans="25:27" x14ac:dyDescent="0.3">
      <c r="Y342">
        <f t="shared" si="20"/>
        <v>2298</v>
      </c>
      <c r="Z342" s="20">
        <f t="shared" si="21"/>
        <v>223.11457603728522</v>
      </c>
      <c r="AA342">
        <f t="shared" si="22"/>
        <v>76501.067440773302</v>
      </c>
    </row>
    <row r="343" spans="25:27" x14ac:dyDescent="0.3">
      <c r="Y343">
        <f t="shared" si="20"/>
        <v>2300</v>
      </c>
      <c r="Z343" s="20">
        <f t="shared" si="21"/>
        <v>222.82025908883679</v>
      </c>
      <c r="AA343">
        <f t="shared" si="22"/>
        <v>76723.887699862142</v>
      </c>
    </row>
    <row r="344" spans="25:27" x14ac:dyDescent="0.3">
      <c r="Y344">
        <f t="shared" si="20"/>
        <v>2302</v>
      </c>
      <c r="Z344" s="20">
        <f t="shared" si="21"/>
        <v>222.52633038246418</v>
      </c>
      <c r="AA344">
        <f t="shared" si="22"/>
        <v>76946.414030244603</v>
      </c>
    </row>
    <row r="345" spans="25:27" x14ac:dyDescent="0.3">
      <c r="Y345">
        <f t="shared" si="20"/>
        <v>2304</v>
      </c>
      <c r="Z345" s="20">
        <f t="shared" si="21"/>
        <v>222.23278940602592</v>
      </c>
      <c r="AA345">
        <f t="shared" si="22"/>
        <v>77168.646819650632</v>
      </c>
    </row>
    <row r="346" spans="25:27" x14ac:dyDescent="0.3">
      <c r="Y346">
        <f t="shared" si="20"/>
        <v>2306</v>
      </c>
      <c r="Z346" s="20">
        <f t="shared" si="21"/>
        <v>221.93963564805617</v>
      </c>
      <c r="AA346">
        <f t="shared" si="22"/>
        <v>77390.58645529869</v>
      </c>
    </row>
    <row r="347" spans="25:27" x14ac:dyDescent="0.3">
      <c r="Y347">
        <f t="shared" si="20"/>
        <v>2308</v>
      </c>
      <c r="Z347" s="20">
        <f t="shared" si="21"/>
        <v>221.6468685977637</v>
      </c>
      <c r="AA347">
        <f t="shared" si="22"/>
        <v>77612.233323896449</v>
      </c>
    </row>
    <row r="348" spans="25:27" x14ac:dyDescent="0.3">
      <c r="Y348">
        <f t="shared" si="20"/>
        <v>2310</v>
      </c>
      <c r="Z348" s="20">
        <f t="shared" si="21"/>
        <v>221.35448774503115</v>
      </c>
      <c r="AA348">
        <f t="shared" si="22"/>
        <v>77833.587811641482</v>
      </c>
    </row>
    <row r="349" spans="25:27" x14ac:dyDescent="0.3">
      <c r="Y349">
        <f t="shared" si="20"/>
        <v>2312</v>
      </c>
      <c r="Z349" s="20">
        <f t="shared" si="21"/>
        <v>221.06249258041404</v>
      </c>
      <c r="AA349">
        <f t="shared" si="22"/>
        <v>78054.650304221897</v>
      </c>
    </row>
    <row r="350" spans="25:27" x14ac:dyDescent="0.3">
      <c r="Y350">
        <f t="shared" si="20"/>
        <v>2314</v>
      </c>
      <c r="Z350" s="20">
        <f t="shared" si="21"/>
        <v>220.77088259513997</v>
      </c>
      <c r="AA350">
        <f t="shared" si="22"/>
        <v>78275.421186817039</v>
      </c>
    </row>
    <row r="351" spans="25:27" x14ac:dyDescent="0.3">
      <c r="Y351">
        <f t="shared" si="20"/>
        <v>2316</v>
      </c>
      <c r="Z351" s="20">
        <f t="shared" si="21"/>
        <v>220.47965728110754</v>
      </c>
      <c r="AA351">
        <f t="shared" si="22"/>
        <v>78495.900844098142</v>
      </c>
    </row>
    <row r="352" spans="25:27" x14ac:dyDescent="0.3">
      <c r="Y352">
        <f t="shared" si="20"/>
        <v>2318</v>
      </c>
      <c r="Z352" s="20">
        <f t="shared" si="21"/>
        <v>220.18881613088578</v>
      </c>
      <c r="AA352">
        <f t="shared" si="22"/>
        <v>78716.08966022903</v>
      </c>
    </row>
    <row r="353" spans="25:27" x14ac:dyDescent="0.3">
      <c r="Y353">
        <f t="shared" si="20"/>
        <v>2320</v>
      </c>
      <c r="Z353" s="20">
        <f t="shared" si="21"/>
        <v>219.89835863771293</v>
      </c>
      <c r="AA353">
        <f t="shared" si="22"/>
        <v>78935.988018866745</v>
      </c>
    </row>
    <row r="354" spans="25:27" x14ac:dyDescent="0.3">
      <c r="Y354">
        <f t="shared" si="20"/>
        <v>2322</v>
      </c>
      <c r="Z354" s="20">
        <f t="shared" si="21"/>
        <v>219.60828429549582</v>
      </c>
      <c r="AA354">
        <f t="shared" si="22"/>
        <v>79155.596303162238</v>
      </c>
    </row>
    <row r="355" spans="25:27" x14ac:dyDescent="0.3">
      <c r="Y355">
        <f t="shared" si="20"/>
        <v>2324</v>
      </c>
      <c r="Z355" s="20">
        <f t="shared" si="21"/>
        <v>219.31859259880875</v>
      </c>
      <c r="AA355">
        <f t="shared" si="22"/>
        <v>79374.914895761045</v>
      </c>
    </row>
    <row r="356" spans="25:27" x14ac:dyDescent="0.3">
      <c r="Y356">
        <f t="shared" si="20"/>
        <v>2326</v>
      </c>
      <c r="Z356" s="20">
        <f t="shared" si="21"/>
        <v>219.02928304289296</v>
      </c>
      <c r="AA356">
        <f t="shared" si="22"/>
        <v>79593.94417880394</v>
      </c>
    </row>
    <row r="357" spans="25:27" x14ac:dyDescent="0.3">
      <c r="Y357">
        <f t="shared" si="20"/>
        <v>2328</v>
      </c>
      <c r="Z357" s="20">
        <f t="shared" si="21"/>
        <v>218.74035512365538</v>
      </c>
      <c r="AA357">
        <f t="shared" si="22"/>
        <v>79812.68453392759</v>
      </c>
    </row>
    <row r="358" spans="25:27" x14ac:dyDescent="0.3">
      <c r="Y358">
        <f t="shared" si="20"/>
        <v>2330</v>
      </c>
      <c r="Z358" s="20">
        <f t="shared" si="21"/>
        <v>218.45180833766793</v>
      </c>
      <c r="AA358">
        <f t="shared" si="22"/>
        <v>80031.136342265265</v>
      </c>
    </row>
    <row r="359" spans="25:27" x14ac:dyDescent="0.3">
      <c r="Y359">
        <f t="shared" si="20"/>
        <v>2332</v>
      </c>
      <c r="Z359" s="20">
        <f t="shared" si="21"/>
        <v>218.16364218216657</v>
      </c>
      <c r="AA359">
        <f t="shared" si="22"/>
        <v>80249.299984447425</v>
      </c>
    </row>
    <row r="360" spans="25:27" x14ac:dyDescent="0.3">
      <c r="Y360">
        <f t="shared" si="20"/>
        <v>2334</v>
      </c>
      <c r="Z360" s="20">
        <f t="shared" si="21"/>
        <v>217.87585615505054</v>
      </c>
      <c r="AA360">
        <f t="shared" si="22"/>
        <v>80467.175840602475</v>
      </c>
    </row>
    <row r="361" spans="25:27" x14ac:dyDescent="0.3">
      <c r="Y361">
        <f t="shared" si="20"/>
        <v>2336</v>
      </c>
      <c r="Z361" s="20">
        <f t="shared" si="21"/>
        <v>217.58844975488137</v>
      </c>
      <c r="AA361">
        <f t="shared" si="22"/>
        <v>80684.764290357358</v>
      </c>
    </row>
    <row r="362" spans="25:27" x14ac:dyDescent="0.3">
      <c r="Y362">
        <f t="shared" si="20"/>
        <v>2338</v>
      </c>
      <c r="Z362" s="20">
        <f t="shared" si="21"/>
        <v>217.30142248088214</v>
      </c>
      <c r="AA362">
        <f t="shared" si="22"/>
        <v>80902.065712838245</v>
      </c>
    </row>
    <row r="363" spans="25:27" x14ac:dyDescent="0.3">
      <c r="Y363">
        <f t="shared" si="20"/>
        <v>2340</v>
      </c>
      <c r="Z363" s="20">
        <f t="shared" si="21"/>
        <v>217.01477383293641</v>
      </c>
      <c r="AA363">
        <f t="shared" si="22"/>
        <v>81119.080486671184</v>
      </c>
    </row>
    <row r="364" spans="25:27" x14ac:dyDescent="0.3">
      <c r="Y364">
        <f t="shared" si="20"/>
        <v>2342</v>
      </c>
      <c r="Z364" s="20">
        <f t="shared" si="21"/>
        <v>216.7285033115875</v>
      </c>
      <c r="AA364">
        <f t="shared" si="22"/>
        <v>81335.808989982776</v>
      </c>
    </row>
    <row r="365" spans="25:27" x14ac:dyDescent="0.3">
      <c r="Y365">
        <f t="shared" si="20"/>
        <v>2344</v>
      </c>
      <c r="Z365" s="20">
        <f t="shared" si="21"/>
        <v>216.44261041803762</v>
      </c>
      <c r="AA365">
        <f t="shared" si="22"/>
        <v>81552.251600400807</v>
      </c>
    </row>
    <row r="366" spans="25:27" x14ac:dyDescent="0.3">
      <c r="Y366">
        <f t="shared" si="20"/>
        <v>2346</v>
      </c>
      <c r="Z366" s="20">
        <f t="shared" si="21"/>
        <v>216.15709465414685</v>
      </c>
      <c r="AA366">
        <f t="shared" si="22"/>
        <v>81768.408695054954</v>
      </c>
    </row>
    <row r="367" spans="25:27" x14ac:dyDescent="0.3">
      <c r="Y367">
        <f t="shared" si="20"/>
        <v>2348</v>
      </c>
      <c r="Z367" s="20">
        <f t="shared" si="21"/>
        <v>215.87195552243253</v>
      </c>
      <c r="AA367">
        <f t="shared" si="22"/>
        <v>81984.280650577391</v>
      </c>
    </row>
    <row r="368" spans="25:27" x14ac:dyDescent="0.3">
      <c r="Y368">
        <f t="shared" si="20"/>
        <v>2350</v>
      </c>
      <c r="Z368" s="20">
        <f t="shared" si="21"/>
        <v>215.58719252606807</v>
      </c>
      <c r="AA368">
        <f t="shared" si="22"/>
        <v>82199.867843103464</v>
      </c>
    </row>
    <row r="369" spans="25:27" x14ac:dyDescent="0.3">
      <c r="Y369">
        <f t="shared" si="20"/>
        <v>2352</v>
      </c>
      <c r="Z369" s="20">
        <f t="shared" si="21"/>
        <v>215.30280516888246</v>
      </c>
      <c r="AA369">
        <f t="shared" si="22"/>
        <v>82415.170648272353</v>
      </c>
    </row>
    <row r="370" spans="25:27" x14ac:dyDescent="0.3">
      <c r="Y370">
        <f t="shared" si="20"/>
        <v>2354</v>
      </c>
      <c r="Z370" s="20">
        <f t="shared" si="21"/>
        <v>215.01879295535903</v>
      </c>
      <c r="AA370">
        <f t="shared" si="22"/>
        <v>82630.189441227718</v>
      </c>
    </row>
    <row r="371" spans="25:27" x14ac:dyDescent="0.3">
      <c r="Y371">
        <f t="shared" si="20"/>
        <v>2356</v>
      </c>
      <c r="Z371" s="20">
        <f t="shared" si="21"/>
        <v>214.73515539063484</v>
      </c>
      <c r="AA371">
        <f t="shared" si="22"/>
        <v>82844.924596618352</v>
      </c>
    </row>
    <row r="372" spans="25:27" x14ac:dyDescent="0.3">
      <c r="Y372">
        <f t="shared" si="20"/>
        <v>2358</v>
      </c>
      <c r="Z372" s="20">
        <f t="shared" si="21"/>
        <v>214.45189198049974</v>
      </c>
      <c r="AA372">
        <f t="shared" si="22"/>
        <v>83059.376488598849</v>
      </c>
    </row>
    <row r="373" spans="25:27" x14ac:dyDescent="0.3">
      <c r="Y373">
        <f t="shared" si="20"/>
        <v>2360</v>
      </c>
      <c r="Z373" s="20">
        <f t="shared" si="21"/>
        <v>214.16900223139547</v>
      </c>
      <c r="AA373">
        <f t="shared" si="22"/>
        <v>83273.545490830249</v>
      </c>
    </row>
    <row r="374" spans="25:27" x14ac:dyDescent="0.3">
      <c r="Y374">
        <f t="shared" si="20"/>
        <v>2362</v>
      </c>
      <c r="Z374" s="20">
        <f t="shared" si="21"/>
        <v>213.88648565041484</v>
      </c>
      <c r="AA374">
        <f t="shared" si="22"/>
        <v>83487.431976480657</v>
      </c>
    </row>
    <row r="375" spans="25:27" x14ac:dyDescent="0.3">
      <c r="Y375">
        <f t="shared" si="20"/>
        <v>2364</v>
      </c>
      <c r="Z375" s="20">
        <f t="shared" si="21"/>
        <v>213.60434174530099</v>
      </c>
      <c r="AA375">
        <f t="shared" si="22"/>
        <v>83701.036318225961</v>
      </c>
    </row>
    <row r="376" spans="25:27" x14ac:dyDescent="0.3">
      <c r="Y376">
        <f t="shared" si="20"/>
        <v>2366</v>
      </c>
      <c r="Z376" s="20">
        <f t="shared" si="21"/>
        <v>213.32257002444621</v>
      </c>
      <c r="AA376">
        <f t="shared" si="22"/>
        <v>83914.358888250412</v>
      </c>
    </row>
    <row r="377" spans="25:27" x14ac:dyDescent="0.3">
      <c r="Y377">
        <f t="shared" si="20"/>
        <v>2368</v>
      </c>
      <c r="Z377" s="20">
        <f t="shared" si="21"/>
        <v>213.04116999689143</v>
      </c>
      <c r="AA377">
        <f t="shared" si="22"/>
        <v>84127.400058247309</v>
      </c>
    </row>
    <row r="378" spans="25:27" x14ac:dyDescent="0.3">
      <c r="Y378">
        <f t="shared" si="20"/>
        <v>2370</v>
      </c>
      <c r="Z378" s="20">
        <f t="shared" si="21"/>
        <v>212.76014117232512</v>
      </c>
      <c r="AA378">
        <f t="shared" si="22"/>
        <v>84340.160199419639</v>
      </c>
    </row>
    <row r="379" spans="25:27" x14ac:dyDescent="0.3">
      <c r="Y379">
        <f t="shared" si="20"/>
        <v>2372</v>
      </c>
      <c r="Z379" s="20">
        <f t="shared" si="21"/>
        <v>212.47948306108262</v>
      </c>
      <c r="AA379">
        <f t="shared" si="22"/>
        <v>84552.639682480716</v>
      </c>
    </row>
    <row r="380" spans="25:27" x14ac:dyDescent="0.3">
      <c r="Y380">
        <f t="shared" si="20"/>
        <v>2374</v>
      </c>
      <c r="Z380" s="20">
        <f t="shared" si="21"/>
        <v>212.19919517414519</v>
      </c>
      <c r="AA380">
        <f t="shared" si="22"/>
        <v>84764.838877654867</v>
      </c>
    </row>
    <row r="381" spans="25:27" x14ac:dyDescent="0.3">
      <c r="Y381">
        <f t="shared" si="20"/>
        <v>2376</v>
      </c>
      <c r="Z381" s="20">
        <f t="shared" si="21"/>
        <v>211.9192770231391</v>
      </c>
      <c r="AA381">
        <f t="shared" si="22"/>
        <v>84976.758154678013</v>
      </c>
    </row>
    <row r="382" spans="25:27" x14ac:dyDescent="0.3">
      <c r="Y382">
        <f t="shared" ref="Y382:Y445" si="23">Y381+2</f>
        <v>2378</v>
      </c>
      <c r="Z382" s="20">
        <f t="shared" si="21"/>
        <v>211.63972812033489</v>
      </c>
      <c r="AA382">
        <f t="shared" si="22"/>
        <v>85188.397882798352</v>
      </c>
    </row>
    <row r="383" spans="25:27" x14ac:dyDescent="0.3">
      <c r="Y383">
        <f t="shared" si="23"/>
        <v>2380</v>
      </c>
      <c r="Z383" s="20">
        <f t="shared" si="21"/>
        <v>211.36054797864651</v>
      </c>
      <c r="AA383">
        <f t="shared" si="22"/>
        <v>85399.758430777001</v>
      </c>
    </row>
    <row r="384" spans="25:27" x14ac:dyDescent="0.3">
      <c r="Y384">
        <f t="shared" si="23"/>
        <v>2382</v>
      </c>
      <c r="Z384" s="20">
        <f t="shared" si="21"/>
        <v>211.08173611163042</v>
      </c>
      <c r="AA384">
        <f t="shared" si="22"/>
        <v>85610.840166888636</v>
      </c>
    </row>
    <row r="385" spans="25:27" x14ac:dyDescent="0.3">
      <c r="Y385">
        <f t="shared" si="23"/>
        <v>2384</v>
      </c>
      <c r="Z385" s="20">
        <f t="shared" si="21"/>
        <v>210.80329203348475</v>
      </c>
      <c r="AA385">
        <f t="shared" si="22"/>
        <v>85821.643458922117</v>
      </c>
    </row>
    <row r="386" spans="25:27" x14ac:dyDescent="0.3">
      <c r="Y386">
        <f t="shared" si="23"/>
        <v>2386</v>
      </c>
      <c r="Z386" s="20">
        <f t="shared" si="21"/>
        <v>210.52521525904842</v>
      </c>
      <c r="AA386">
        <f t="shared" si="22"/>
        <v>86032.168674181172</v>
      </c>
    </row>
    <row r="387" spans="25:27" x14ac:dyDescent="0.3">
      <c r="Y387">
        <f t="shared" si="23"/>
        <v>2388</v>
      </c>
      <c r="Z387" s="20">
        <f t="shared" si="21"/>
        <v>210.24750530380044</v>
      </c>
      <c r="AA387">
        <f t="shared" si="22"/>
        <v>86242.416179484979</v>
      </c>
    </row>
    <row r="388" spans="25:27" x14ac:dyDescent="0.3">
      <c r="Y388">
        <f t="shared" si="23"/>
        <v>2390</v>
      </c>
      <c r="Z388" s="20">
        <f t="shared" ref="Z388:Z451" si="24">1016.74887*EXP(-0.00066*Y388)</f>
        <v>209.97016168385886</v>
      </c>
      <c r="AA388">
        <f t="shared" si="22"/>
        <v>86452.386341168836</v>
      </c>
    </row>
    <row r="389" spans="25:27" x14ac:dyDescent="0.3">
      <c r="Y389">
        <f t="shared" si="23"/>
        <v>2392</v>
      </c>
      <c r="Z389" s="20">
        <f t="shared" si="24"/>
        <v>209.69318391598014</v>
      </c>
      <c r="AA389">
        <f t="shared" ref="AA389:AA452" si="25">AA388+Z389</f>
        <v>86662.079525084817</v>
      </c>
    </row>
    <row r="390" spans="25:27" x14ac:dyDescent="0.3">
      <c r="Y390">
        <f t="shared" si="23"/>
        <v>2394</v>
      </c>
      <c r="Z390" s="20">
        <f t="shared" si="24"/>
        <v>209.41657151755811</v>
      </c>
      <c r="AA390">
        <f t="shared" si="25"/>
        <v>86871.496096602379</v>
      </c>
    </row>
    <row r="391" spans="25:27" x14ac:dyDescent="0.3">
      <c r="Y391">
        <f t="shared" si="23"/>
        <v>2396</v>
      </c>
      <c r="Z391" s="20">
        <f t="shared" si="24"/>
        <v>209.14032400662327</v>
      </c>
      <c r="AA391">
        <f t="shared" si="25"/>
        <v>87080.636420609007</v>
      </c>
    </row>
    <row r="392" spans="25:27" x14ac:dyDescent="0.3">
      <c r="Y392">
        <f t="shared" si="23"/>
        <v>2398</v>
      </c>
      <c r="Z392" s="20">
        <f t="shared" si="24"/>
        <v>208.8644409018419</v>
      </c>
      <c r="AA392">
        <f t="shared" si="25"/>
        <v>87289.500861510853</v>
      </c>
    </row>
    <row r="393" spans="25:27" x14ac:dyDescent="0.3">
      <c r="Y393">
        <f t="shared" si="23"/>
        <v>2400</v>
      </c>
      <c r="Z393" s="20">
        <f t="shared" si="24"/>
        <v>208.58892172251521</v>
      </c>
      <c r="AA393">
        <f t="shared" si="25"/>
        <v>87498.089783233372</v>
      </c>
    </row>
    <row r="394" spans="25:27" x14ac:dyDescent="0.3">
      <c r="Y394">
        <f t="shared" si="23"/>
        <v>2402</v>
      </c>
      <c r="Z394" s="20">
        <f t="shared" si="24"/>
        <v>208.3137659885785</v>
      </c>
      <c r="AA394">
        <f t="shared" si="25"/>
        <v>87706.403549221955</v>
      </c>
    </row>
    <row r="395" spans="25:27" x14ac:dyDescent="0.3">
      <c r="Y395">
        <f t="shared" si="23"/>
        <v>2404</v>
      </c>
      <c r="Z395" s="20">
        <f t="shared" si="24"/>
        <v>208.03897322060035</v>
      </c>
      <c r="AA395">
        <f t="shared" si="25"/>
        <v>87914.44252244255</v>
      </c>
    </row>
    <row r="396" spans="25:27" x14ac:dyDescent="0.3">
      <c r="Y396">
        <f t="shared" si="23"/>
        <v>2406</v>
      </c>
      <c r="Z396" s="20">
        <f t="shared" si="24"/>
        <v>207.76454293978179</v>
      </c>
      <c r="AA396">
        <f t="shared" si="25"/>
        <v>88122.207065382332</v>
      </c>
    </row>
    <row r="397" spans="25:27" x14ac:dyDescent="0.3">
      <c r="Y397">
        <f t="shared" si="23"/>
        <v>2408</v>
      </c>
      <c r="Z397" s="20">
        <f t="shared" si="24"/>
        <v>207.4904746679554</v>
      </c>
      <c r="AA397">
        <f t="shared" si="25"/>
        <v>88329.697540050285</v>
      </c>
    </row>
    <row r="398" spans="25:27" x14ac:dyDescent="0.3">
      <c r="Y398">
        <f t="shared" si="23"/>
        <v>2410</v>
      </c>
      <c r="Z398" s="20">
        <f t="shared" si="24"/>
        <v>207.21676792758456</v>
      </c>
      <c r="AA398">
        <f t="shared" si="25"/>
        <v>88536.914307977873</v>
      </c>
    </row>
    <row r="399" spans="25:27" x14ac:dyDescent="0.3">
      <c r="Y399">
        <f t="shared" si="23"/>
        <v>2412</v>
      </c>
      <c r="Z399" s="20">
        <f t="shared" si="24"/>
        <v>206.94342224176256</v>
      </c>
      <c r="AA399">
        <f t="shared" si="25"/>
        <v>88743.857730219635</v>
      </c>
    </row>
    <row r="400" spans="25:27" x14ac:dyDescent="0.3">
      <c r="Y400">
        <f t="shared" si="23"/>
        <v>2414</v>
      </c>
      <c r="Z400" s="20">
        <f t="shared" si="24"/>
        <v>206.67043713421188</v>
      </c>
      <c r="AA400">
        <f t="shared" si="25"/>
        <v>88950.528167353841</v>
      </c>
    </row>
    <row r="401" spans="25:27" x14ac:dyDescent="0.3">
      <c r="Y401">
        <f t="shared" si="23"/>
        <v>2416</v>
      </c>
      <c r="Z401" s="20">
        <f t="shared" si="24"/>
        <v>206.39781212928312</v>
      </c>
      <c r="AA401">
        <f t="shared" si="25"/>
        <v>89156.925979483131</v>
      </c>
    </row>
    <row r="402" spans="25:27" x14ac:dyDescent="0.3">
      <c r="Y402">
        <f t="shared" si="23"/>
        <v>2418</v>
      </c>
      <c r="Z402" s="20">
        <f t="shared" si="24"/>
        <v>206.12554675195443</v>
      </c>
      <c r="AA402">
        <f t="shared" si="25"/>
        <v>89363.051526235082</v>
      </c>
    </row>
    <row r="403" spans="25:27" x14ac:dyDescent="0.3">
      <c r="Y403">
        <f t="shared" si="23"/>
        <v>2420</v>
      </c>
      <c r="Z403" s="20">
        <f t="shared" si="24"/>
        <v>205.85364052783055</v>
      </c>
      <c r="AA403">
        <f t="shared" si="25"/>
        <v>89568.90516676291</v>
      </c>
    </row>
    <row r="404" spans="25:27" x14ac:dyDescent="0.3">
      <c r="Y404">
        <f t="shared" si="23"/>
        <v>2422</v>
      </c>
      <c r="Z404" s="20">
        <f t="shared" si="24"/>
        <v>205.58209298314202</v>
      </c>
      <c r="AA404">
        <f t="shared" si="25"/>
        <v>89774.487259746049</v>
      </c>
    </row>
    <row r="405" spans="25:27" x14ac:dyDescent="0.3">
      <c r="Y405">
        <f t="shared" si="23"/>
        <v>2424</v>
      </c>
      <c r="Z405" s="20">
        <f t="shared" si="24"/>
        <v>205.31090364474431</v>
      </c>
      <c r="AA405">
        <f t="shared" si="25"/>
        <v>89979.798163390791</v>
      </c>
    </row>
    <row r="406" spans="25:27" x14ac:dyDescent="0.3">
      <c r="Y406">
        <f t="shared" si="23"/>
        <v>2426</v>
      </c>
      <c r="Z406" s="20">
        <f t="shared" si="24"/>
        <v>205.04007204011705</v>
      </c>
      <c r="AA406">
        <f t="shared" si="25"/>
        <v>90184.838235430914</v>
      </c>
    </row>
    <row r="407" spans="25:27" x14ac:dyDescent="0.3">
      <c r="Y407">
        <f t="shared" si="23"/>
        <v>2428</v>
      </c>
      <c r="Z407" s="20">
        <f t="shared" si="24"/>
        <v>204.7695976973632</v>
      </c>
      <c r="AA407">
        <f t="shared" si="25"/>
        <v>90389.607833128277</v>
      </c>
    </row>
    <row r="408" spans="25:27" x14ac:dyDescent="0.3">
      <c r="Y408">
        <f t="shared" si="23"/>
        <v>2430</v>
      </c>
      <c r="Z408" s="20">
        <f t="shared" si="24"/>
        <v>204.49948014520817</v>
      </c>
      <c r="AA408">
        <f t="shared" si="25"/>
        <v>90594.107313273489</v>
      </c>
    </row>
    <row r="409" spans="25:27" x14ac:dyDescent="0.3">
      <c r="Y409">
        <f t="shared" si="23"/>
        <v>2432</v>
      </c>
      <c r="Z409" s="20">
        <f t="shared" si="24"/>
        <v>204.22971891299909</v>
      </c>
      <c r="AA409">
        <f t="shared" si="25"/>
        <v>90798.337032186493</v>
      </c>
    </row>
    <row r="410" spans="25:27" x14ac:dyDescent="0.3">
      <c r="Y410">
        <f t="shared" si="23"/>
        <v>2434</v>
      </c>
      <c r="Z410" s="20">
        <f t="shared" si="24"/>
        <v>203.96031353070387</v>
      </c>
      <c r="AA410">
        <f t="shared" si="25"/>
        <v>91002.29734571719</v>
      </c>
    </row>
    <row r="411" spans="25:27" x14ac:dyDescent="0.3">
      <c r="Y411">
        <f t="shared" si="23"/>
        <v>2436</v>
      </c>
      <c r="Z411" s="20">
        <f t="shared" si="24"/>
        <v>203.69126352891055</v>
      </c>
      <c r="AA411">
        <f t="shared" si="25"/>
        <v>91205.988609246095</v>
      </c>
    </row>
    <row r="412" spans="25:27" x14ac:dyDescent="0.3">
      <c r="Y412">
        <f t="shared" si="23"/>
        <v>2438</v>
      </c>
      <c r="Z412" s="20">
        <f t="shared" si="24"/>
        <v>203.42256843882637</v>
      </c>
      <c r="AA412">
        <f t="shared" si="25"/>
        <v>91409.411177684917</v>
      </c>
    </row>
    <row r="413" spans="25:27" x14ac:dyDescent="0.3">
      <c r="Y413">
        <f t="shared" si="23"/>
        <v>2440</v>
      </c>
      <c r="Z413" s="20">
        <f t="shared" si="24"/>
        <v>203.15422779227694</v>
      </c>
      <c r="AA413">
        <f t="shared" si="25"/>
        <v>91612.565405477188</v>
      </c>
    </row>
    <row r="414" spans="25:27" x14ac:dyDescent="0.3">
      <c r="Y414">
        <f t="shared" si="23"/>
        <v>2442</v>
      </c>
      <c r="Z414" s="20">
        <f t="shared" si="24"/>
        <v>202.88624112170535</v>
      </c>
      <c r="AA414">
        <f t="shared" si="25"/>
        <v>91815.4516465989</v>
      </c>
    </row>
    <row r="415" spans="25:27" x14ac:dyDescent="0.3">
      <c r="Y415">
        <f t="shared" si="23"/>
        <v>2444</v>
      </c>
      <c r="Z415" s="20">
        <f t="shared" si="24"/>
        <v>202.61860796017169</v>
      </c>
      <c r="AA415">
        <f t="shared" si="25"/>
        <v>92018.070254559076</v>
      </c>
    </row>
    <row r="416" spans="25:27" x14ac:dyDescent="0.3">
      <c r="Y416">
        <f t="shared" si="23"/>
        <v>2446</v>
      </c>
      <c r="Z416" s="20">
        <f t="shared" si="24"/>
        <v>202.35132784135175</v>
      </c>
      <c r="AA416">
        <f t="shared" si="25"/>
        <v>92220.42158240042</v>
      </c>
    </row>
    <row r="417" spans="25:27" x14ac:dyDescent="0.3">
      <c r="Y417">
        <f t="shared" si="23"/>
        <v>2448</v>
      </c>
      <c r="Z417" s="20">
        <f t="shared" si="24"/>
        <v>202.08440029953664</v>
      </c>
      <c r="AA417">
        <f t="shared" si="25"/>
        <v>92422.505982699964</v>
      </c>
    </row>
    <row r="418" spans="25:27" x14ac:dyDescent="0.3">
      <c r="Y418">
        <f t="shared" si="23"/>
        <v>2450</v>
      </c>
      <c r="Z418" s="20">
        <f t="shared" si="24"/>
        <v>201.81782486963175</v>
      </c>
      <c r="AA418">
        <f t="shared" si="25"/>
        <v>92624.323807569599</v>
      </c>
    </row>
    <row r="419" spans="25:27" x14ac:dyDescent="0.3">
      <c r="Y419">
        <f t="shared" si="23"/>
        <v>2452</v>
      </c>
      <c r="Z419" s="20">
        <f t="shared" si="24"/>
        <v>201.55160108715594</v>
      </c>
      <c r="AA419">
        <f t="shared" si="25"/>
        <v>92825.87540865675</v>
      </c>
    </row>
    <row r="420" spans="25:27" x14ac:dyDescent="0.3">
      <c r="Y420">
        <f t="shared" si="23"/>
        <v>2454</v>
      </c>
      <c r="Z420" s="20">
        <f t="shared" si="24"/>
        <v>201.28572848824089</v>
      </c>
      <c r="AA420">
        <f t="shared" si="25"/>
        <v>93027.161137144984</v>
      </c>
    </row>
    <row r="421" spans="25:27" x14ac:dyDescent="0.3">
      <c r="Y421">
        <f t="shared" si="23"/>
        <v>2456</v>
      </c>
      <c r="Z421" s="20">
        <f t="shared" si="24"/>
        <v>201.02020660963007</v>
      </c>
      <c r="AA421">
        <f t="shared" si="25"/>
        <v>93228.181343754608</v>
      </c>
    </row>
    <row r="422" spans="25:27" x14ac:dyDescent="0.3">
      <c r="Y422">
        <f t="shared" si="23"/>
        <v>2458</v>
      </c>
      <c r="Z422" s="20">
        <f t="shared" si="24"/>
        <v>200.75503498867812</v>
      </c>
      <c r="AA422">
        <f t="shared" si="25"/>
        <v>93428.936378743281</v>
      </c>
    </row>
    <row r="423" spans="25:27" x14ac:dyDescent="0.3">
      <c r="Y423">
        <f t="shared" si="23"/>
        <v>2460</v>
      </c>
      <c r="Z423" s="20">
        <f t="shared" si="24"/>
        <v>200.49021316334992</v>
      </c>
      <c r="AA423">
        <f t="shared" si="25"/>
        <v>93629.426591906638</v>
      </c>
    </row>
    <row r="424" spans="25:27" x14ac:dyDescent="0.3">
      <c r="Y424">
        <f t="shared" si="23"/>
        <v>2462</v>
      </c>
      <c r="Z424" s="20">
        <f t="shared" si="24"/>
        <v>200.22574067221984</v>
      </c>
      <c r="AA424">
        <f t="shared" si="25"/>
        <v>93829.652332578858</v>
      </c>
    </row>
    <row r="425" spans="25:27" x14ac:dyDescent="0.3">
      <c r="Y425">
        <f t="shared" si="23"/>
        <v>2464</v>
      </c>
      <c r="Z425" s="20">
        <f t="shared" si="24"/>
        <v>199.96161705447096</v>
      </c>
      <c r="AA425">
        <f t="shared" si="25"/>
        <v>94029.613949633334</v>
      </c>
    </row>
    <row r="426" spans="25:27" x14ac:dyDescent="0.3">
      <c r="Y426">
        <f t="shared" si="23"/>
        <v>2466</v>
      </c>
      <c r="Z426" s="20">
        <f t="shared" si="24"/>
        <v>199.69784184989425</v>
      </c>
      <c r="AA426">
        <f t="shared" si="25"/>
        <v>94229.311791483226</v>
      </c>
    </row>
    <row r="427" spans="25:27" x14ac:dyDescent="0.3">
      <c r="Y427">
        <f t="shared" si="23"/>
        <v>2468</v>
      </c>
      <c r="Z427" s="20">
        <f t="shared" si="24"/>
        <v>199.43441459888768</v>
      </c>
      <c r="AA427">
        <f t="shared" si="25"/>
        <v>94428.746206082113</v>
      </c>
    </row>
    <row r="428" spans="25:27" x14ac:dyDescent="0.3">
      <c r="Y428">
        <f t="shared" si="23"/>
        <v>2470</v>
      </c>
      <c r="Z428" s="20">
        <f t="shared" si="24"/>
        <v>199.17133484245554</v>
      </c>
      <c r="AA428">
        <f t="shared" si="25"/>
        <v>94627.917540924565</v>
      </c>
    </row>
    <row r="429" spans="25:27" x14ac:dyDescent="0.3">
      <c r="Y429">
        <f t="shared" si="23"/>
        <v>2472</v>
      </c>
      <c r="Z429" s="20">
        <f t="shared" si="24"/>
        <v>198.90860212220767</v>
      </c>
      <c r="AA429">
        <f t="shared" si="25"/>
        <v>94826.826143046768</v>
      </c>
    </row>
    <row r="430" spans="25:27" x14ac:dyDescent="0.3">
      <c r="Y430">
        <f t="shared" si="23"/>
        <v>2474</v>
      </c>
      <c r="Z430" s="20">
        <f t="shared" si="24"/>
        <v>198.64621598035842</v>
      </c>
      <c r="AA430">
        <f t="shared" si="25"/>
        <v>95025.472359027131</v>
      </c>
    </row>
    <row r="431" spans="25:27" x14ac:dyDescent="0.3">
      <c r="Y431">
        <f t="shared" si="23"/>
        <v>2476</v>
      </c>
      <c r="Z431" s="20">
        <f t="shared" si="24"/>
        <v>198.38417595972621</v>
      </c>
      <c r="AA431">
        <f t="shared" si="25"/>
        <v>95223.856534986859</v>
      </c>
    </row>
    <row r="432" spans="25:27" x14ac:dyDescent="0.3">
      <c r="Y432">
        <f t="shared" si="23"/>
        <v>2478</v>
      </c>
      <c r="Z432" s="20">
        <f t="shared" si="24"/>
        <v>198.12248160373233</v>
      </c>
      <c r="AA432">
        <f t="shared" si="25"/>
        <v>95421.979016590587</v>
      </c>
    </row>
    <row r="433" spans="25:27" x14ac:dyDescent="0.3">
      <c r="Y433">
        <f t="shared" si="23"/>
        <v>2480</v>
      </c>
      <c r="Z433" s="20">
        <f t="shared" si="24"/>
        <v>197.86113245640053</v>
      </c>
      <c r="AA433">
        <f t="shared" si="25"/>
        <v>95619.840149046984</v>
      </c>
    </row>
    <row r="434" spans="25:27" x14ac:dyDescent="0.3">
      <c r="Y434">
        <f t="shared" si="23"/>
        <v>2482</v>
      </c>
      <c r="Z434" s="20">
        <f t="shared" si="24"/>
        <v>197.60012806235599</v>
      </c>
      <c r="AA434">
        <f t="shared" si="25"/>
        <v>95817.440277109345</v>
      </c>
    </row>
    <row r="435" spans="25:27" x14ac:dyDescent="0.3">
      <c r="Y435">
        <f t="shared" si="23"/>
        <v>2484</v>
      </c>
      <c r="Z435" s="20">
        <f t="shared" si="24"/>
        <v>197.3394679668246</v>
      </c>
      <c r="AA435">
        <f t="shared" si="25"/>
        <v>96014.779745076172</v>
      </c>
    </row>
    <row r="436" spans="25:27" x14ac:dyDescent="0.3">
      <c r="Y436">
        <f t="shared" si="23"/>
        <v>2486</v>
      </c>
      <c r="Z436" s="20">
        <f t="shared" si="24"/>
        <v>197.07915171563209</v>
      </c>
      <c r="AA436">
        <f t="shared" si="25"/>
        <v>96211.858896791804</v>
      </c>
    </row>
    <row r="437" spans="25:27" x14ac:dyDescent="0.3">
      <c r="Y437">
        <f t="shared" si="23"/>
        <v>2488</v>
      </c>
      <c r="Z437" s="20">
        <f t="shared" si="24"/>
        <v>196.8191788552034</v>
      </c>
      <c r="AA437">
        <f t="shared" si="25"/>
        <v>96408.678075647011</v>
      </c>
    </row>
    <row r="438" spans="25:27" x14ac:dyDescent="0.3">
      <c r="Y438">
        <f t="shared" si="23"/>
        <v>2490</v>
      </c>
      <c r="Z438" s="20">
        <f t="shared" si="24"/>
        <v>196.55954893256174</v>
      </c>
      <c r="AA438">
        <f t="shared" si="25"/>
        <v>96605.237624579575</v>
      </c>
    </row>
    <row r="439" spans="25:27" x14ac:dyDescent="0.3">
      <c r="Y439">
        <f t="shared" si="23"/>
        <v>2492</v>
      </c>
      <c r="Z439" s="20">
        <f t="shared" si="24"/>
        <v>196.30026149532785</v>
      </c>
      <c r="AA439">
        <f t="shared" si="25"/>
        <v>96801.537886074904</v>
      </c>
    </row>
    <row r="440" spans="25:27" x14ac:dyDescent="0.3">
      <c r="Y440">
        <f t="shared" si="23"/>
        <v>2494</v>
      </c>
      <c r="Z440" s="20">
        <f t="shared" si="24"/>
        <v>196.0413160917193</v>
      </c>
      <c r="AA440">
        <f t="shared" si="25"/>
        <v>96997.579202166628</v>
      </c>
    </row>
    <row r="441" spans="25:27" x14ac:dyDescent="0.3">
      <c r="Y441">
        <f t="shared" si="23"/>
        <v>2496</v>
      </c>
      <c r="Z441" s="20">
        <f t="shared" si="24"/>
        <v>195.78271227054947</v>
      </c>
      <c r="AA441">
        <f t="shared" si="25"/>
        <v>97193.361914437177</v>
      </c>
    </row>
    <row r="442" spans="25:27" x14ac:dyDescent="0.3">
      <c r="Y442">
        <f t="shared" si="23"/>
        <v>2498</v>
      </c>
      <c r="Z442" s="20">
        <f t="shared" si="24"/>
        <v>195.52444958122703</v>
      </c>
      <c r="AA442">
        <f t="shared" si="25"/>
        <v>97388.886364018399</v>
      </c>
    </row>
    <row r="443" spans="25:27" x14ac:dyDescent="0.3">
      <c r="Y443">
        <f t="shared" si="23"/>
        <v>2500</v>
      </c>
      <c r="Z443" s="20">
        <f t="shared" si="24"/>
        <v>195.26652757375501</v>
      </c>
      <c r="AA443">
        <f t="shared" si="25"/>
        <v>97584.152891592152</v>
      </c>
    </row>
    <row r="444" spans="25:27" x14ac:dyDescent="0.3">
      <c r="Y444">
        <f t="shared" si="23"/>
        <v>2502</v>
      </c>
      <c r="Z444" s="20">
        <f t="shared" si="24"/>
        <v>195.00894579873005</v>
      </c>
      <c r="AA444">
        <f t="shared" si="25"/>
        <v>97779.161837390886</v>
      </c>
    </row>
    <row r="445" spans="25:27" x14ac:dyDescent="0.3">
      <c r="Y445">
        <f t="shared" si="23"/>
        <v>2504</v>
      </c>
      <c r="Z445" s="20">
        <f t="shared" si="24"/>
        <v>194.75170380734158</v>
      </c>
      <c r="AA445">
        <f t="shared" si="25"/>
        <v>97973.913541198228</v>
      </c>
    </row>
    <row r="446" spans="25:27" x14ac:dyDescent="0.3">
      <c r="Y446">
        <f t="shared" ref="Y446:Y509" si="26">Y445+2</f>
        <v>2506</v>
      </c>
      <c r="Z446" s="20">
        <f t="shared" si="24"/>
        <v>194.49480115137106</v>
      </c>
      <c r="AA446">
        <f t="shared" si="25"/>
        <v>98168.408342349605</v>
      </c>
    </row>
    <row r="447" spans="25:27" x14ac:dyDescent="0.3">
      <c r="Y447">
        <f t="shared" si="26"/>
        <v>2508</v>
      </c>
      <c r="Z447" s="20">
        <f t="shared" si="24"/>
        <v>194.23823738319129</v>
      </c>
      <c r="AA447">
        <f t="shared" si="25"/>
        <v>98362.646579732798</v>
      </c>
    </row>
    <row r="448" spans="25:27" x14ac:dyDescent="0.3">
      <c r="Y448">
        <f t="shared" si="26"/>
        <v>2510</v>
      </c>
      <c r="Z448" s="20">
        <f t="shared" si="24"/>
        <v>193.98201205576552</v>
      </c>
      <c r="AA448">
        <f t="shared" si="25"/>
        <v>98556.628591788569</v>
      </c>
    </row>
    <row r="449" spans="25:27" x14ac:dyDescent="0.3">
      <c r="Y449">
        <f t="shared" si="26"/>
        <v>2512</v>
      </c>
      <c r="Z449" s="20">
        <f t="shared" si="24"/>
        <v>193.7261247226466</v>
      </c>
      <c r="AA449">
        <f t="shared" si="25"/>
        <v>98750.35471651121</v>
      </c>
    </row>
    <row r="450" spans="25:27" x14ac:dyDescent="0.3">
      <c r="Y450">
        <f t="shared" si="26"/>
        <v>2514</v>
      </c>
      <c r="Z450" s="20">
        <f t="shared" si="24"/>
        <v>193.47057493797644</v>
      </c>
      <c r="AA450">
        <f t="shared" si="25"/>
        <v>98943.82529144919</v>
      </c>
    </row>
    <row r="451" spans="25:27" x14ac:dyDescent="0.3">
      <c r="Y451">
        <f t="shared" si="26"/>
        <v>2516</v>
      </c>
      <c r="Z451" s="20">
        <f t="shared" si="24"/>
        <v>193.21536225648498</v>
      </c>
      <c r="AA451">
        <f t="shared" si="25"/>
        <v>99137.04065370567</v>
      </c>
    </row>
    <row r="452" spans="25:27" x14ac:dyDescent="0.3">
      <c r="Y452">
        <f t="shared" si="26"/>
        <v>2518</v>
      </c>
      <c r="Z452" s="20">
        <f t="shared" ref="Z452:Z515" si="27">1016.74887*EXP(-0.00066*Y452)</f>
        <v>192.96048623348958</v>
      </c>
      <c r="AA452">
        <f t="shared" si="25"/>
        <v>99330.001139939166</v>
      </c>
    </row>
    <row r="453" spans="25:27" x14ac:dyDescent="0.3">
      <c r="Y453">
        <f t="shared" si="26"/>
        <v>2520</v>
      </c>
      <c r="Z453" s="20">
        <f t="shared" si="27"/>
        <v>192.70594642489422</v>
      </c>
      <c r="AA453">
        <f t="shared" ref="AA453:AA516" si="28">AA452+Z453</f>
        <v>99522.707086364055</v>
      </c>
    </row>
    <row r="454" spans="25:27" x14ac:dyDescent="0.3">
      <c r="Y454">
        <f t="shared" si="26"/>
        <v>2522</v>
      </c>
      <c r="Z454" s="20">
        <f t="shared" si="27"/>
        <v>192.45174238718869</v>
      </c>
      <c r="AA454">
        <f t="shared" si="28"/>
        <v>99715.158828751242</v>
      </c>
    </row>
    <row r="455" spans="25:27" x14ac:dyDescent="0.3">
      <c r="Y455">
        <f t="shared" si="26"/>
        <v>2524</v>
      </c>
      <c r="Z455" s="20">
        <f t="shared" si="27"/>
        <v>192.19787367744775</v>
      </c>
      <c r="AA455">
        <f t="shared" si="28"/>
        <v>99907.356702428689</v>
      </c>
    </row>
    <row r="456" spans="25:27" x14ac:dyDescent="0.3">
      <c r="Y456">
        <f t="shared" si="26"/>
        <v>2526</v>
      </c>
      <c r="Z456" s="20">
        <f t="shared" si="27"/>
        <v>191.94433985333058</v>
      </c>
      <c r="AA456">
        <f t="shared" si="28"/>
        <v>100099.30104228202</v>
      </c>
    </row>
    <row r="457" spans="25:27" x14ac:dyDescent="0.3">
      <c r="Y457">
        <f t="shared" si="26"/>
        <v>2528</v>
      </c>
      <c r="Z457" s="20">
        <f t="shared" si="27"/>
        <v>191.69114047307968</v>
      </c>
      <c r="AA457">
        <f t="shared" si="28"/>
        <v>100290.9921827551</v>
      </c>
    </row>
    <row r="458" spans="25:27" x14ac:dyDescent="0.3">
      <c r="Y458">
        <f t="shared" si="26"/>
        <v>2530</v>
      </c>
      <c r="Z458" s="20">
        <f t="shared" si="27"/>
        <v>191.43827509552045</v>
      </c>
      <c r="AA458">
        <f t="shared" si="28"/>
        <v>100482.43045785063</v>
      </c>
    </row>
    <row r="459" spans="25:27" x14ac:dyDescent="0.3">
      <c r="Y459">
        <f t="shared" si="26"/>
        <v>2532</v>
      </c>
      <c r="Z459" s="20">
        <f t="shared" si="27"/>
        <v>191.18574328006019</v>
      </c>
      <c r="AA459">
        <f t="shared" si="28"/>
        <v>100673.61620113069</v>
      </c>
    </row>
    <row r="460" spans="25:27" x14ac:dyDescent="0.3">
      <c r="Y460">
        <f t="shared" si="26"/>
        <v>2534</v>
      </c>
      <c r="Z460" s="20">
        <f t="shared" si="27"/>
        <v>190.93354458668739</v>
      </c>
      <c r="AA460">
        <f t="shared" si="28"/>
        <v>100864.54974571738</v>
      </c>
    </row>
    <row r="461" spans="25:27" x14ac:dyDescent="0.3">
      <c r="Y461">
        <f t="shared" si="26"/>
        <v>2536</v>
      </c>
      <c r="Z461" s="20">
        <f t="shared" si="27"/>
        <v>190.68167857597098</v>
      </c>
      <c r="AA461">
        <f t="shared" si="28"/>
        <v>101055.23142429335</v>
      </c>
    </row>
    <row r="462" spans="25:27" x14ac:dyDescent="0.3">
      <c r="Y462">
        <f t="shared" si="26"/>
        <v>2538</v>
      </c>
      <c r="Z462" s="20">
        <f t="shared" si="27"/>
        <v>190.43014480905958</v>
      </c>
      <c r="AA462">
        <f t="shared" si="28"/>
        <v>101245.66156910241</v>
      </c>
    </row>
    <row r="463" spans="25:27" x14ac:dyDescent="0.3">
      <c r="Y463">
        <f t="shared" si="26"/>
        <v>2540</v>
      </c>
      <c r="Z463" s="20">
        <f t="shared" si="27"/>
        <v>190.17894284768064</v>
      </c>
      <c r="AA463">
        <f t="shared" si="28"/>
        <v>101435.84051195008</v>
      </c>
    </row>
    <row r="464" spans="25:27" x14ac:dyDescent="0.3">
      <c r="Y464">
        <f t="shared" si="26"/>
        <v>2542</v>
      </c>
      <c r="Z464" s="20">
        <f t="shared" si="27"/>
        <v>189.92807225413981</v>
      </c>
      <c r="AA464">
        <f t="shared" si="28"/>
        <v>101625.76858420423</v>
      </c>
    </row>
    <row r="465" spans="25:27" x14ac:dyDescent="0.3">
      <c r="Y465">
        <f t="shared" si="26"/>
        <v>2544</v>
      </c>
      <c r="Z465" s="20">
        <f t="shared" si="27"/>
        <v>189.67753259132019</v>
      </c>
      <c r="AA465">
        <f t="shared" si="28"/>
        <v>101815.44611679555</v>
      </c>
    </row>
    <row r="466" spans="25:27" x14ac:dyDescent="0.3">
      <c r="Y466">
        <f t="shared" si="26"/>
        <v>2546</v>
      </c>
      <c r="Z466" s="20">
        <f t="shared" si="27"/>
        <v>189.42732342268133</v>
      </c>
      <c r="AA466">
        <f t="shared" si="28"/>
        <v>102004.87344021823</v>
      </c>
    </row>
    <row r="467" spans="25:27" x14ac:dyDescent="0.3">
      <c r="Y467">
        <f t="shared" si="26"/>
        <v>2548</v>
      </c>
      <c r="Z467" s="20">
        <f t="shared" si="27"/>
        <v>189.1774443122587</v>
      </c>
      <c r="AA467">
        <f t="shared" si="28"/>
        <v>102194.05088453049</v>
      </c>
    </row>
    <row r="468" spans="25:27" x14ac:dyDescent="0.3">
      <c r="Y468">
        <f t="shared" si="26"/>
        <v>2550</v>
      </c>
      <c r="Z468" s="20">
        <f t="shared" si="27"/>
        <v>188.92789482466293</v>
      </c>
      <c r="AA468">
        <f t="shared" si="28"/>
        <v>102382.97877935515</v>
      </c>
    </row>
    <row r="469" spans="25:27" x14ac:dyDescent="0.3">
      <c r="Y469">
        <f t="shared" si="26"/>
        <v>2552</v>
      </c>
      <c r="Z469" s="20">
        <f t="shared" si="27"/>
        <v>188.67867452507889</v>
      </c>
      <c r="AA469">
        <f t="shared" si="28"/>
        <v>102571.65745388022</v>
      </c>
    </row>
    <row r="470" spans="25:27" x14ac:dyDescent="0.3">
      <c r="Y470">
        <f t="shared" si="26"/>
        <v>2554</v>
      </c>
      <c r="Z470" s="20">
        <f t="shared" si="27"/>
        <v>188.42978297926504</v>
      </c>
      <c r="AA470">
        <f t="shared" si="28"/>
        <v>102760.08723685949</v>
      </c>
    </row>
    <row r="471" spans="25:27" x14ac:dyDescent="0.3">
      <c r="Y471">
        <f t="shared" si="26"/>
        <v>2556</v>
      </c>
      <c r="Z471" s="20">
        <f t="shared" si="27"/>
        <v>188.1812197535528</v>
      </c>
      <c r="AA471">
        <f t="shared" si="28"/>
        <v>102948.26845661303</v>
      </c>
    </row>
    <row r="472" spans="25:27" x14ac:dyDescent="0.3">
      <c r="Y472">
        <f t="shared" si="26"/>
        <v>2558</v>
      </c>
      <c r="Z472" s="20">
        <f t="shared" si="27"/>
        <v>187.93298441484541</v>
      </c>
      <c r="AA472">
        <f t="shared" si="28"/>
        <v>103136.20144102788</v>
      </c>
    </row>
    <row r="473" spans="25:27" x14ac:dyDescent="0.3">
      <c r="Y473">
        <f t="shared" si="26"/>
        <v>2560</v>
      </c>
      <c r="Z473" s="20">
        <f t="shared" si="27"/>
        <v>187.68507653061764</v>
      </c>
      <c r="AA473">
        <f t="shared" si="28"/>
        <v>103323.88651755849</v>
      </c>
    </row>
    <row r="474" spans="25:27" x14ac:dyDescent="0.3">
      <c r="Y474">
        <f t="shared" si="26"/>
        <v>2562</v>
      </c>
      <c r="Z474" s="20">
        <f t="shared" si="27"/>
        <v>187.43749566891469</v>
      </c>
      <c r="AA474">
        <f t="shared" si="28"/>
        <v>103511.32401322741</v>
      </c>
    </row>
    <row r="475" spans="25:27" x14ac:dyDescent="0.3">
      <c r="Y475">
        <f t="shared" si="26"/>
        <v>2564</v>
      </c>
      <c r="Z475" s="20">
        <f t="shared" si="27"/>
        <v>187.19024139835162</v>
      </c>
      <c r="AA475">
        <f t="shared" si="28"/>
        <v>103698.51425462576</v>
      </c>
    </row>
    <row r="476" spans="25:27" x14ac:dyDescent="0.3">
      <c r="Y476">
        <f t="shared" si="26"/>
        <v>2566</v>
      </c>
      <c r="Z476" s="20">
        <f t="shared" si="27"/>
        <v>186.94331328811251</v>
      </c>
      <c r="AA476">
        <f t="shared" si="28"/>
        <v>103885.45756791387</v>
      </c>
    </row>
    <row r="477" spans="25:27" x14ac:dyDescent="0.3">
      <c r="Y477">
        <f t="shared" si="26"/>
        <v>2568</v>
      </c>
      <c r="Z477" s="20">
        <f t="shared" si="27"/>
        <v>186.69671090794978</v>
      </c>
      <c r="AA477">
        <f t="shared" si="28"/>
        <v>104072.15427882182</v>
      </c>
    </row>
    <row r="478" spans="25:27" x14ac:dyDescent="0.3">
      <c r="Y478">
        <f t="shared" si="26"/>
        <v>2570</v>
      </c>
      <c r="Z478" s="20">
        <f t="shared" si="27"/>
        <v>186.45043382818338</v>
      </c>
      <c r="AA478">
        <f t="shared" si="28"/>
        <v>104258.60471265001</v>
      </c>
    </row>
    <row r="479" spans="25:27" x14ac:dyDescent="0.3">
      <c r="Y479">
        <f t="shared" si="26"/>
        <v>2572</v>
      </c>
      <c r="Z479" s="20">
        <f t="shared" si="27"/>
        <v>186.20448161970003</v>
      </c>
      <c r="AA479">
        <f t="shared" si="28"/>
        <v>104444.80919426971</v>
      </c>
    </row>
    <row r="480" spans="25:27" x14ac:dyDescent="0.3">
      <c r="Y480">
        <f t="shared" si="26"/>
        <v>2574</v>
      </c>
      <c r="Z480" s="20">
        <f t="shared" si="27"/>
        <v>185.95885385395255</v>
      </c>
      <c r="AA480">
        <f t="shared" si="28"/>
        <v>104630.76804812366</v>
      </c>
    </row>
    <row r="481" spans="25:27" x14ac:dyDescent="0.3">
      <c r="Y481">
        <f t="shared" si="26"/>
        <v>2576</v>
      </c>
      <c r="Z481" s="20">
        <f t="shared" si="27"/>
        <v>185.71355010295912</v>
      </c>
      <c r="AA481">
        <f t="shared" si="28"/>
        <v>104816.48159822662</v>
      </c>
    </row>
    <row r="482" spans="25:27" x14ac:dyDescent="0.3">
      <c r="Y482">
        <f t="shared" si="26"/>
        <v>2578</v>
      </c>
      <c r="Z482" s="20">
        <f t="shared" si="27"/>
        <v>185.46856993930231</v>
      </c>
      <c r="AA482">
        <f t="shared" si="28"/>
        <v>105001.95016816592</v>
      </c>
    </row>
    <row r="483" spans="25:27" x14ac:dyDescent="0.3">
      <c r="Y483">
        <f t="shared" si="26"/>
        <v>2580</v>
      </c>
      <c r="Z483" s="20">
        <f t="shared" si="27"/>
        <v>185.2239129361287</v>
      </c>
      <c r="AA483">
        <f t="shared" si="28"/>
        <v>105187.17408110204</v>
      </c>
    </row>
    <row r="484" spans="25:27" x14ac:dyDescent="0.3">
      <c r="Y484">
        <f t="shared" si="26"/>
        <v>2582</v>
      </c>
      <c r="Z484" s="20">
        <f t="shared" si="27"/>
        <v>184.97957866714788</v>
      </c>
      <c r="AA484">
        <f t="shared" si="28"/>
        <v>105372.15365976919</v>
      </c>
    </row>
    <row r="485" spans="25:27" x14ac:dyDescent="0.3">
      <c r="Y485">
        <f t="shared" si="26"/>
        <v>2584</v>
      </c>
      <c r="Z485" s="20">
        <f t="shared" si="27"/>
        <v>184.73556670663172</v>
      </c>
      <c r="AA485">
        <f t="shared" si="28"/>
        <v>105556.88922647582</v>
      </c>
    </row>
    <row r="486" spans="25:27" x14ac:dyDescent="0.3">
      <c r="Y486">
        <f t="shared" si="26"/>
        <v>2586</v>
      </c>
      <c r="Z486" s="20">
        <f t="shared" si="27"/>
        <v>184.49187662941372</v>
      </c>
      <c r="AA486">
        <f t="shared" si="28"/>
        <v>105741.38110310523</v>
      </c>
    </row>
    <row r="487" spans="25:27" x14ac:dyDescent="0.3">
      <c r="Y487">
        <f t="shared" si="26"/>
        <v>2588</v>
      </c>
      <c r="Z487" s="20">
        <f t="shared" si="27"/>
        <v>184.24850801088826</v>
      </c>
      <c r="AA487">
        <f t="shared" si="28"/>
        <v>105925.62961111612</v>
      </c>
    </row>
    <row r="488" spans="25:27" x14ac:dyDescent="0.3">
      <c r="Y488">
        <f t="shared" si="26"/>
        <v>2590</v>
      </c>
      <c r="Z488" s="20">
        <f t="shared" si="27"/>
        <v>184.00546042700975</v>
      </c>
      <c r="AA488">
        <f t="shared" si="28"/>
        <v>106109.63507154313</v>
      </c>
    </row>
    <row r="489" spans="25:27" x14ac:dyDescent="0.3">
      <c r="Y489">
        <f t="shared" si="26"/>
        <v>2592</v>
      </c>
      <c r="Z489" s="20">
        <f t="shared" si="27"/>
        <v>183.76273345429206</v>
      </c>
      <c r="AA489">
        <f t="shared" si="28"/>
        <v>106293.39780499742</v>
      </c>
    </row>
    <row r="490" spans="25:27" x14ac:dyDescent="0.3">
      <c r="Y490">
        <f t="shared" si="26"/>
        <v>2594</v>
      </c>
      <c r="Z490" s="20">
        <f t="shared" si="27"/>
        <v>183.52032666980759</v>
      </c>
      <c r="AA490">
        <f t="shared" si="28"/>
        <v>106476.91813166723</v>
      </c>
    </row>
    <row r="491" spans="25:27" x14ac:dyDescent="0.3">
      <c r="Y491">
        <f t="shared" si="26"/>
        <v>2596</v>
      </c>
      <c r="Z491" s="20">
        <f t="shared" si="27"/>
        <v>183.27823965118679</v>
      </c>
      <c r="AA491">
        <f t="shared" si="28"/>
        <v>106660.19637131842</v>
      </c>
    </row>
    <row r="492" spans="25:27" x14ac:dyDescent="0.3">
      <c r="Y492">
        <f t="shared" si="26"/>
        <v>2598</v>
      </c>
      <c r="Z492" s="20">
        <f t="shared" si="27"/>
        <v>183.03647197661712</v>
      </c>
      <c r="AA492">
        <f t="shared" si="28"/>
        <v>106843.23284329505</v>
      </c>
    </row>
    <row r="493" spans="25:27" x14ac:dyDescent="0.3">
      <c r="Y493">
        <f t="shared" si="26"/>
        <v>2600</v>
      </c>
      <c r="Z493" s="20">
        <f t="shared" si="27"/>
        <v>182.79502322484248</v>
      </c>
      <c r="AA493">
        <f t="shared" si="28"/>
        <v>107026.02786651989</v>
      </c>
    </row>
    <row r="494" spans="25:27" x14ac:dyDescent="0.3">
      <c r="Y494">
        <f t="shared" si="26"/>
        <v>2602</v>
      </c>
      <c r="Z494" s="20">
        <f t="shared" si="27"/>
        <v>182.55389297516263</v>
      </c>
      <c r="AA494">
        <f t="shared" si="28"/>
        <v>107208.58175949505</v>
      </c>
    </row>
    <row r="495" spans="25:27" x14ac:dyDescent="0.3">
      <c r="Y495">
        <f t="shared" si="26"/>
        <v>2604</v>
      </c>
      <c r="Z495" s="20">
        <f t="shared" si="27"/>
        <v>182.31308080743202</v>
      </c>
      <c r="AA495">
        <f t="shared" si="28"/>
        <v>107390.89484030248</v>
      </c>
    </row>
    <row r="496" spans="25:27" x14ac:dyDescent="0.3">
      <c r="Y496">
        <f t="shared" si="26"/>
        <v>2606</v>
      </c>
      <c r="Z496" s="20">
        <f t="shared" si="27"/>
        <v>182.07258630205959</v>
      </c>
      <c r="AA496">
        <f t="shared" si="28"/>
        <v>107572.96742660455</v>
      </c>
    </row>
    <row r="497" spans="25:27" x14ac:dyDescent="0.3">
      <c r="Y497">
        <f t="shared" si="26"/>
        <v>2608</v>
      </c>
      <c r="Z497" s="20">
        <f t="shared" si="27"/>
        <v>181.83240904000755</v>
      </c>
      <c r="AA497">
        <f t="shared" si="28"/>
        <v>107754.79983564456</v>
      </c>
    </row>
    <row r="498" spans="25:27" x14ac:dyDescent="0.3">
      <c r="Y498">
        <f t="shared" si="26"/>
        <v>2610</v>
      </c>
      <c r="Z498" s="20">
        <f t="shared" si="27"/>
        <v>181.59254860279106</v>
      </c>
      <c r="AA498">
        <f t="shared" si="28"/>
        <v>107936.39238424735</v>
      </c>
    </row>
    <row r="499" spans="25:27" x14ac:dyDescent="0.3">
      <c r="Y499">
        <f t="shared" si="26"/>
        <v>2612</v>
      </c>
      <c r="Z499" s="20">
        <f t="shared" si="27"/>
        <v>181.35300457247715</v>
      </c>
      <c r="AA499">
        <f t="shared" si="28"/>
        <v>108117.74538881982</v>
      </c>
    </row>
    <row r="500" spans="25:27" x14ac:dyDescent="0.3">
      <c r="Y500">
        <f t="shared" si="26"/>
        <v>2614</v>
      </c>
      <c r="Z500" s="20">
        <f t="shared" si="27"/>
        <v>181.11377653168432</v>
      </c>
      <c r="AA500">
        <f t="shared" si="28"/>
        <v>108298.8591653515</v>
      </c>
    </row>
    <row r="501" spans="25:27" x14ac:dyDescent="0.3">
      <c r="Y501">
        <f t="shared" si="26"/>
        <v>2616</v>
      </c>
      <c r="Z501" s="20">
        <f t="shared" si="27"/>
        <v>180.8748640635815</v>
      </c>
      <c r="AA501">
        <f t="shared" si="28"/>
        <v>108479.73402941508</v>
      </c>
    </row>
    <row r="502" spans="25:27" x14ac:dyDescent="0.3">
      <c r="Y502">
        <f t="shared" si="26"/>
        <v>2618</v>
      </c>
      <c r="Z502" s="20">
        <f t="shared" si="27"/>
        <v>180.6362667518876</v>
      </c>
      <c r="AA502">
        <f t="shared" si="28"/>
        <v>108660.37029616696</v>
      </c>
    </row>
    <row r="503" spans="25:27" x14ac:dyDescent="0.3">
      <c r="Y503">
        <f t="shared" si="26"/>
        <v>2620</v>
      </c>
      <c r="Z503" s="20">
        <f t="shared" si="27"/>
        <v>180.39798418087062</v>
      </c>
      <c r="AA503">
        <f t="shared" si="28"/>
        <v>108840.76828034784</v>
      </c>
    </row>
    <row r="504" spans="25:27" x14ac:dyDescent="0.3">
      <c r="Y504">
        <f t="shared" si="26"/>
        <v>2622</v>
      </c>
      <c r="Z504" s="20">
        <f t="shared" si="27"/>
        <v>180.16001593534693</v>
      </c>
      <c r="AA504">
        <f t="shared" si="28"/>
        <v>109020.92829628318</v>
      </c>
    </row>
    <row r="505" spans="25:27" x14ac:dyDescent="0.3">
      <c r="Y505">
        <f t="shared" si="26"/>
        <v>2624</v>
      </c>
      <c r="Z505" s="20">
        <f t="shared" si="27"/>
        <v>179.92236160068055</v>
      </c>
      <c r="AA505">
        <f t="shared" si="28"/>
        <v>109200.85065788386</v>
      </c>
    </row>
    <row r="506" spans="25:27" x14ac:dyDescent="0.3">
      <c r="Y506">
        <f t="shared" si="26"/>
        <v>2626</v>
      </c>
      <c r="Z506" s="20">
        <f t="shared" si="27"/>
        <v>179.68502076278256</v>
      </c>
      <c r="AA506">
        <f t="shared" si="28"/>
        <v>109380.53567864664</v>
      </c>
    </row>
    <row r="507" spans="25:27" x14ac:dyDescent="0.3">
      <c r="Y507">
        <f t="shared" si="26"/>
        <v>2628</v>
      </c>
      <c r="Z507" s="20">
        <f t="shared" si="27"/>
        <v>179.44799300811019</v>
      </c>
      <c r="AA507">
        <f t="shared" si="28"/>
        <v>109559.98367165476</v>
      </c>
    </row>
    <row r="508" spans="25:27" x14ac:dyDescent="0.3">
      <c r="Y508">
        <f t="shared" si="26"/>
        <v>2630</v>
      </c>
      <c r="Z508" s="20">
        <f t="shared" si="27"/>
        <v>179.21127792366624</v>
      </c>
      <c r="AA508">
        <f t="shared" si="28"/>
        <v>109739.19494957842</v>
      </c>
    </row>
    <row r="509" spans="25:27" x14ac:dyDescent="0.3">
      <c r="Y509">
        <f t="shared" si="26"/>
        <v>2632</v>
      </c>
      <c r="Z509" s="20">
        <f t="shared" si="27"/>
        <v>178.97487509699829</v>
      </c>
      <c r="AA509">
        <f t="shared" si="28"/>
        <v>109918.16982467542</v>
      </c>
    </row>
    <row r="510" spans="25:27" x14ac:dyDescent="0.3">
      <c r="Y510">
        <f t="shared" ref="Y510:Y573" si="29">Y509+2</f>
        <v>2634</v>
      </c>
      <c r="Z510" s="20">
        <f t="shared" si="27"/>
        <v>178.73878411619802</v>
      </c>
      <c r="AA510">
        <f t="shared" si="28"/>
        <v>110096.90860879162</v>
      </c>
    </row>
    <row r="511" spans="25:27" x14ac:dyDescent="0.3">
      <c r="Y511">
        <f t="shared" si="29"/>
        <v>2636</v>
      </c>
      <c r="Z511" s="20">
        <f t="shared" si="27"/>
        <v>178.50300456990036</v>
      </c>
      <c r="AA511">
        <f t="shared" si="28"/>
        <v>110275.41161336152</v>
      </c>
    </row>
    <row r="512" spans="25:27" x14ac:dyDescent="0.3">
      <c r="Y512">
        <f t="shared" si="29"/>
        <v>2638</v>
      </c>
      <c r="Z512" s="20">
        <f t="shared" si="27"/>
        <v>178.26753604728304</v>
      </c>
      <c r="AA512">
        <f t="shared" si="28"/>
        <v>110453.6791494088</v>
      </c>
    </row>
    <row r="513" spans="25:27" x14ac:dyDescent="0.3">
      <c r="Y513">
        <f t="shared" si="29"/>
        <v>2640</v>
      </c>
      <c r="Z513" s="20">
        <f t="shared" si="27"/>
        <v>178.03237813806567</v>
      </c>
      <c r="AA513">
        <f t="shared" si="28"/>
        <v>110631.71152754687</v>
      </c>
    </row>
    <row r="514" spans="25:27" x14ac:dyDescent="0.3">
      <c r="Y514">
        <f t="shared" si="29"/>
        <v>2642</v>
      </c>
      <c r="Z514" s="20">
        <f t="shared" si="27"/>
        <v>177.79753043250898</v>
      </c>
      <c r="AA514">
        <f t="shared" si="28"/>
        <v>110809.50905797938</v>
      </c>
    </row>
    <row r="515" spans="25:27" x14ac:dyDescent="0.3">
      <c r="Y515">
        <f t="shared" si="29"/>
        <v>2644</v>
      </c>
      <c r="Z515" s="20">
        <f t="shared" si="27"/>
        <v>177.56299252141429</v>
      </c>
      <c r="AA515">
        <f t="shared" si="28"/>
        <v>110987.07205050079</v>
      </c>
    </row>
    <row r="516" spans="25:27" x14ac:dyDescent="0.3">
      <c r="Y516">
        <f t="shared" si="29"/>
        <v>2646</v>
      </c>
      <c r="Z516" s="20">
        <f t="shared" ref="Z516:Z579" si="30">1016.74887*EXP(-0.00066*Y516)</f>
        <v>177.32876399612269</v>
      </c>
      <c r="AA516">
        <f t="shared" si="28"/>
        <v>111164.40081449691</v>
      </c>
    </row>
    <row r="517" spans="25:27" x14ac:dyDescent="0.3">
      <c r="Y517">
        <f t="shared" si="29"/>
        <v>2648</v>
      </c>
      <c r="Z517" s="20">
        <f t="shared" si="30"/>
        <v>177.09484444851435</v>
      </c>
      <c r="AA517">
        <f t="shared" ref="AA517:AA580" si="31">AA516+Z517</f>
        <v>111341.49565894542</v>
      </c>
    </row>
    <row r="518" spans="25:27" x14ac:dyDescent="0.3">
      <c r="Y518">
        <f t="shared" si="29"/>
        <v>2650</v>
      </c>
      <c r="Z518" s="20">
        <f t="shared" si="30"/>
        <v>176.86123347100778</v>
      </c>
      <c r="AA518">
        <f t="shared" si="31"/>
        <v>111518.35689241643</v>
      </c>
    </row>
    <row r="519" spans="25:27" x14ac:dyDescent="0.3">
      <c r="Y519">
        <f t="shared" si="29"/>
        <v>2652</v>
      </c>
      <c r="Z519" s="20">
        <f t="shared" si="30"/>
        <v>176.62793065655913</v>
      </c>
      <c r="AA519">
        <f t="shared" si="31"/>
        <v>111694.98482307298</v>
      </c>
    </row>
    <row r="520" spans="25:27" x14ac:dyDescent="0.3">
      <c r="Y520">
        <f t="shared" si="29"/>
        <v>2654</v>
      </c>
      <c r="Z520" s="20">
        <f t="shared" si="30"/>
        <v>176.39493559866156</v>
      </c>
      <c r="AA520">
        <f t="shared" si="31"/>
        <v>111871.37975867164</v>
      </c>
    </row>
    <row r="521" spans="25:27" x14ac:dyDescent="0.3">
      <c r="Y521">
        <f t="shared" si="29"/>
        <v>2656</v>
      </c>
      <c r="Z521" s="20">
        <f t="shared" si="30"/>
        <v>176.16224789134441</v>
      </c>
      <c r="AA521">
        <f t="shared" si="31"/>
        <v>112047.54200656299</v>
      </c>
    </row>
    <row r="522" spans="25:27" x14ac:dyDescent="0.3">
      <c r="Y522">
        <f t="shared" si="29"/>
        <v>2658</v>
      </c>
      <c r="Z522" s="20">
        <f t="shared" si="30"/>
        <v>175.92986712917258</v>
      </c>
      <c r="AA522">
        <f t="shared" si="31"/>
        <v>112223.47187369216</v>
      </c>
    </row>
    <row r="523" spans="25:27" x14ac:dyDescent="0.3">
      <c r="Y523">
        <f t="shared" si="29"/>
        <v>2660</v>
      </c>
      <c r="Z523" s="20">
        <f t="shared" si="30"/>
        <v>175.69779290724568</v>
      </c>
      <c r="AA523">
        <f t="shared" si="31"/>
        <v>112399.16966659941</v>
      </c>
    </row>
    <row r="524" spans="25:27" x14ac:dyDescent="0.3">
      <c r="Y524">
        <f t="shared" si="29"/>
        <v>2662</v>
      </c>
      <c r="Z524" s="20">
        <f t="shared" si="30"/>
        <v>175.46602482119766</v>
      </c>
      <c r="AA524">
        <f t="shared" si="31"/>
        <v>112574.63569142061</v>
      </c>
    </row>
    <row r="525" spans="25:27" x14ac:dyDescent="0.3">
      <c r="Y525">
        <f t="shared" si="29"/>
        <v>2664</v>
      </c>
      <c r="Z525" s="20">
        <f t="shared" si="30"/>
        <v>175.23456246719564</v>
      </c>
      <c r="AA525">
        <f t="shared" si="31"/>
        <v>112749.87025388781</v>
      </c>
    </row>
    <row r="526" spans="25:27" x14ac:dyDescent="0.3">
      <c r="Y526">
        <f t="shared" si="29"/>
        <v>2666</v>
      </c>
      <c r="Z526" s="20">
        <f t="shared" si="30"/>
        <v>175.00340544193963</v>
      </c>
      <c r="AA526">
        <f t="shared" si="31"/>
        <v>112924.87365932975</v>
      </c>
    </row>
    <row r="527" spans="25:27" x14ac:dyDescent="0.3">
      <c r="Y527">
        <f t="shared" si="29"/>
        <v>2668</v>
      </c>
      <c r="Z527" s="20">
        <f t="shared" si="30"/>
        <v>174.7725533426615</v>
      </c>
      <c r="AA527">
        <f t="shared" si="31"/>
        <v>113099.64621267241</v>
      </c>
    </row>
    <row r="528" spans="25:27" x14ac:dyDescent="0.3">
      <c r="Y528">
        <f t="shared" si="29"/>
        <v>2670</v>
      </c>
      <c r="Z528" s="20">
        <f t="shared" si="30"/>
        <v>174.54200576712455</v>
      </c>
      <c r="AA528">
        <f t="shared" si="31"/>
        <v>113274.18821843954</v>
      </c>
    </row>
    <row r="529" spans="25:27" x14ac:dyDescent="0.3">
      <c r="Y529">
        <f t="shared" si="29"/>
        <v>2672</v>
      </c>
      <c r="Z529" s="20">
        <f t="shared" si="30"/>
        <v>174.31176231362261</v>
      </c>
      <c r="AA529">
        <f t="shared" si="31"/>
        <v>113448.49998075316</v>
      </c>
    </row>
    <row r="530" spans="25:27" x14ac:dyDescent="0.3">
      <c r="Y530">
        <f t="shared" si="29"/>
        <v>2674</v>
      </c>
      <c r="Z530" s="20">
        <f t="shared" si="30"/>
        <v>174.08182258097943</v>
      </c>
      <c r="AA530">
        <f t="shared" si="31"/>
        <v>113622.58180333413</v>
      </c>
    </row>
    <row r="531" spans="25:27" x14ac:dyDescent="0.3">
      <c r="Y531">
        <f t="shared" si="29"/>
        <v>2676</v>
      </c>
      <c r="Z531" s="20">
        <f t="shared" si="30"/>
        <v>173.85218616854795</v>
      </c>
      <c r="AA531">
        <f t="shared" si="31"/>
        <v>113796.43398950268</v>
      </c>
    </row>
    <row r="532" spans="25:27" x14ac:dyDescent="0.3">
      <c r="Y532">
        <f t="shared" si="29"/>
        <v>2678</v>
      </c>
      <c r="Z532" s="20">
        <f t="shared" si="30"/>
        <v>173.62285267620965</v>
      </c>
      <c r="AA532">
        <f t="shared" si="31"/>
        <v>113970.05684217889</v>
      </c>
    </row>
    <row r="533" spans="25:27" x14ac:dyDescent="0.3">
      <c r="Y533">
        <f t="shared" si="29"/>
        <v>2680</v>
      </c>
      <c r="Z533" s="20">
        <f t="shared" si="30"/>
        <v>173.39382170437375</v>
      </c>
      <c r="AA533">
        <f t="shared" si="31"/>
        <v>114143.45066388327</v>
      </c>
    </row>
    <row r="534" spans="25:27" x14ac:dyDescent="0.3">
      <c r="Y534">
        <f t="shared" si="29"/>
        <v>2682</v>
      </c>
      <c r="Z534" s="20">
        <f t="shared" si="30"/>
        <v>173.16509285397666</v>
      </c>
      <c r="AA534">
        <f t="shared" si="31"/>
        <v>114316.61575673724</v>
      </c>
    </row>
    <row r="535" spans="25:27" x14ac:dyDescent="0.3">
      <c r="Y535">
        <f t="shared" si="29"/>
        <v>2684</v>
      </c>
      <c r="Z535" s="20">
        <f t="shared" si="30"/>
        <v>172.93666572648118</v>
      </c>
      <c r="AA535">
        <f t="shared" si="31"/>
        <v>114489.55242246372</v>
      </c>
    </row>
    <row r="536" spans="25:27" x14ac:dyDescent="0.3">
      <c r="Y536">
        <f t="shared" si="29"/>
        <v>2686</v>
      </c>
      <c r="Z536" s="20">
        <f t="shared" si="30"/>
        <v>172.70853992387583</v>
      </c>
      <c r="AA536">
        <f t="shared" si="31"/>
        <v>114662.26096238759</v>
      </c>
    </row>
    <row r="537" spans="25:27" x14ac:dyDescent="0.3">
      <c r="Y537">
        <f t="shared" si="29"/>
        <v>2688</v>
      </c>
      <c r="Z537" s="20">
        <f t="shared" si="30"/>
        <v>172.48071504867406</v>
      </c>
      <c r="AA537">
        <f t="shared" si="31"/>
        <v>114834.74167743626</v>
      </c>
    </row>
    <row r="538" spans="25:27" x14ac:dyDescent="0.3">
      <c r="Y538">
        <f t="shared" si="29"/>
        <v>2690</v>
      </c>
      <c r="Z538" s="20">
        <f t="shared" si="30"/>
        <v>172.25319070391387</v>
      </c>
      <c r="AA538">
        <f t="shared" si="31"/>
        <v>115006.99486814017</v>
      </c>
    </row>
    <row r="539" spans="25:27" x14ac:dyDescent="0.3">
      <c r="Y539">
        <f t="shared" si="29"/>
        <v>2692</v>
      </c>
      <c r="Z539" s="20">
        <f t="shared" si="30"/>
        <v>172.02596649315677</v>
      </c>
      <c r="AA539">
        <f t="shared" si="31"/>
        <v>115179.02083463332</v>
      </c>
    </row>
    <row r="540" spans="25:27" x14ac:dyDescent="0.3">
      <c r="Y540">
        <f t="shared" si="29"/>
        <v>2694</v>
      </c>
      <c r="Z540" s="20">
        <f t="shared" si="30"/>
        <v>171.79904202048724</v>
      </c>
      <c r="AA540">
        <f t="shared" si="31"/>
        <v>115350.81987665381</v>
      </c>
    </row>
    <row r="541" spans="25:27" x14ac:dyDescent="0.3">
      <c r="Y541">
        <f t="shared" si="29"/>
        <v>2696</v>
      </c>
      <c r="Z541" s="20">
        <f t="shared" si="30"/>
        <v>171.57241689051193</v>
      </c>
      <c r="AA541">
        <f t="shared" si="31"/>
        <v>115522.39229354433</v>
      </c>
    </row>
    <row r="542" spans="25:27" x14ac:dyDescent="0.3">
      <c r="Y542">
        <f t="shared" si="29"/>
        <v>2698</v>
      </c>
      <c r="Z542" s="20">
        <f t="shared" si="30"/>
        <v>171.34609070835924</v>
      </c>
      <c r="AA542">
        <f t="shared" si="31"/>
        <v>115693.73838425269</v>
      </c>
    </row>
    <row r="543" spans="25:27" x14ac:dyDescent="0.3">
      <c r="Y543">
        <f t="shared" si="29"/>
        <v>2700</v>
      </c>
      <c r="Z543" s="20">
        <f t="shared" si="30"/>
        <v>171.12006307967835</v>
      </c>
      <c r="AA543">
        <f t="shared" si="31"/>
        <v>115864.85844733237</v>
      </c>
    </row>
    <row r="544" spans="25:27" x14ac:dyDescent="0.3">
      <c r="Y544">
        <f t="shared" si="29"/>
        <v>2702</v>
      </c>
      <c r="Z544" s="20">
        <f t="shared" si="30"/>
        <v>170.89433361063865</v>
      </c>
      <c r="AA544">
        <f t="shared" si="31"/>
        <v>116035.75278094302</v>
      </c>
    </row>
    <row r="545" spans="25:27" x14ac:dyDescent="0.3">
      <c r="Y545">
        <f t="shared" si="29"/>
        <v>2704</v>
      </c>
      <c r="Z545" s="20">
        <f t="shared" si="30"/>
        <v>170.66890190792907</v>
      </c>
      <c r="AA545">
        <f t="shared" si="31"/>
        <v>116206.42168285095</v>
      </c>
    </row>
    <row r="546" spans="25:27" x14ac:dyDescent="0.3">
      <c r="Y546">
        <f t="shared" si="29"/>
        <v>2706</v>
      </c>
      <c r="Z546" s="20">
        <f t="shared" si="30"/>
        <v>170.44376757875736</v>
      </c>
      <c r="AA546">
        <f t="shared" si="31"/>
        <v>116376.86545042972</v>
      </c>
    </row>
    <row r="547" spans="25:27" x14ac:dyDescent="0.3">
      <c r="Y547">
        <f t="shared" si="29"/>
        <v>2708</v>
      </c>
      <c r="Z547" s="20">
        <f t="shared" si="30"/>
        <v>170.21893023084942</v>
      </c>
      <c r="AA547">
        <f t="shared" si="31"/>
        <v>116547.08438066057</v>
      </c>
    </row>
    <row r="548" spans="25:27" x14ac:dyDescent="0.3">
      <c r="Y548">
        <f t="shared" si="29"/>
        <v>2710</v>
      </c>
      <c r="Z548" s="20">
        <f t="shared" si="30"/>
        <v>169.99438947244857</v>
      </c>
      <c r="AA548">
        <f t="shared" si="31"/>
        <v>116717.07877013301</v>
      </c>
    </row>
    <row r="549" spans="25:27" x14ac:dyDescent="0.3">
      <c r="Y549">
        <f t="shared" si="29"/>
        <v>2712</v>
      </c>
      <c r="Z549" s="20">
        <f t="shared" si="30"/>
        <v>169.77014491231495</v>
      </c>
      <c r="AA549">
        <f t="shared" si="31"/>
        <v>116886.84891504532</v>
      </c>
    </row>
    <row r="550" spans="25:27" x14ac:dyDescent="0.3">
      <c r="Y550">
        <f t="shared" si="29"/>
        <v>2714</v>
      </c>
      <c r="Z550" s="20">
        <f t="shared" si="30"/>
        <v>169.54619615972473</v>
      </c>
      <c r="AA550">
        <f t="shared" si="31"/>
        <v>117056.39511120504</v>
      </c>
    </row>
    <row r="551" spans="25:27" x14ac:dyDescent="0.3">
      <c r="Y551">
        <f t="shared" si="29"/>
        <v>2716</v>
      </c>
      <c r="Z551" s="20">
        <f t="shared" si="30"/>
        <v>169.32254282446962</v>
      </c>
      <c r="AA551">
        <f t="shared" si="31"/>
        <v>117225.71765402952</v>
      </c>
    </row>
    <row r="552" spans="25:27" x14ac:dyDescent="0.3">
      <c r="Y552">
        <f t="shared" si="29"/>
        <v>2718</v>
      </c>
      <c r="Z552" s="20">
        <f t="shared" si="30"/>
        <v>169.09918451685598</v>
      </c>
      <c r="AA552">
        <f t="shared" si="31"/>
        <v>117394.81683854638</v>
      </c>
    </row>
    <row r="553" spans="25:27" x14ac:dyDescent="0.3">
      <c r="Y553">
        <f t="shared" si="29"/>
        <v>2720</v>
      </c>
      <c r="Z553" s="20">
        <f t="shared" si="30"/>
        <v>168.87612084770421</v>
      </c>
      <c r="AA553">
        <f t="shared" si="31"/>
        <v>117563.69295939409</v>
      </c>
    </row>
    <row r="554" spans="25:27" x14ac:dyDescent="0.3">
      <c r="Y554">
        <f t="shared" si="29"/>
        <v>2722</v>
      </c>
      <c r="Z554" s="20">
        <f t="shared" si="30"/>
        <v>168.65335142834817</v>
      </c>
      <c r="AA554">
        <f t="shared" si="31"/>
        <v>117732.34631082244</v>
      </c>
    </row>
    <row r="555" spans="25:27" x14ac:dyDescent="0.3">
      <c r="Y555">
        <f t="shared" si="29"/>
        <v>2724</v>
      </c>
      <c r="Z555" s="20">
        <f t="shared" si="30"/>
        <v>168.43087587063428</v>
      </c>
      <c r="AA555">
        <f t="shared" si="31"/>
        <v>117900.77718669307</v>
      </c>
    </row>
    <row r="556" spans="25:27" x14ac:dyDescent="0.3">
      <c r="Y556">
        <f t="shared" si="29"/>
        <v>2726</v>
      </c>
      <c r="Z556" s="20">
        <f t="shared" si="30"/>
        <v>168.20869378692109</v>
      </c>
      <c r="AA556">
        <f t="shared" si="31"/>
        <v>118068.98588047999</v>
      </c>
    </row>
    <row r="557" spans="25:27" x14ac:dyDescent="0.3">
      <c r="Y557">
        <f t="shared" si="29"/>
        <v>2728</v>
      </c>
      <c r="Z557" s="20">
        <f t="shared" si="30"/>
        <v>167.98680479007854</v>
      </c>
      <c r="AA557">
        <f t="shared" si="31"/>
        <v>118236.97268527007</v>
      </c>
    </row>
    <row r="558" spans="25:27" x14ac:dyDescent="0.3">
      <c r="Y558">
        <f t="shared" si="29"/>
        <v>2730</v>
      </c>
      <c r="Z558" s="20">
        <f t="shared" si="30"/>
        <v>167.76520849348717</v>
      </c>
      <c r="AA558">
        <f t="shared" si="31"/>
        <v>118404.73789376355</v>
      </c>
    </row>
    <row r="559" spans="25:27" x14ac:dyDescent="0.3">
      <c r="Y559">
        <f t="shared" si="29"/>
        <v>2732</v>
      </c>
      <c r="Z559" s="20">
        <f t="shared" si="30"/>
        <v>167.54390451103754</v>
      </c>
      <c r="AA559">
        <f t="shared" si="31"/>
        <v>118572.28179827459</v>
      </c>
    </row>
    <row r="560" spans="25:27" x14ac:dyDescent="0.3">
      <c r="Y560">
        <f t="shared" si="29"/>
        <v>2734</v>
      </c>
      <c r="Z560" s="20">
        <f t="shared" si="30"/>
        <v>167.32289245712948</v>
      </c>
      <c r="AA560">
        <f t="shared" si="31"/>
        <v>118739.60469073172</v>
      </c>
    </row>
    <row r="561" spans="25:27" x14ac:dyDescent="0.3">
      <c r="Y561">
        <f t="shared" si="29"/>
        <v>2736</v>
      </c>
      <c r="Z561" s="20">
        <f t="shared" si="30"/>
        <v>167.1021719466716</v>
      </c>
      <c r="AA561">
        <f t="shared" si="31"/>
        <v>118906.70686267839</v>
      </c>
    </row>
    <row r="562" spans="25:27" x14ac:dyDescent="0.3">
      <c r="Y562">
        <f t="shared" si="29"/>
        <v>2738</v>
      </c>
      <c r="Z562" s="20">
        <f t="shared" si="30"/>
        <v>166.8817425950804</v>
      </c>
      <c r="AA562">
        <f t="shared" si="31"/>
        <v>119073.58860527347</v>
      </c>
    </row>
    <row r="563" spans="25:27" x14ac:dyDescent="0.3">
      <c r="Y563">
        <f t="shared" si="29"/>
        <v>2740</v>
      </c>
      <c r="Z563" s="20">
        <f t="shared" si="30"/>
        <v>166.66160401827969</v>
      </c>
      <c r="AA563">
        <f t="shared" si="31"/>
        <v>119240.25020929176</v>
      </c>
    </row>
    <row r="564" spans="25:27" x14ac:dyDescent="0.3">
      <c r="Y564">
        <f t="shared" si="29"/>
        <v>2742</v>
      </c>
      <c r="Z564" s="20">
        <f t="shared" si="30"/>
        <v>166.44175583270001</v>
      </c>
      <c r="AA564">
        <f t="shared" si="31"/>
        <v>119406.69196512445</v>
      </c>
    </row>
    <row r="565" spans="25:27" x14ac:dyDescent="0.3">
      <c r="Y565">
        <f t="shared" si="29"/>
        <v>2744</v>
      </c>
      <c r="Z565" s="20">
        <f t="shared" si="30"/>
        <v>166.2221976552778</v>
      </c>
      <c r="AA565">
        <f t="shared" si="31"/>
        <v>119572.91416277974</v>
      </c>
    </row>
    <row r="566" spans="25:27" x14ac:dyDescent="0.3">
      <c r="Y566">
        <f t="shared" si="29"/>
        <v>2746</v>
      </c>
      <c r="Z566" s="20">
        <f t="shared" si="30"/>
        <v>166.00292910345485</v>
      </c>
      <c r="AA566">
        <f t="shared" si="31"/>
        <v>119738.9170918832</v>
      </c>
    </row>
    <row r="567" spans="25:27" x14ac:dyDescent="0.3">
      <c r="Y567">
        <f t="shared" si="29"/>
        <v>2748</v>
      </c>
      <c r="Z567" s="20">
        <f t="shared" si="30"/>
        <v>165.78394979517753</v>
      </c>
      <c r="AA567">
        <f t="shared" si="31"/>
        <v>119904.70104167837</v>
      </c>
    </row>
    <row r="568" spans="25:27" x14ac:dyDescent="0.3">
      <c r="Y568">
        <f t="shared" si="29"/>
        <v>2750</v>
      </c>
      <c r="Z568" s="20">
        <f t="shared" si="30"/>
        <v>165.56525934889629</v>
      </c>
      <c r="AA568">
        <f t="shared" si="31"/>
        <v>120070.26630102727</v>
      </c>
    </row>
    <row r="569" spans="25:27" x14ac:dyDescent="0.3">
      <c r="Y569">
        <f t="shared" si="29"/>
        <v>2752</v>
      </c>
      <c r="Z569" s="20">
        <f t="shared" si="30"/>
        <v>165.34685738356484</v>
      </c>
      <c r="AA569">
        <f t="shared" si="31"/>
        <v>120235.61315841084</v>
      </c>
    </row>
    <row r="570" spans="25:27" x14ac:dyDescent="0.3">
      <c r="Y570">
        <f t="shared" si="29"/>
        <v>2754</v>
      </c>
      <c r="Z570" s="20">
        <f t="shared" si="30"/>
        <v>165.12874351863954</v>
      </c>
      <c r="AA570">
        <f t="shared" si="31"/>
        <v>120400.74190192948</v>
      </c>
    </row>
    <row r="571" spans="25:27" x14ac:dyDescent="0.3">
      <c r="Y571">
        <f t="shared" si="29"/>
        <v>2756</v>
      </c>
      <c r="Z571" s="20">
        <f t="shared" si="30"/>
        <v>164.91091737407868</v>
      </c>
      <c r="AA571">
        <f t="shared" si="31"/>
        <v>120565.65281930355</v>
      </c>
    </row>
    <row r="572" spans="25:27" x14ac:dyDescent="0.3">
      <c r="Y572">
        <f t="shared" si="29"/>
        <v>2758</v>
      </c>
      <c r="Z572" s="20">
        <f t="shared" si="30"/>
        <v>164.69337857034202</v>
      </c>
      <c r="AA572">
        <f t="shared" si="31"/>
        <v>120730.34619787389</v>
      </c>
    </row>
    <row r="573" spans="25:27" x14ac:dyDescent="0.3">
      <c r="Y573">
        <f t="shared" si="29"/>
        <v>2760</v>
      </c>
      <c r="Z573" s="20">
        <f t="shared" si="30"/>
        <v>164.4761267283898</v>
      </c>
      <c r="AA573">
        <f t="shared" si="31"/>
        <v>120894.82232460228</v>
      </c>
    </row>
    <row r="574" spans="25:27" x14ac:dyDescent="0.3">
      <c r="Y574">
        <f t="shared" ref="Y574:Y637" si="32">Y573+2</f>
        <v>2762</v>
      </c>
      <c r="Z574" s="20">
        <f t="shared" si="30"/>
        <v>164.2591614696824</v>
      </c>
      <c r="AA574">
        <f t="shared" si="31"/>
        <v>121059.08148607197</v>
      </c>
    </row>
    <row r="575" spans="25:27" x14ac:dyDescent="0.3">
      <c r="Y575">
        <f t="shared" si="32"/>
        <v>2764</v>
      </c>
      <c r="Z575" s="20">
        <f t="shared" si="30"/>
        <v>164.04248241617952</v>
      </c>
      <c r="AA575">
        <f t="shared" si="31"/>
        <v>121223.12396848814</v>
      </c>
    </row>
    <row r="576" spans="25:27" x14ac:dyDescent="0.3">
      <c r="Y576">
        <f t="shared" si="32"/>
        <v>2766</v>
      </c>
      <c r="Z576" s="20">
        <f t="shared" si="30"/>
        <v>163.82608919033953</v>
      </c>
      <c r="AA576">
        <f t="shared" si="31"/>
        <v>121386.95005767848</v>
      </c>
    </row>
    <row r="577" spans="25:27" x14ac:dyDescent="0.3">
      <c r="Y577">
        <f t="shared" si="32"/>
        <v>2768</v>
      </c>
      <c r="Z577" s="20">
        <f t="shared" si="30"/>
        <v>163.60998141511877</v>
      </c>
      <c r="AA577">
        <f t="shared" si="31"/>
        <v>121550.5600390936</v>
      </c>
    </row>
    <row r="578" spans="25:27" x14ac:dyDescent="0.3">
      <c r="Y578">
        <f t="shared" si="32"/>
        <v>2770</v>
      </c>
      <c r="Z578" s="20">
        <f t="shared" si="30"/>
        <v>163.39415871397102</v>
      </c>
      <c r="AA578">
        <f t="shared" si="31"/>
        <v>121713.95419780757</v>
      </c>
    </row>
    <row r="579" spans="25:27" x14ac:dyDescent="0.3">
      <c r="Y579">
        <f t="shared" si="32"/>
        <v>2772</v>
      </c>
      <c r="Z579" s="20">
        <f t="shared" si="30"/>
        <v>163.17862071084676</v>
      </c>
      <c r="AA579">
        <f t="shared" si="31"/>
        <v>121877.13281851842</v>
      </c>
    </row>
    <row r="580" spans="25:27" x14ac:dyDescent="0.3">
      <c r="Y580">
        <f t="shared" si="32"/>
        <v>2774</v>
      </c>
      <c r="Z580" s="20">
        <f t="shared" ref="Z580:Z643" si="33">1016.74887*EXP(-0.00066*Y580)</f>
        <v>162.9633670301925</v>
      </c>
      <c r="AA580">
        <f t="shared" si="31"/>
        <v>122040.09618554862</v>
      </c>
    </row>
    <row r="581" spans="25:27" x14ac:dyDescent="0.3">
      <c r="Y581">
        <f t="shared" si="32"/>
        <v>2776</v>
      </c>
      <c r="Z581" s="20">
        <f t="shared" si="33"/>
        <v>162.7483972969502</v>
      </c>
      <c r="AA581">
        <f t="shared" ref="AA581:AA644" si="34">AA580+Z581</f>
        <v>122202.84458284557</v>
      </c>
    </row>
    <row r="582" spans="25:27" x14ac:dyDescent="0.3">
      <c r="Y582">
        <f t="shared" si="32"/>
        <v>2778</v>
      </c>
      <c r="Z582" s="20">
        <f t="shared" si="33"/>
        <v>162.53371113655652</v>
      </c>
      <c r="AA582">
        <f t="shared" si="34"/>
        <v>122365.37829398212</v>
      </c>
    </row>
    <row r="583" spans="25:27" x14ac:dyDescent="0.3">
      <c r="Y583">
        <f t="shared" si="32"/>
        <v>2780</v>
      </c>
      <c r="Z583" s="20">
        <f t="shared" si="33"/>
        <v>162.31930817494225</v>
      </c>
      <c r="AA583">
        <f t="shared" si="34"/>
        <v>122527.69760215707</v>
      </c>
    </row>
    <row r="584" spans="25:27" x14ac:dyDescent="0.3">
      <c r="Y584">
        <f t="shared" si="32"/>
        <v>2782</v>
      </c>
      <c r="Z584" s="20">
        <f t="shared" si="33"/>
        <v>162.10518803853159</v>
      </c>
      <c r="AA584">
        <f t="shared" si="34"/>
        <v>122689.80279019561</v>
      </c>
    </row>
    <row r="585" spans="25:27" x14ac:dyDescent="0.3">
      <c r="Y585">
        <f t="shared" si="32"/>
        <v>2784</v>
      </c>
      <c r="Z585" s="20">
        <f t="shared" si="33"/>
        <v>161.89135035424161</v>
      </c>
      <c r="AA585">
        <f t="shared" si="34"/>
        <v>122851.69414054985</v>
      </c>
    </row>
    <row r="586" spans="25:27" x14ac:dyDescent="0.3">
      <c r="Y586">
        <f t="shared" si="32"/>
        <v>2786</v>
      </c>
      <c r="Z586" s="20">
        <f t="shared" si="33"/>
        <v>161.67779474948142</v>
      </c>
      <c r="AA586">
        <f t="shared" si="34"/>
        <v>123013.37193529934</v>
      </c>
    </row>
    <row r="587" spans="25:27" x14ac:dyDescent="0.3">
      <c r="Y587">
        <f t="shared" si="32"/>
        <v>2788</v>
      </c>
      <c r="Z587" s="20">
        <f t="shared" si="33"/>
        <v>161.46452085215171</v>
      </c>
      <c r="AA587">
        <f t="shared" si="34"/>
        <v>123174.83645615149</v>
      </c>
    </row>
    <row r="588" spans="25:27" x14ac:dyDescent="0.3">
      <c r="Y588">
        <f t="shared" si="32"/>
        <v>2790</v>
      </c>
      <c r="Z588" s="20">
        <f t="shared" si="33"/>
        <v>161.25152829064399</v>
      </c>
      <c r="AA588">
        <f t="shared" si="34"/>
        <v>123336.08798444213</v>
      </c>
    </row>
    <row r="589" spans="25:27" x14ac:dyDescent="0.3">
      <c r="Y589">
        <f t="shared" si="32"/>
        <v>2792</v>
      </c>
      <c r="Z589" s="20">
        <f t="shared" si="33"/>
        <v>161.03881669383995</v>
      </c>
      <c r="AA589">
        <f t="shared" si="34"/>
        <v>123497.12680113596</v>
      </c>
    </row>
    <row r="590" spans="25:27" x14ac:dyDescent="0.3">
      <c r="Y590">
        <f t="shared" si="32"/>
        <v>2794</v>
      </c>
      <c r="Z590" s="20">
        <f t="shared" si="33"/>
        <v>160.82638569111089</v>
      </c>
      <c r="AA590">
        <f t="shared" si="34"/>
        <v>123657.95318682707</v>
      </c>
    </row>
    <row r="591" spans="25:27" x14ac:dyDescent="0.3">
      <c r="Y591">
        <f t="shared" si="32"/>
        <v>2796</v>
      </c>
      <c r="Z591" s="20">
        <f t="shared" si="33"/>
        <v>160.6142349123169</v>
      </c>
      <c r="AA591">
        <f t="shared" si="34"/>
        <v>123818.56742173938</v>
      </c>
    </row>
    <row r="592" spans="25:27" x14ac:dyDescent="0.3">
      <c r="Y592">
        <f t="shared" si="32"/>
        <v>2798</v>
      </c>
      <c r="Z592" s="20">
        <f t="shared" si="33"/>
        <v>160.40236398780644</v>
      </c>
      <c r="AA592">
        <f t="shared" si="34"/>
        <v>123978.96978572718</v>
      </c>
    </row>
    <row r="593" spans="25:27" x14ac:dyDescent="0.3">
      <c r="Y593">
        <f t="shared" si="32"/>
        <v>2800</v>
      </c>
      <c r="Z593" s="20">
        <f t="shared" si="33"/>
        <v>160.19077254841562</v>
      </c>
      <c r="AA593">
        <f t="shared" si="34"/>
        <v>124139.1605582756</v>
      </c>
    </row>
    <row r="594" spans="25:27" x14ac:dyDescent="0.3">
      <c r="Y594">
        <f t="shared" si="32"/>
        <v>2802</v>
      </c>
      <c r="Z594" s="20">
        <f t="shared" si="33"/>
        <v>159.97946022546739</v>
      </c>
      <c r="AA594">
        <f t="shared" si="34"/>
        <v>124299.14001850107</v>
      </c>
    </row>
    <row r="595" spans="25:27" x14ac:dyDescent="0.3">
      <c r="Y595">
        <f t="shared" si="32"/>
        <v>2804</v>
      </c>
      <c r="Z595" s="20">
        <f t="shared" si="33"/>
        <v>159.76842665077118</v>
      </c>
      <c r="AA595">
        <f t="shared" si="34"/>
        <v>124458.90844515184</v>
      </c>
    </row>
    <row r="596" spans="25:27" x14ac:dyDescent="0.3">
      <c r="Y596">
        <f t="shared" si="32"/>
        <v>2806</v>
      </c>
      <c r="Z596" s="20">
        <f t="shared" si="33"/>
        <v>159.55767145662193</v>
      </c>
      <c r="AA596">
        <f t="shared" si="34"/>
        <v>124618.46611660847</v>
      </c>
    </row>
    <row r="597" spans="25:27" x14ac:dyDescent="0.3">
      <c r="Y597">
        <f t="shared" si="32"/>
        <v>2808</v>
      </c>
      <c r="Z597" s="20">
        <f t="shared" si="33"/>
        <v>159.34719427579984</v>
      </c>
      <c r="AA597">
        <f t="shared" si="34"/>
        <v>124777.81331088427</v>
      </c>
    </row>
    <row r="598" spans="25:27" x14ac:dyDescent="0.3">
      <c r="Y598">
        <f t="shared" si="32"/>
        <v>2810</v>
      </c>
      <c r="Z598" s="20">
        <f t="shared" si="33"/>
        <v>159.13699474156934</v>
      </c>
      <c r="AA598">
        <f t="shared" si="34"/>
        <v>124936.95030562584</v>
      </c>
    </row>
    <row r="599" spans="25:27" x14ac:dyDescent="0.3">
      <c r="Y599">
        <f t="shared" si="32"/>
        <v>2812</v>
      </c>
      <c r="Z599" s="20">
        <f t="shared" si="33"/>
        <v>158.92707248767874</v>
      </c>
      <c r="AA599">
        <f t="shared" si="34"/>
        <v>125095.87737811352</v>
      </c>
    </row>
    <row r="600" spans="25:27" x14ac:dyDescent="0.3">
      <c r="Y600">
        <f t="shared" si="32"/>
        <v>2814</v>
      </c>
      <c r="Z600" s="20">
        <f t="shared" si="33"/>
        <v>158.71742714835946</v>
      </c>
      <c r="AA600">
        <f t="shared" si="34"/>
        <v>125254.59480526188</v>
      </c>
    </row>
    <row r="601" spans="25:27" x14ac:dyDescent="0.3">
      <c r="Y601">
        <f t="shared" si="32"/>
        <v>2816</v>
      </c>
      <c r="Z601" s="20">
        <f t="shared" si="33"/>
        <v>158.5080583583254</v>
      </c>
      <c r="AA601">
        <f t="shared" si="34"/>
        <v>125413.1028636202</v>
      </c>
    </row>
    <row r="602" spans="25:27" x14ac:dyDescent="0.3">
      <c r="Y602">
        <f t="shared" si="32"/>
        <v>2818</v>
      </c>
      <c r="Z602" s="20">
        <f t="shared" si="33"/>
        <v>158.29896575277232</v>
      </c>
      <c r="AA602">
        <f t="shared" si="34"/>
        <v>125571.40182937296</v>
      </c>
    </row>
    <row r="603" spans="25:27" x14ac:dyDescent="0.3">
      <c r="Y603">
        <f t="shared" si="32"/>
        <v>2820</v>
      </c>
      <c r="Z603" s="20">
        <f t="shared" si="33"/>
        <v>158.09014896737722</v>
      </c>
      <c r="AA603">
        <f t="shared" si="34"/>
        <v>125729.49197834033</v>
      </c>
    </row>
    <row r="604" spans="25:27" x14ac:dyDescent="0.3">
      <c r="Y604">
        <f t="shared" si="32"/>
        <v>2822</v>
      </c>
      <c r="Z604" s="20">
        <f t="shared" si="33"/>
        <v>157.88160763829768</v>
      </c>
      <c r="AA604">
        <f t="shared" si="34"/>
        <v>125887.37358597862</v>
      </c>
    </row>
    <row r="605" spans="25:27" x14ac:dyDescent="0.3">
      <c r="Y605">
        <f t="shared" si="32"/>
        <v>2824</v>
      </c>
      <c r="Z605" s="20">
        <f t="shared" si="33"/>
        <v>157.67334140217122</v>
      </c>
      <c r="AA605">
        <f t="shared" si="34"/>
        <v>126045.0469273808</v>
      </c>
    </row>
    <row r="606" spans="25:27" x14ac:dyDescent="0.3">
      <c r="Y606">
        <f t="shared" si="32"/>
        <v>2826</v>
      </c>
      <c r="Z606" s="20">
        <f t="shared" si="33"/>
        <v>157.4653498961147</v>
      </c>
      <c r="AA606">
        <f t="shared" si="34"/>
        <v>126202.51227727691</v>
      </c>
    </row>
    <row r="607" spans="25:27" x14ac:dyDescent="0.3">
      <c r="Y607">
        <f t="shared" si="32"/>
        <v>2828</v>
      </c>
      <c r="Z607" s="20">
        <f t="shared" si="33"/>
        <v>157.25763275772374</v>
      </c>
      <c r="AA607">
        <f t="shared" si="34"/>
        <v>126359.76991003464</v>
      </c>
    </row>
    <row r="608" spans="25:27" x14ac:dyDescent="0.3">
      <c r="Y608">
        <f t="shared" si="32"/>
        <v>2830</v>
      </c>
      <c r="Z608" s="20">
        <f t="shared" si="33"/>
        <v>157.05018962507182</v>
      </c>
      <c r="AA608">
        <f t="shared" si="34"/>
        <v>126516.82009965972</v>
      </c>
    </row>
    <row r="609" spans="25:27" x14ac:dyDescent="0.3">
      <c r="Y609">
        <f t="shared" si="32"/>
        <v>2832</v>
      </c>
      <c r="Z609" s="20">
        <f t="shared" si="33"/>
        <v>156.84302013671004</v>
      </c>
      <c r="AA609">
        <f t="shared" si="34"/>
        <v>126673.66311979643</v>
      </c>
    </row>
    <row r="610" spans="25:27" x14ac:dyDescent="0.3">
      <c r="Y610">
        <f t="shared" si="32"/>
        <v>2834</v>
      </c>
      <c r="Z610" s="20">
        <f t="shared" si="33"/>
        <v>156.63612393166625</v>
      </c>
      <c r="AA610">
        <f t="shared" si="34"/>
        <v>126830.29924372809</v>
      </c>
    </row>
    <row r="611" spans="25:27" x14ac:dyDescent="0.3">
      <c r="Y611">
        <f t="shared" si="32"/>
        <v>2836</v>
      </c>
      <c r="Z611" s="20">
        <f t="shared" si="33"/>
        <v>156.42950064944438</v>
      </c>
      <c r="AA611">
        <f t="shared" si="34"/>
        <v>126986.72874437754</v>
      </c>
    </row>
    <row r="612" spans="25:27" x14ac:dyDescent="0.3">
      <c r="Y612">
        <f t="shared" si="32"/>
        <v>2838</v>
      </c>
      <c r="Z612" s="20">
        <f t="shared" si="33"/>
        <v>156.22314993002408</v>
      </c>
      <c r="AA612">
        <f t="shared" si="34"/>
        <v>127142.95189430757</v>
      </c>
    </row>
    <row r="613" spans="25:27" x14ac:dyDescent="0.3">
      <c r="Y613">
        <f t="shared" si="32"/>
        <v>2840</v>
      </c>
      <c r="Z613" s="20">
        <f t="shared" si="33"/>
        <v>156.01707141385972</v>
      </c>
      <c r="AA613">
        <f t="shared" si="34"/>
        <v>127298.96896572143</v>
      </c>
    </row>
    <row r="614" spans="25:27" x14ac:dyDescent="0.3">
      <c r="Y614">
        <f t="shared" si="32"/>
        <v>2842</v>
      </c>
      <c r="Z614" s="20">
        <f t="shared" si="33"/>
        <v>155.81126474188005</v>
      </c>
      <c r="AA614">
        <f t="shared" si="34"/>
        <v>127454.78023046331</v>
      </c>
    </row>
    <row r="615" spans="25:27" x14ac:dyDescent="0.3">
      <c r="Y615">
        <f t="shared" si="32"/>
        <v>2844</v>
      </c>
      <c r="Z615" s="20">
        <f t="shared" si="33"/>
        <v>155.6057295554875</v>
      </c>
      <c r="AA615">
        <f t="shared" si="34"/>
        <v>127610.3859600188</v>
      </c>
    </row>
    <row r="616" spans="25:27" x14ac:dyDescent="0.3">
      <c r="Y616">
        <f t="shared" si="32"/>
        <v>2846</v>
      </c>
      <c r="Z616" s="20">
        <f t="shared" si="33"/>
        <v>155.40046549655747</v>
      </c>
      <c r="AA616">
        <f t="shared" si="34"/>
        <v>127765.78642551535</v>
      </c>
    </row>
    <row r="617" spans="25:27" x14ac:dyDescent="0.3">
      <c r="Y617">
        <f t="shared" si="32"/>
        <v>2848</v>
      </c>
      <c r="Z617" s="20">
        <f t="shared" si="33"/>
        <v>155.19547220743786</v>
      </c>
      <c r="AA617">
        <f t="shared" si="34"/>
        <v>127920.9818977228</v>
      </c>
    </row>
    <row r="618" spans="25:27" x14ac:dyDescent="0.3">
      <c r="Y618">
        <f t="shared" si="32"/>
        <v>2850</v>
      </c>
      <c r="Z618" s="20">
        <f t="shared" si="33"/>
        <v>154.99074933094832</v>
      </c>
      <c r="AA618">
        <f t="shared" si="34"/>
        <v>128075.97264705374</v>
      </c>
    </row>
    <row r="619" spans="25:27" x14ac:dyDescent="0.3">
      <c r="Y619">
        <f t="shared" si="32"/>
        <v>2852</v>
      </c>
      <c r="Z619" s="20">
        <f t="shared" si="33"/>
        <v>154.78629651037957</v>
      </c>
      <c r="AA619">
        <f t="shared" si="34"/>
        <v>128230.75894356413</v>
      </c>
    </row>
    <row r="620" spans="25:27" x14ac:dyDescent="0.3">
      <c r="Y620">
        <f t="shared" si="32"/>
        <v>2854</v>
      </c>
      <c r="Z620" s="20">
        <f t="shared" si="33"/>
        <v>154.58211338949306</v>
      </c>
      <c r="AA620">
        <f t="shared" si="34"/>
        <v>128385.34105695362</v>
      </c>
    </row>
    <row r="621" spans="25:27" x14ac:dyDescent="0.3">
      <c r="Y621">
        <f t="shared" si="32"/>
        <v>2856</v>
      </c>
      <c r="Z621" s="20">
        <f t="shared" si="33"/>
        <v>154.37819961252001</v>
      </c>
      <c r="AA621">
        <f t="shared" si="34"/>
        <v>128539.71925656614</v>
      </c>
    </row>
    <row r="622" spans="25:27" x14ac:dyDescent="0.3">
      <c r="Y622">
        <f t="shared" si="32"/>
        <v>2858</v>
      </c>
      <c r="Z622" s="20">
        <f t="shared" si="33"/>
        <v>154.17455482416102</v>
      </c>
      <c r="AA622">
        <f t="shared" si="34"/>
        <v>128693.8938113903</v>
      </c>
    </row>
    <row r="623" spans="25:27" x14ac:dyDescent="0.3">
      <c r="Y623">
        <f t="shared" si="32"/>
        <v>2860</v>
      </c>
      <c r="Z623" s="20">
        <f t="shared" si="33"/>
        <v>153.97117866958536</v>
      </c>
      <c r="AA623">
        <f t="shared" si="34"/>
        <v>128847.86499005988</v>
      </c>
    </row>
    <row r="624" spans="25:27" x14ac:dyDescent="0.3">
      <c r="Y624">
        <f t="shared" si="32"/>
        <v>2862</v>
      </c>
      <c r="Z624" s="20">
        <f t="shared" si="33"/>
        <v>153.7680707944304</v>
      </c>
      <c r="AA624">
        <f t="shared" si="34"/>
        <v>129001.63306085431</v>
      </c>
    </row>
    <row r="625" spans="25:27" x14ac:dyDescent="0.3">
      <c r="Y625">
        <f t="shared" si="32"/>
        <v>2864</v>
      </c>
      <c r="Z625" s="20">
        <f t="shared" si="33"/>
        <v>153.56523084480085</v>
      </c>
      <c r="AA625">
        <f t="shared" si="34"/>
        <v>129155.19829169911</v>
      </c>
    </row>
    <row r="626" spans="25:27" x14ac:dyDescent="0.3">
      <c r="Y626">
        <f t="shared" si="32"/>
        <v>2866</v>
      </c>
      <c r="Z626" s="20">
        <f t="shared" si="33"/>
        <v>153.3626584672684</v>
      </c>
      <c r="AA626">
        <f t="shared" si="34"/>
        <v>129308.56095016639</v>
      </c>
    </row>
    <row r="627" spans="25:27" x14ac:dyDescent="0.3">
      <c r="Y627">
        <f t="shared" si="32"/>
        <v>2868</v>
      </c>
      <c r="Z627" s="20">
        <f t="shared" si="33"/>
        <v>153.16035330887084</v>
      </c>
      <c r="AA627">
        <f t="shared" si="34"/>
        <v>129461.72130347525</v>
      </c>
    </row>
    <row r="628" spans="25:27" x14ac:dyDescent="0.3">
      <c r="Y628">
        <f t="shared" si="32"/>
        <v>2870</v>
      </c>
      <c r="Z628" s="20">
        <f t="shared" si="33"/>
        <v>152.95831501711166</v>
      </c>
      <c r="AA628">
        <f t="shared" si="34"/>
        <v>129614.67961849236</v>
      </c>
    </row>
    <row r="629" spans="25:27" x14ac:dyDescent="0.3">
      <c r="Y629">
        <f t="shared" si="32"/>
        <v>2872</v>
      </c>
      <c r="Z629" s="20">
        <f t="shared" si="33"/>
        <v>152.75654323995923</v>
      </c>
      <c r="AA629">
        <f t="shared" si="34"/>
        <v>129767.43616173232</v>
      </c>
    </row>
    <row r="630" spans="25:27" x14ac:dyDescent="0.3">
      <c r="Y630">
        <f t="shared" si="32"/>
        <v>2874</v>
      </c>
      <c r="Z630" s="20">
        <f t="shared" si="33"/>
        <v>152.55503762584641</v>
      </c>
      <c r="AA630">
        <f t="shared" si="34"/>
        <v>129919.99119935816</v>
      </c>
    </row>
    <row r="631" spans="25:27" x14ac:dyDescent="0.3">
      <c r="Y631">
        <f t="shared" si="32"/>
        <v>2876</v>
      </c>
      <c r="Z631" s="20">
        <f t="shared" si="33"/>
        <v>152.35379782366977</v>
      </c>
      <c r="AA631">
        <f t="shared" si="34"/>
        <v>130072.34499718183</v>
      </c>
    </row>
    <row r="632" spans="25:27" x14ac:dyDescent="0.3">
      <c r="Y632">
        <f t="shared" si="32"/>
        <v>2878</v>
      </c>
      <c r="Z632" s="20">
        <f t="shared" si="33"/>
        <v>152.15282348278899</v>
      </c>
      <c r="AA632">
        <f t="shared" si="34"/>
        <v>130224.49782066462</v>
      </c>
    </row>
    <row r="633" spans="25:27" x14ac:dyDescent="0.3">
      <c r="Y633">
        <f t="shared" si="32"/>
        <v>2880</v>
      </c>
      <c r="Z633" s="20">
        <f t="shared" si="33"/>
        <v>151.95211425302631</v>
      </c>
      <c r="AA633">
        <f t="shared" si="34"/>
        <v>130376.44993491765</v>
      </c>
    </row>
    <row r="634" spans="25:27" x14ac:dyDescent="0.3">
      <c r="Y634">
        <f t="shared" si="32"/>
        <v>2882</v>
      </c>
      <c r="Z634" s="20">
        <f t="shared" si="33"/>
        <v>151.75166978466598</v>
      </c>
      <c r="AA634">
        <f t="shared" si="34"/>
        <v>130528.20160470232</v>
      </c>
    </row>
    <row r="635" spans="25:27" x14ac:dyDescent="0.3">
      <c r="Y635">
        <f t="shared" si="32"/>
        <v>2884</v>
      </c>
      <c r="Z635" s="20">
        <f t="shared" si="33"/>
        <v>151.55148972845345</v>
      </c>
      <c r="AA635">
        <f t="shared" si="34"/>
        <v>130679.75309443078</v>
      </c>
    </row>
    <row r="636" spans="25:27" x14ac:dyDescent="0.3">
      <c r="Y636">
        <f t="shared" si="32"/>
        <v>2886</v>
      </c>
      <c r="Z636" s="20">
        <f t="shared" si="33"/>
        <v>151.351573735595</v>
      </c>
      <c r="AA636">
        <f t="shared" si="34"/>
        <v>130831.10466816637</v>
      </c>
    </row>
    <row r="637" spans="25:27" x14ac:dyDescent="0.3">
      <c r="Y637">
        <f t="shared" si="32"/>
        <v>2888</v>
      </c>
      <c r="Z637" s="20">
        <f t="shared" si="33"/>
        <v>151.15192145775688</v>
      </c>
      <c r="AA637">
        <f t="shared" si="34"/>
        <v>130982.25658962413</v>
      </c>
    </row>
    <row r="638" spans="25:27" x14ac:dyDescent="0.3">
      <c r="Y638">
        <f t="shared" ref="Y638:Y701" si="35">Y637+2</f>
        <v>2890</v>
      </c>
      <c r="Z638" s="20">
        <f t="shared" si="33"/>
        <v>150.95253254706498</v>
      </c>
      <c r="AA638">
        <f t="shared" si="34"/>
        <v>131133.20912217119</v>
      </c>
    </row>
    <row r="639" spans="25:27" x14ac:dyDescent="0.3">
      <c r="Y639">
        <f t="shared" si="35"/>
        <v>2892</v>
      </c>
      <c r="Z639" s="20">
        <f t="shared" si="33"/>
        <v>150.75340665610398</v>
      </c>
      <c r="AA639">
        <f t="shared" si="34"/>
        <v>131283.96252882728</v>
      </c>
    </row>
    <row r="640" spans="25:27" x14ac:dyDescent="0.3">
      <c r="Y640">
        <f t="shared" si="35"/>
        <v>2894</v>
      </c>
      <c r="Z640" s="20">
        <f t="shared" si="33"/>
        <v>150.55454343791686</v>
      </c>
      <c r="AA640">
        <f t="shared" si="34"/>
        <v>131434.51707226521</v>
      </c>
    </row>
    <row r="641" spans="25:27" x14ac:dyDescent="0.3">
      <c r="Y641">
        <f t="shared" si="35"/>
        <v>2896</v>
      </c>
      <c r="Z641" s="20">
        <f t="shared" si="33"/>
        <v>150.35594254600431</v>
      </c>
      <c r="AA641">
        <f t="shared" si="34"/>
        <v>131584.87301481122</v>
      </c>
    </row>
    <row r="642" spans="25:27" x14ac:dyDescent="0.3">
      <c r="Y642">
        <f t="shared" si="35"/>
        <v>2898</v>
      </c>
      <c r="Z642" s="20">
        <f t="shared" si="33"/>
        <v>150.15760363432409</v>
      </c>
      <c r="AA642">
        <f t="shared" si="34"/>
        <v>131735.03061844554</v>
      </c>
    </row>
    <row r="643" spans="25:27" x14ac:dyDescent="0.3">
      <c r="Y643">
        <f t="shared" si="35"/>
        <v>2900</v>
      </c>
      <c r="Z643" s="20">
        <f t="shared" si="33"/>
        <v>149.95952635729046</v>
      </c>
      <c r="AA643">
        <f t="shared" si="34"/>
        <v>131884.99014480284</v>
      </c>
    </row>
    <row r="644" spans="25:27" x14ac:dyDescent="0.3">
      <c r="Y644">
        <f t="shared" si="35"/>
        <v>2902</v>
      </c>
      <c r="Z644" s="20">
        <f t="shared" ref="Z644:Z707" si="36">1016.74887*EXP(-0.00066*Y644)</f>
        <v>149.76171036977348</v>
      </c>
      <c r="AA644">
        <f t="shared" si="34"/>
        <v>132034.75185517262</v>
      </c>
    </row>
    <row r="645" spans="25:27" x14ac:dyDescent="0.3">
      <c r="Y645">
        <f t="shared" si="35"/>
        <v>2904</v>
      </c>
      <c r="Z645" s="20">
        <f t="shared" si="36"/>
        <v>149.56415532709855</v>
      </c>
      <c r="AA645">
        <f t="shared" ref="AA645:AA708" si="37">AA644+Z645</f>
        <v>132184.31601049972</v>
      </c>
    </row>
    <row r="646" spans="25:27" x14ac:dyDescent="0.3">
      <c r="Y646">
        <f t="shared" si="35"/>
        <v>2906</v>
      </c>
      <c r="Z646" s="20">
        <f t="shared" si="36"/>
        <v>149.3668608850457</v>
      </c>
      <c r="AA646">
        <f t="shared" si="37"/>
        <v>132333.68287138478</v>
      </c>
    </row>
    <row r="647" spans="25:27" x14ac:dyDescent="0.3">
      <c r="Y647">
        <f t="shared" si="35"/>
        <v>2908</v>
      </c>
      <c r="Z647" s="20">
        <f t="shared" si="36"/>
        <v>149.16982669984898</v>
      </c>
      <c r="AA647">
        <f t="shared" si="37"/>
        <v>132482.85269808464</v>
      </c>
    </row>
    <row r="648" spans="25:27" x14ac:dyDescent="0.3">
      <c r="Y648">
        <f t="shared" si="35"/>
        <v>2910</v>
      </c>
      <c r="Z648" s="20">
        <f t="shared" si="36"/>
        <v>148.97305242819607</v>
      </c>
      <c r="AA648">
        <f t="shared" si="37"/>
        <v>132631.82575051283</v>
      </c>
    </row>
    <row r="649" spans="25:27" x14ac:dyDescent="0.3">
      <c r="Y649">
        <f t="shared" si="35"/>
        <v>2912</v>
      </c>
      <c r="Z649" s="20">
        <f t="shared" si="36"/>
        <v>148.77653772722743</v>
      </c>
      <c r="AA649">
        <f t="shared" si="37"/>
        <v>132780.60228824004</v>
      </c>
    </row>
    <row r="650" spans="25:27" x14ac:dyDescent="0.3">
      <c r="Y650">
        <f t="shared" si="35"/>
        <v>2914</v>
      </c>
      <c r="Z650" s="20">
        <f t="shared" si="36"/>
        <v>148.5802822545358</v>
      </c>
      <c r="AA650">
        <f t="shared" si="37"/>
        <v>132929.18257049457</v>
      </c>
    </row>
    <row r="651" spans="25:27" x14ac:dyDescent="0.3">
      <c r="Y651">
        <f t="shared" si="35"/>
        <v>2916</v>
      </c>
      <c r="Z651" s="20">
        <f t="shared" si="36"/>
        <v>148.38428566816549</v>
      </c>
      <c r="AA651">
        <f t="shared" si="37"/>
        <v>133077.56685616274</v>
      </c>
    </row>
    <row r="652" spans="25:27" x14ac:dyDescent="0.3">
      <c r="Y652">
        <f t="shared" si="35"/>
        <v>2918</v>
      </c>
      <c r="Z652" s="20">
        <f t="shared" si="36"/>
        <v>148.18854762661209</v>
      </c>
      <c r="AA652">
        <f t="shared" si="37"/>
        <v>133225.75540378934</v>
      </c>
    </row>
    <row r="653" spans="25:27" x14ac:dyDescent="0.3">
      <c r="Y653">
        <f t="shared" si="35"/>
        <v>2920</v>
      </c>
      <c r="Z653" s="20">
        <f t="shared" si="36"/>
        <v>147.99306778882161</v>
      </c>
      <c r="AA653">
        <f t="shared" si="37"/>
        <v>133373.74847157818</v>
      </c>
    </row>
    <row r="654" spans="25:27" x14ac:dyDescent="0.3">
      <c r="Y654">
        <f t="shared" si="35"/>
        <v>2922</v>
      </c>
      <c r="Z654" s="20">
        <f t="shared" si="36"/>
        <v>147.79784581418986</v>
      </c>
      <c r="AA654">
        <f t="shared" si="37"/>
        <v>133521.54631739238</v>
      </c>
    </row>
    <row r="655" spans="25:27" x14ac:dyDescent="0.3">
      <c r="Y655">
        <f t="shared" si="35"/>
        <v>2924</v>
      </c>
      <c r="Z655" s="20">
        <f t="shared" si="36"/>
        <v>147.60288136256202</v>
      </c>
      <c r="AA655">
        <f t="shared" si="37"/>
        <v>133669.14919875495</v>
      </c>
    </row>
    <row r="656" spans="25:27" x14ac:dyDescent="0.3">
      <c r="Y656">
        <f t="shared" si="35"/>
        <v>2926</v>
      </c>
      <c r="Z656" s="20">
        <f t="shared" si="36"/>
        <v>147.40817409423204</v>
      </c>
      <c r="AA656">
        <f t="shared" si="37"/>
        <v>133816.55737284917</v>
      </c>
    </row>
    <row r="657" spans="25:27" x14ac:dyDescent="0.3">
      <c r="Y657">
        <f t="shared" si="35"/>
        <v>2928</v>
      </c>
      <c r="Z657" s="20">
        <f t="shared" si="36"/>
        <v>147.21372366994191</v>
      </c>
      <c r="AA657">
        <f t="shared" si="37"/>
        <v>133963.77109651911</v>
      </c>
    </row>
    <row r="658" spans="25:27" x14ac:dyDescent="0.3">
      <c r="Y658">
        <f t="shared" si="35"/>
        <v>2930</v>
      </c>
      <c r="Z658" s="20">
        <f t="shared" si="36"/>
        <v>147.01952975088111</v>
      </c>
      <c r="AA658">
        <f t="shared" si="37"/>
        <v>134110.79062627</v>
      </c>
    </row>
    <row r="659" spans="25:27" x14ac:dyDescent="0.3">
      <c r="Y659">
        <f t="shared" si="35"/>
        <v>2932</v>
      </c>
      <c r="Z659" s="20">
        <f t="shared" si="36"/>
        <v>146.82559199868615</v>
      </c>
      <c r="AA659">
        <f t="shared" si="37"/>
        <v>134257.6162182687</v>
      </c>
    </row>
    <row r="660" spans="25:27" x14ac:dyDescent="0.3">
      <c r="Y660">
        <f t="shared" si="35"/>
        <v>2934</v>
      </c>
      <c r="Z660" s="20">
        <f t="shared" si="36"/>
        <v>146.63191007543983</v>
      </c>
      <c r="AA660">
        <f t="shared" si="37"/>
        <v>134404.24812834413</v>
      </c>
    </row>
    <row r="661" spans="25:27" x14ac:dyDescent="0.3">
      <c r="Y661">
        <f t="shared" si="35"/>
        <v>2936</v>
      </c>
      <c r="Z661" s="20">
        <f t="shared" si="36"/>
        <v>146.43848364367076</v>
      </c>
      <c r="AA661">
        <f t="shared" si="37"/>
        <v>134550.6866119878</v>
      </c>
    </row>
    <row r="662" spans="25:27" x14ac:dyDescent="0.3">
      <c r="Y662">
        <f t="shared" si="35"/>
        <v>2938</v>
      </c>
      <c r="Z662" s="20">
        <f t="shared" si="36"/>
        <v>146.24531236635261</v>
      </c>
      <c r="AA662">
        <f t="shared" si="37"/>
        <v>134696.93192435414</v>
      </c>
    </row>
    <row r="663" spans="25:27" x14ac:dyDescent="0.3">
      <c r="Y663">
        <f t="shared" si="35"/>
        <v>2940</v>
      </c>
      <c r="Z663" s="20">
        <f t="shared" si="36"/>
        <v>146.05239590690374</v>
      </c>
      <c r="AA663">
        <f t="shared" si="37"/>
        <v>134842.98432026105</v>
      </c>
    </row>
    <row r="664" spans="25:27" x14ac:dyDescent="0.3">
      <c r="Y664">
        <f t="shared" si="35"/>
        <v>2942</v>
      </c>
      <c r="Z664" s="20">
        <f t="shared" si="36"/>
        <v>145.85973392918643</v>
      </c>
      <c r="AA664">
        <f t="shared" si="37"/>
        <v>134988.84405419024</v>
      </c>
    </row>
    <row r="665" spans="25:27" x14ac:dyDescent="0.3">
      <c r="Y665">
        <f t="shared" si="35"/>
        <v>2944</v>
      </c>
      <c r="Z665" s="20">
        <f t="shared" si="36"/>
        <v>145.66732609750642</v>
      </c>
      <c r="AA665">
        <f t="shared" si="37"/>
        <v>135134.51138028773</v>
      </c>
    </row>
    <row r="666" spans="25:27" x14ac:dyDescent="0.3">
      <c r="Y666">
        <f t="shared" si="35"/>
        <v>2946</v>
      </c>
      <c r="Z666" s="20">
        <f t="shared" si="36"/>
        <v>145.47517207661224</v>
      </c>
      <c r="AA666">
        <f t="shared" si="37"/>
        <v>135279.98655236434</v>
      </c>
    </row>
    <row r="667" spans="25:27" x14ac:dyDescent="0.3">
      <c r="Y667">
        <f t="shared" si="35"/>
        <v>2948</v>
      </c>
      <c r="Z667" s="20">
        <f t="shared" si="36"/>
        <v>145.28327153169474</v>
      </c>
      <c r="AA667">
        <f t="shared" si="37"/>
        <v>135425.26982389603</v>
      </c>
    </row>
    <row r="668" spans="25:27" x14ac:dyDescent="0.3">
      <c r="Y668">
        <f t="shared" si="35"/>
        <v>2950</v>
      </c>
      <c r="Z668" s="20">
        <f t="shared" si="36"/>
        <v>145.09162412838626</v>
      </c>
      <c r="AA668">
        <f t="shared" si="37"/>
        <v>135570.36144802443</v>
      </c>
    </row>
    <row r="669" spans="25:27" x14ac:dyDescent="0.3">
      <c r="Y669">
        <f t="shared" si="35"/>
        <v>2952</v>
      </c>
      <c r="Z669" s="20">
        <f t="shared" si="36"/>
        <v>144.90022953276042</v>
      </c>
      <c r="AA669">
        <f t="shared" si="37"/>
        <v>135715.2616775572</v>
      </c>
    </row>
    <row r="670" spans="25:27" x14ac:dyDescent="0.3">
      <c r="Y670">
        <f t="shared" si="35"/>
        <v>2954</v>
      </c>
      <c r="Z670" s="20">
        <f t="shared" si="36"/>
        <v>144.70908741133115</v>
      </c>
      <c r="AA670">
        <f t="shared" si="37"/>
        <v>135859.97076496852</v>
      </c>
    </row>
    <row r="671" spans="25:27" x14ac:dyDescent="0.3">
      <c r="Y671">
        <f t="shared" si="35"/>
        <v>2956</v>
      </c>
      <c r="Z671" s="20">
        <f t="shared" si="36"/>
        <v>144.51819743105241</v>
      </c>
      <c r="AA671">
        <f t="shared" si="37"/>
        <v>136004.48896239957</v>
      </c>
    </row>
    <row r="672" spans="25:27" x14ac:dyDescent="0.3">
      <c r="Y672">
        <f t="shared" si="35"/>
        <v>2958</v>
      </c>
      <c r="Z672" s="20">
        <f t="shared" si="36"/>
        <v>144.32755925931741</v>
      </c>
      <c r="AA672">
        <f t="shared" si="37"/>
        <v>136148.81652165888</v>
      </c>
    </row>
    <row r="673" spans="25:27" x14ac:dyDescent="0.3">
      <c r="Y673">
        <f t="shared" si="35"/>
        <v>2960</v>
      </c>
      <c r="Z673" s="20">
        <f t="shared" si="36"/>
        <v>144.13717256395822</v>
      </c>
      <c r="AA673">
        <f t="shared" si="37"/>
        <v>136292.95369422284</v>
      </c>
    </row>
    <row r="674" spans="25:27" x14ac:dyDescent="0.3">
      <c r="Y674">
        <f t="shared" si="35"/>
        <v>2962</v>
      </c>
      <c r="Z674" s="20">
        <f t="shared" si="36"/>
        <v>143.94703701324494</v>
      </c>
      <c r="AA674">
        <f t="shared" si="37"/>
        <v>136436.90073123609</v>
      </c>
    </row>
    <row r="675" spans="25:27" x14ac:dyDescent="0.3">
      <c r="Y675">
        <f t="shared" si="35"/>
        <v>2964</v>
      </c>
      <c r="Z675" s="20">
        <f t="shared" si="36"/>
        <v>143.75715227588537</v>
      </c>
      <c r="AA675">
        <f t="shared" si="37"/>
        <v>136580.65788351197</v>
      </c>
    </row>
    <row r="676" spans="25:27" x14ac:dyDescent="0.3">
      <c r="Y676">
        <f t="shared" si="35"/>
        <v>2966</v>
      </c>
      <c r="Z676" s="20">
        <f t="shared" si="36"/>
        <v>143.56751802102431</v>
      </c>
      <c r="AA676">
        <f t="shared" si="37"/>
        <v>136724.22540153301</v>
      </c>
    </row>
    <row r="677" spans="25:27" x14ac:dyDescent="0.3">
      <c r="Y677">
        <f t="shared" si="35"/>
        <v>2968</v>
      </c>
      <c r="Z677" s="20">
        <f t="shared" si="36"/>
        <v>143.37813391824295</v>
      </c>
      <c r="AA677">
        <f t="shared" si="37"/>
        <v>136867.60353545126</v>
      </c>
    </row>
    <row r="678" spans="25:27" x14ac:dyDescent="0.3">
      <c r="Y678">
        <f t="shared" si="35"/>
        <v>2970</v>
      </c>
      <c r="Z678" s="20">
        <f t="shared" si="36"/>
        <v>143.18899963755845</v>
      </c>
      <c r="AA678">
        <f t="shared" si="37"/>
        <v>137010.79253508881</v>
      </c>
    </row>
    <row r="679" spans="25:27" x14ac:dyDescent="0.3">
      <c r="Y679">
        <f t="shared" si="35"/>
        <v>2972</v>
      </c>
      <c r="Z679" s="20">
        <f t="shared" si="36"/>
        <v>143.00011484942311</v>
      </c>
      <c r="AA679">
        <f t="shared" si="37"/>
        <v>137153.79264993823</v>
      </c>
    </row>
    <row r="680" spans="25:27" x14ac:dyDescent="0.3">
      <c r="Y680">
        <f t="shared" si="35"/>
        <v>2974</v>
      </c>
      <c r="Z680" s="20">
        <f t="shared" si="36"/>
        <v>142.81147922472405</v>
      </c>
      <c r="AA680">
        <f t="shared" si="37"/>
        <v>137296.60412916297</v>
      </c>
    </row>
    <row r="681" spans="25:27" x14ac:dyDescent="0.3">
      <c r="Y681">
        <f t="shared" si="35"/>
        <v>2976</v>
      </c>
      <c r="Z681" s="20">
        <f t="shared" si="36"/>
        <v>142.62309243478254</v>
      </c>
      <c r="AA681">
        <f t="shared" si="37"/>
        <v>137439.22722159774</v>
      </c>
    </row>
    <row r="682" spans="25:27" x14ac:dyDescent="0.3">
      <c r="Y682">
        <f t="shared" si="35"/>
        <v>2978</v>
      </c>
      <c r="Z682" s="20">
        <f t="shared" si="36"/>
        <v>142.43495415135339</v>
      </c>
      <c r="AA682">
        <f t="shared" si="37"/>
        <v>137581.66217574911</v>
      </c>
    </row>
    <row r="683" spans="25:27" x14ac:dyDescent="0.3">
      <c r="Y683">
        <f t="shared" si="35"/>
        <v>2980</v>
      </c>
      <c r="Z683" s="20">
        <f t="shared" si="36"/>
        <v>142.24706404662436</v>
      </c>
      <c r="AA683">
        <f t="shared" si="37"/>
        <v>137723.90923979573</v>
      </c>
    </row>
    <row r="684" spans="25:27" x14ac:dyDescent="0.3">
      <c r="Y684">
        <f t="shared" si="35"/>
        <v>2982</v>
      </c>
      <c r="Z684" s="20">
        <f t="shared" si="36"/>
        <v>142.05942179321568</v>
      </c>
      <c r="AA684">
        <f t="shared" si="37"/>
        <v>137865.96866158894</v>
      </c>
    </row>
    <row r="685" spans="25:27" x14ac:dyDescent="0.3">
      <c r="Y685">
        <f t="shared" si="35"/>
        <v>2984</v>
      </c>
      <c r="Z685" s="20">
        <f t="shared" si="36"/>
        <v>141.87202706417952</v>
      </c>
      <c r="AA685">
        <f t="shared" si="37"/>
        <v>138007.84068865312</v>
      </c>
    </row>
    <row r="686" spans="25:27" x14ac:dyDescent="0.3">
      <c r="Y686">
        <f t="shared" si="35"/>
        <v>2986</v>
      </c>
      <c r="Z686" s="20">
        <f t="shared" si="36"/>
        <v>141.68487953299922</v>
      </c>
      <c r="AA686">
        <f t="shared" si="37"/>
        <v>138149.5255681861</v>
      </c>
    </row>
    <row r="687" spans="25:27" x14ac:dyDescent="0.3">
      <c r="Y687">
        <f t="shared" si="35"/>
        <v>2988</v>
      </c>
      <c r="Z687" s="20">
        <f t="shared" si="36"/>
        <v>141.49797887358883</v>
      </c>
      <c r="AA687">
        <f t="shared" si="37"/>
        <v>138291.02354705968</v>
      </c>
    </row>
    <row r="688" spans="25:27" x14ac:dyDescent="0.3">
      <c r="Y688">
        <f t="shared" si="35"/>
        <v>2990</v>
      </c>
      <c r="Z688" s="20">
        <f t="shared" si="36"/>
        <v>141.31132476029265</v>
      </c>
      <c r="AA688">
        <f t="shared" si="37"/>
        <v>138432.33487181997</v>
      </c>
    </row>
    <row r="689" spans="25:27" x14ac:dyDescent="0.3">
      <c r="Y689">
        <f t="shared" si="35"/>
        <v>2992</v>
      </c>
      <c r="Z689" s="20">
        <f t="shared" si="36"/>
        <v>141.12491686788448</v>
      </c>
      <c r="AA689">
        <f t="shared" si="37"/>
        <v>138573.45978868785</v>
      </c>
    </row>
    <row r="690" spans="25:27" x14ac:dyDescent="0.3">
      <c r="Y690">
        <f t="shared" si="35"/>
        <v>2994</v>
      </c>
      <c r="Z690" s="20">
        <f t="shared" si="36"/>
        <v>140.93875487156717</v>
      </c>
      <c r="AA690">
        <f t="shared" si="37"/>
        <v>138714.39854355942</v>
      </c>
    </row>
    <row r="691" spans="25:27" x14ac:dyDescent="0.3">
      <c r="Y691">
        <f t="shared" si="35"/>
        <v>2996</v>
      </c>
      <c r="Z691" s="20">
        <f t="shared" si="36"/>
        <v>140.75283844697199</v>
      </c>
      <c r="AA691">
        <f t="shared" si="37"/>
        <v>138855.15138200638</v>
      </c>
    </row>
    <row r="692" spans="25:27" x14ac:dyDescent="0.3">
      <c r="Y692">
        <f t="shared" si="35"/>
        <v>2998</v>
      </c>
      <c r="Z692" s="20">
        <f t="shared" si="36"/>
        <v>140.56716727015814</v>
      </c>
      <c r="AA692">
        <f t="shared" si="37"/>
        <v>138995.71854927656</v>
      </c>
    </row>
    <row r="693" spans="25:27" x14ac:dyDescent="0.3">
      <c r="Y693">
        <f t="shared" si="35"/>
        <v>3000</v>
      </c>
      <c r="Z693" s="20">
        <f t="shared" si="36"/>
        <v>140.38174101761211</v>
      </c>
      <c r="AA693">
        <f t="shared" si="37"/>
        <v>139136.10029029415</v>
      </c>
    </row>
    <row r="694" spans="25:27" x14ac:dyDescent="0.3">
      <c r="Y694">
        <f t="shared" si="35"/>
        <v>3002</v>
      </c>
      <c r="Z694" s="20">
        <f t="shared" si="36"/>
        <v>140.19655936624713</v>
      </c>
      <c r="AA694">
        <f t="shared" si="37"/>
        <v>139276.2968496604</v>
      </c>
    </row>
    <row r="695" spans="25:27" x14ac:dyDescent="0.3">
      <c r="Y695">
        <f t="shared" si="35"/>
        <v>3004</v>
      </c>
      <c r="Z695" s="20">
        <f t="shared" si="36"/>
        <v>140.01162199340268</v>
      </c>
      <c r="AA695">
        <f t="shared" si="37"/>
        <v>139416.30847165381</v>
      </c>
    </row>
    <row r="696" spans="25:27" x14ac:dyDescent="0.3">
      <c r="Y696">
        <f t="shared" si="35"/>
        <v>3006</v>
      </c>
      <c r="Z696" s="20">
        <f t="shared" si="36"/>
        <v>139.82692857684381</v>
      </c>
      <c r="AA696">
        <f t="shared" si="37"/>
        <v>139556.13540023065</v>
      </c>
    </row>
    <row r="697" spans="25:27" x14ac:dyDescent="0.3">
      <c r="Y697">
        <f t="shared" si="35"/>
        <v>3008</v>
      </c>
      <c r="Z697" s="20">
        <f t="shared" si="36"/>
        <v>139.64247879476065</v>
      </c>
      <c r="AA697">
        <f t="shared" si="37"/>
        <v>139695.77787902541</v>
      </c>
    </row>
    <row r="698" spans="25:27" x14ac:dyDescent="0.3">
      <c r="Y698">
        <f t="shared" si="35"/>
        <v>3010</v>
      </c>
      <c r="Z698" s="20">
        <f t="shared" si="36"/>
        <v>139.45827232576789</v>
      </c>
      <c r="AA698">
        <f t="shared" si="37"/>
        <v>139835.23615135119</v>
      </c>
    </row>
    <row r="699" spans="25:27" x14ac:dyDescent="0.3">
      <c r="Y699">
        <f t="shared" si="35"/>
        <v>3012</v>
      </c>
      <c r="Z699" s="20">
        <f t="shared" si="36"/>
        <v>139.2743088489041</v>
      </c>
      <c r="AA699">
        <f t="shared" si="37"/>
        <v>139974.51046020008</v>
      </c>
    </row>
    <row r="700" spans="25:27" x14ac:dyDescent="0.3">
      <c r="Y700">
        <f t="shared" si="35"/>
        <v>3014</v>
      </c>
      <c r="Z700" s="20">
        <f t="shared" si="36"/>
        <v>139.09058804363127</v>
      </c>
      <c r="AA700">
        <f t="shared" si="37"/>
        <v>140113.6010482437</v>
      </c>
    </row>
    <row r="701" spans="25:27" x14ac:dyDescent="0.3">
      <c r="Y701">
        <f t="shared" si="35"/>
        <v>3016</v>
      </c>
      <c r="Z701" s="20">
        <f t="shared" si="36"/>
        <v>138.90710958983428</v>
      </c>
      <c r="AA701">
        <f t="shared" si="37"/>
        <v>140252.50815783354</v>
      </c>
    </row>
    <row r="702" spans="25:27" x14ac:dyDescent="0.3">
      <c r="Y702">
        <f t="shared" ref="Y702:Y765" si="38">Y701+2</f>
        <v>3018</v>
      </c>
      <c r="Z702" s="20">
        <f t="shared" si="36"/>
        <v>138.7238731678201</v>
      </c>
      <c r="AA702">
        <f t="shared" si="37"/>
        <v>140391.23203100136</v>
      </c>
    </row>
    <row r="703" spans="25:27" x14ac:dyDescent="0.3">
      <c r="Y703">
        <f t="shared" si="38"/>
        <v>3020</v>
      </c>
      <c r="Z703" s="20">
        <f t="shared" si="36"/>
        <v>138.54087845831771</v>
      </c>
      <c r="AA703">
        <f t="shared" si="37"/>
        <v>140529.77290945969</v>
      </c>
    </row>
    <row r="704" spans="25:27" x14ac:dyDescent="0.3">
      <c r="Y704">
        <f t="shared" si="38"/>
        <v>3022</v>
      </c>
      <c r="Z704" s="20">
        <f t="shared" si="36"/>
        <v>138.35812514247695</v>
      </c>
      <c r="AA704">
        <f t="shared" si="37"/>
        <v>140668.13103460218</v>
      </c>
    </row>
    <row r="705" spans="25:27" x14ac:dyDescent="0.3">
      <c r="Y705">
        <f t="shared" si="38"/>
        <v>3024</v>
      </c>
      <c r="Z705" s="20">
        <f t="shared" si="36"/>
        <v>138.17561290186848</v>
      </c>
      <c r="AA705">
        <f t="shared" si="37"/>
        <v>140806.30664750404</v>
      </c>
    </row>
    <row r="706" spans="25:27" x14ac:dyDescent="0.3">
      <c r="Y706">
        <f t="shared" si="38"/>
        <v>3026</v>
      </c>
      <c r="Z706" s="20">
        <f t="shared" si="36"/>
        <v>137.99334141848286</v>
      </c>
      <c r="AA706">
        <f t="shared" si="37"/>
        <v>140944.29998892252</v>
      </c>
    </row>
    <row r="707" spans="25:27" x14ac:dyDescent="0.3">
      <c r="Y707">
        <f t="shared" si="38"/>
        <v>3028</v>
      </c>
      <c r="Z707" s="20">
        <f t="shared" si="36"/>
        <v>137.81131037473023</v>
      </c>
      <c r="AA707">
        <f t="shared" si="37"/>
        <v>141082.11129929725</v>
      </c>
    </row>
    <row r="708" spans="25:27" x14ac:dyDescent="0.3">
      <c r="Y708">
        <f t="shared" si="38"/>
        <v>3030</v>
      </c>
      <c r="Z708" s="20">
        <f t="shared" ref="Z708:Z771" si="39">1016.74887*EXP(-0.00066*Y708)</f>
        <v>137.62951945343968</v>
      </c>
      <c r="AA708">
        <f t="shared" si="37"/>
        <v>141219.7408187507</v>
      </c>
    </row>
    <row r="709" spans="25:27" x14ac:dyDescent="0.3">
      <c r="Y709">
        <f t="shared" si="38"/>
        <v>3032</v>
      </c>
      <c r="Z709" s="20">
        <f t="shared" si="39"/>
        <v>137.4479683378587</v>
      </c>
      <c r="AA709">
        <f t="shared" ref="AA709:AA772" si="40">AA708+Z709</f>
        <v>141357.18878708855</v>
      </c>
    </row>
    <row r="710" spans="25:27" x14ac:dyDescent="0.3">
      <c r="Y710">
        <f t="shared" si="38"/>
        <v>3034</v>
      </c>
      <c r="Z710" s="20">
        <f t="shared" si="39"/>
        <v>137.26665671165242</v>
      </c>
      <c r="AA710">
        <f t="shared" si="40"/>
        <v>141494.45544380019</v>
      </c>
    </row>
    <row r="711" spans="25:27" x14ac:dyDescent="0.3">
      <c r="Y711">
        <f t="shared" si="38"/>
        <v>3036</v>
      </c>
      <c r="Z711" s="20">
        <f t="shared" si="39"/>
        <v>137.08558425890354</v>
      </c>
      <c r="AA711">
        <f t="shared" si="40"/>
        <v>141631.54102805909</v>
      </c>
    </row>
    <row r="712" spans="25:27" x14ac:dyDescent="0.3">
      <c r="Y712">
        <f t="shared" si="38"/>
        <v>3038</v>
      </c>
      <c r="Z712" s="20">
        <f t="shared" si="39"/>
        <v>136.90475066411145</v>
      </c>
      <c r="AA712">
        <f t="shared" si="40"/>
        <v>141768.44577872319</v>
      </c>
    </row>
    <row r="713" spans="25:27" x14ac:dyDescent="0.3">
      <c r="Y713">
        <f t="shared" si="38"/>
        <v>3040</v>
      </c>
      <c r="Z713" s="20">
        <f t="shared" si="39"/>
        <v>136.72415561219145</v>
      </c>
      <c r="AA713">
        <f t="shared" si="40"/>
        <v>141905.1699343354</v>
      </c>
    </row>
    <row r="714" spans="25:27" x14ac:dyDescent="0.3">
      <c r="Y714">
        <f t="shared" si="38"/>
        <v>3042</v>
      </c>
      <c r="Z714" s="20">
        <f t="shared" si="39"/>
        <v>136.54379878847485</v>
      </c>
      <c r="AA714">
        <f t="shared" si="40"/>
        <v>142041.71373312388</v>
      </c>
    </row>
    <row r="715" spans="25:27" x14ac:dyDescent="0.3">
      <c r="Y715">
        <f t="shared" si="38"/>
        <v>3044</v>
      </c>
      <c r="Z715" s="20">
        <f t="shared" si="39"/>
        <v>136.36367987870773</v>
      </c>
      <c r="AA715">
        <f t="shared" si="40"/>
        <v>142178.07741300258</v>
      </c>
    </row>
    <row r="716" spans="25:27" x14ac:dyDescent="0.3">
      <c r="Y716">
        <f t="shared" si="38"/>
        <v>3046</v>
      </c>
      <c r="Z716" s="20">
        <f t="shared" si="39"/>
        <v>136.18379856905102</v>
      </c>
      <c r="AA716">
        <f t="shared" si="40"/>
        <v>142314.26121157163</v>
      </c>
    </row>
    <row r="717" spans="25:27" x14ac:dyDescent="0.3">
      <c r="Y717">
        <f t="shared" si="38"/>
        <v>3048</v>
      </c>
      <c r="Z717" s="20">
        <f t="shared" si="39"/>
        <v>136.00415454607932</v>
      </c>
      <c r="AA717">
        <f t="shared" si="40"/>
        <v>142450.2653661177</v>
      </c>
    </row>
    <row r="718" spans="25:27" x14ac:dyDescent="0.3">
      <c r="Y718">
        <f t="shared" si="38"/>
        <v>3050</v>
      </c>
      <c r="Z718" s="20">
        <f t="shared" si="39"/>
        <v>135.82474749678096</v>
      </c>
      <c r="AA718">
        <f t="shared" si="40"/>
        <v>142586.09011361448</v>
      </c>
    </row>
    <row r="719" spans="25:27" x14ac:dyDescent="0.3">
      <c r="Y719">
        <f t="shared" si="38"/>
        <v>3052</v>
      </c>
      <c r="Z719" s="20">
        <f t="shared" si="39"/>
        <v>135.64557710855695</v>
      </c>
      <c r="AA719">
        <f t="shared" si="40"/>
        <v>142721.73569072303</v>
      </c>
    </row>
    <row r="720" spans="25:27" x14ac:dyDescent="0.3">
      <c r="Y720">
        <f t="shared" si="38"/>
        <v>3054</v>
      </c>
      <c r="Z720" s="20">
        <f t="shared" si="39"/>
        <v>135.46664306922085</v>
      </c>
      <c r="AA720">
        <f t="shared" si="40"/>
        <v>142857.20233379226</v>
      </c>
    </row>
    <row r="721" spans="25:27" x14ac:dyDescent="0.3">
      <c r="Y721">
        <f t="shared" si="38"/>
        <v>3056</v>
      </c>
      <c r="Z721" s="20">
        <f t="shared" si="39"/>
        <v>135.28794506699788</v>
      </c>
      <c r="AA721">
        <f t="shared" si="40"/>
        <v>142992.49027885924</v>
      </c>
    </row>
    <row r="722" spans="25:27" x14ac:dyDescent="0.3">
      <c r="Y722">
        <f t="shared" si="38"/>
        <v>3058</v>
      </c>
      <c r="Z722" s="20">
        <f t="shared" si="39"/>
        <v>135.10948279052468</v>
      </c>
      <c r="AA722">
        <f t="shared" si="40"/>
        <v>143127.59976164976</v>
      </c>
    </row>
    <row r="723" spans="25:27" x14ac:dyDescent="0.3">
      <c r="Y723">
        <f t="shared" si="38"/>
        <v>3060</v>
      </c>
      <c r="Z723" s="20">
        <f t="shared" si="39"/>
        <v>134.9312559288484</v>
      </c>
      <c r="AA723">
        <f t="shared" si="40"/>
        <v>143262.53101757861</v>
      </c>
    </row>
    <row r="724" spans="25:27" x14ac:dyDescent="0.3">
      <c r="Y724">
        <f t="shared" si="38"/>
        <v>3062</v>
      </c>
      <c r="Z724" s="20">
        <f t="shared" si="39"/>
        <v>134.75326417142665</v>
      </c>
      <c r="AA724">
        <f t="shared" si="40"/>
        <v>143397.28428175004</v>
      </c>
    </row>
    <row r="725" spans="25:27" x14ac:dyDescent="0.3">
      <c r="Y725">
        <f t="shared" si="38"/>
        <v>3064</v>
      </c>
      <c r="Z725" s="20">
        <f t="shared" si="39"/>
        <v>134.57550720812642</v>
      </c>
      <c r="AA725">
        <f t="shared" si="40"/>
        <v>143531.85978895816</v>
      </c>
    </row>
    <row r="726" spans="25:27" x14ac:dyDescent="0.3">
      <c r="Y726">
        <f t="shared" si="38"/>
        <v>3066</v>
      </c>
      <c r="Z726" s="20">
        <f t="shared" si="39"/>
        <v>134.39798472922408</v>
      </c>
      <c r="AA726">
        <f t="shared" si="40"/>
        <v>143666.25777368739</v>
      </c>
    </row>
    <row r="727" spans="25:27" x14ac:dyDescent="0.3">
      <c r="Y727">
        <f t="shared" si="38"/>
        <v>3068</v>
      </c>
      <c r="Z727" s="20">
        <f t="shared" si="39"/>
        <v>134.22069642540427</v>
      </c>
      <c r="AA727">
        <f t="shared" si="40"/>
        <v>143800.47847011281</v>
      </c>
    </row>
    <row r="728" spans="25:27" x14ac:dyDescent="0.3">
      <c r="Y728">
        <f t="shared" si="38"/>
        <v>3070</v>
      </c>
      <c r="Z728" s="20">
        <f t="shared" si="39"/>
        <v>134.04364198775988</v>
      </c>
      <c r="AA728">
        <f t="shared" si="40"/>
        <v>143934.52211210056</v>
      </c>
    </row>
    <row r="729" spans="25:27" x14ac:dyDescent="0.3">
      <c r="Y729">
        <f t="shared" si="38"/>
        <v>3072</v>
      </c>
      <c r="Z729" s="20">
        <f t="shared" si="39"/>
        <v>133.8668211077912</v>
      </c>
      <c r="AA729">
        <f t="shared" si="40"/>
        <v>144068.38893320836</v>
      </c>
    </row>
    <row r="730" spans="25:27" x14ac:dyDescent="0.3">
      <c r="Y730">
        <f t="shared" si="38"/>
        <v>3074</v>
      </c>
      <c r="Z730" s="20">
        <f t="shared" si="39"/>
        <v>133.69023347740549</v>
      </c>
      <c r="AA730">
        <f t="shared" si="40"/>
        <v>144202.07916668575</v>
      </c>
    </row>
    <row r="731" spans="25:27" x14ac:dyDescent="0.3">
      <c r="Y731">
        <f t="shared" si="38"/>
        <v>3076</v>
      </c>
      <c r="Z731" s="20">
        <f t="shared" si="39"/>
        <v>133.51387878891643</v>
      </c>
      <c r="AA731">
        <f t="shared" si="40"/>
        <v>144335.59304547467</v>
      </c>
    </row>
    <row r="732" spans="25:27" x14ac:dyDescent="0.3">
      <c r="Y732">
        <f t="shared" si="38"/>
        <v>3078</v>
      </c>
      <c r="Z732" s="20">
        <f t="shared" si="39"/>
        <v>133.33775673504351</v>
      </c>
      <c r="AA732">
        <f t="shared" si="40"/>
        <v>144468.93080220971</v>
      </c>
    </row>
    <row r="733" spans="25:27" x14ac:dyDescent="0.3">
      <c r="Y733">
        <f t="shared" si="38"/>
        <v>3080</v>
      </c>
      <c r="Z733" s="20">
        <f t="shared" si="39"/>
        <v>133.16186700891171</v>
      </c>
      <c r="AA733">
        <f t="shared" si="40"/>
        <v>144602.09266921863</v>
      </c>
    </row>
    <row r="734" spans="25:27" x14ac:dyDescent="0.3">
      <c r="Y734">
        <f t="shared" si="38"/>
        <v>3082</v>
      </c>
      <c r="Z734" s="20">
        <f t="shared" si="39"/>
        <v>132.98620930405062</v>
      </c>
      <c r="AA734">
        <f t="shared" si="40"/>
        <v>144735.07887852268</v>
      </c>
    </row>
    <row r="735" spans="25:27" x14ac:dyDescent="0.3">
      <c r="Y735">
        <f t="shared" si="38"/>
        <v>3084</v>
      </c>
      <c r="Z735" s="20">
        <f t="shared" si="39"/>
        <v>132.81078331439434</v>
      </c>
      <c r="AA735">
        <f t="shared" si="40"/>
        <v>144867.88966183708</v>
      </c>
    </row>
    <row r="736" spans="25:27" x14ac:dyDescent="0.3">
      <c r="Y736">
        <f t="shared" si="38"/>
        <v>3086</v>
      </c>
      <c r="Z736" s="20">
        <f t="shared" si="39"/>
        <v>132.63558873428042</v>
      </c>
      <c r="AA736">
        <f t="shared" si="40"/>
        <v>145000.52525057137</v>
      </c>
    </row>
    <row r="737" spans="25:27" x14ac:dyDescent="0.3">
      <c r="Y737">
        <f t="shared" si="38"/>
        <v>3088</v>
      </c>
      <c r="Z737" s="20">
        <f t="shared" si="39"/>
        <v>132.46062525844997</v>
      </c>
      <c r="AA737">
        <f t="shared" si="40"/>
        <v>145132.98587582982</v>
      </c>
    </row>
    <row r="738" spans="25:27" x14ac:dyDescent="0.3">
      <c r="Y738">
        <f t="shared" si="38"/>
        <v>3090</v>
      </c>
      <c r="Z738" s="20">
        <f t="shared" si="39"/>
        <v>132.28589258204639</v>
      </c>
      <c r="AA738">
        <f t="shared" si="40"/>
        <v>145265.27176841185</v>
      </c>
    </row>
    <row r="739" spans="25:27" x14ac:dyDescent="0.3">
      <c r="Y739">
        <f t="shared" si="38"/>
        <v>3092</v>
      </c>
      <c r="Z739" s="20">
        <f t="shared" si="39"/>
        <v>132.11139040061556</v>
      </c>
      <c r="AA739">
        <f t="shared" si="40"/>
        <v>145397.38315881247</v>
      </c>
    </row>
    <row r="740" spans="25:27" x14ac:dyDescent="0.3">
      <c r="Y740">
        <f t="shared" si="38"/>
        <v>3094</v>
      </c>
      <c r="Z740" s="20">
        <f t="shared" si="39"/>
        <v>131.93711841010477</v>
      </c>
      <c r="AA740">
        <f t="shared" si="40"/>
        <v>145529.32027722258</v>
      </c>
    </row>
    <row r="741" spans="25:27" x14ac:dyDescent="0.3">
      <c r="Y741">
        <f t="shared" si="38"/>
        <v>3096</v>
      </c>
      <c r="Z741" s="20">
        <f t="shared" si="39"/>
        <v>131.7630763068625</v>
      </c>
      <c r="AA741">
        <f t="shared" si="40"/>
        <v>145661.08335352945</v>
      </c>
    </row>
    <row r="742" spans="25:27" x14ac:dyDescent="0.3">
      <c r="Y742">
        <f t="shared" si="38"/>
        <v>3098</v>
      </c>
      <c r="Z742" s="20">
        <f t="shared" si="39"/>
        <v>131.58926378763769</v>
      </c>
      <c r="AA742">
        <f t="shared" si="40"/>
        <v>145792.67261731709</v>
      </c>
    </row>
    <row r="743" spans="25:27" x14ac:dyDescent="0.3">
      <c r="Y743">
        <f t="shared" si="38"/>
        <v>3100</v>
      </c>
      <c r="Z743" s="20">
        <f t="shared" si="39"/>
        <v>131.41568054957943</v>
      </c>
      <c r="AA743">
        <f t="shared" si="40"/>
        <v>145924.08829786666</v>
      </c>
    </row>
    <row r="744" spans="25:27" x14ac:dyDescent="0.3">
      <c r="Y744">
        <f t="shared" si="38"/>
        <v>3102</v>
      </c>
      <c r="Z744" s="20">
        <f t="shared" si="39"/>
        <v>131.24232629023618</v>
      </c>
      <c r="AA744">
        <f t="shared" si="40"/>
        <v>146055.33062415689</v>
      </c>
    </row>
    <row r="745" spans="25:27" x14ac:dyDescent="0.3">
      <c r="Y745">
        <f t="shared" si="38"/>
        <v>3104</v>
      </c>
      <c r="Z745" s="20">
        <f t="shared" si="39"/>
        <v>131.0692007075555</v>
      </c>
      <c r="AA745">
        <f t="shared" si="40"/>
        <v>146186.39982486443</v>
      </c>
    </row>
    <row r="746" spans="25:27" x14ac:dyDescent="0.3">
      <c r="Y746">
        <f t="shared" si="38"/>
        <v>3106</v>
      </c>
      <c r="Z746" s="20">
        <f t="shared" si="39"/>
        <v>130.89630349988323</v>
      </c>
      <c r="AA746">
        <f t="shared" si="40"/>
        <v>146317.29612836431</v>
      </c>
    </row>
    <row r="747" spans="25:27" x14ac:dyDescent="0.3">
      <c r="Y747">
        <f t="shared" si="38"/>
        <v>3108</v>
      </c>
      <c r="Z747" s="20">
        <f t="shared" si="39"/>
        <v>130.72363436596336</v>
      </c>
      <c r="AA747">
        <f t="shared" si="40"/>
        <v>146448.01976273028</v>
      </c>
    </row>
    <row r="748" spans="25:27" x14ac:dyDescent="0.3">
      <c r="Y748">
        <f t="shared" si="38"/>
        <v>3110</v>
      </c>
      <c r="Z748" s="20">
        <f t="shared" si="39"/>
        <v>130.55119300493701</v>
      </c>
      <c r="AA748">
        <f t="shared" si="40"/>
        <v>146578.57095573522</v>
      </c>
    </row>
    <row r="749" spans="25:27" x14ac:dyDescent="0.3">
      <c r="Y749">
        <f t="shared" si="38"/>
        <v>3112</v>
      </c>
      <c r="Z749" s="20">
        <f t="shared" si="39"/>
        <v>130.37897911634241</v>
      </c>
      <c r="AA749">
        <f t="shared" si="40"/>
        <v>146708.94993485155</v>
      </c>
    </row>
    <row r="750" spans="25:27" x14ac:dyDescent="0.3">
      <c r="Y750">
        <f t="shared" si="38"/>
        <v>3114</v>
      </c>
      <c r="Z750" s="20">
        <f t="shared" si="39"/>
        <v>130.20699240011405</v>
      </c>
      <c r="AA750">
        <f t="shared" si="40"/>
        <v>146839.15692725166</v>
      </c>
    </row>
    <row r="751" spans="25:27" x14ac:dyDescent="0.3">
      <c r="Y751">
        <f t="shared" si="38"/>
        <v>3116</v>
      </c>
      <c r="Z751" s="20">
        <f t="shared" si="39"/>
        <v>130.03523255658214</v>
      </c>
      <c r="AA751">
        <f t="shared" si="40"/>
        <v>146969.19215980824</v>
      </c>
    </row>
    <row r="752" spans="25:27" x14ac:dyDescent="0.3">
      <c r="Y752">
        <f t="shared" si="38"/>
        <v>3118</v>
      </c>
      <c r="Z752" s="20">
        <f t="shared" si="39"/>
        <v>129.86369928647238</v>
      </c>
      <c r="AA752">
        <f t="shared" si="40"/>
        <v>147099.05585909472</v>
      </c>
    </row>
    <row r="753" spans="25:27" x14ac:dyDescent="0.3">
      <c r="Y753">
        <f t="shared" si="38"/>
        <v>3120</v>
      </c>
      <c r="Z753" s="20">
        <f t="shared" si="39"/>
        <v>129.69239229090505</v>
      </c>
      <c r="AA753">
        <f t="shared" si="40"/>
        <v>147228.74825138564</v>
      </c>
    </row>
    <row r="754" spans="25:27" x14ac:dyDescent="0.3">
      <c r="Y754">
        <f t="shared" si="38"/>
        <v>3122</v>
      </c>
      <c r="Z754" s="20">
        <f t="shared" si="39"/>
        <v>129.52131127139492</v>
      </c>
      <c r="AA754">
        <f t="shared" si="40"/>
        <v>147358.26956265702</v>
      </c>
    </row>
    <row r="755" spans="25:27" x14ac:dyDescent="0.3">
      <c r="Y755">
        <f t="shared" si="38"/>
        <v>3124</v>
      </c>
      <c r="Z755" s="20">
        <f t="shared" si="39"/>
        <v>129.35045592985028</v>
      </c>
      <c r="AA755">
        <f t="shared" si="40"/>
        <v>147487.62001858687</v>
      </c>
    </row>
    <row r="756" spans="25:27" x14ac:dyDescent="0.3">
      <c r="Y756">
        <f t="shared" si="38"/>
        <v>3126</v>
      </c>
      <c r="Z756" s="20">
        <f t="shared" si="39"/>
        <v>129.1798259685728</v>
      </c>
      <c r="AA756">
        <f t="shared" si="40"/>
        <v>147616.79984455544</v>
      </c>
    </row>
    <row r="757" spans="25:27" x14ac:dyDescent="0.3">
      <c r="Y757">
        <f t="shared" si="38"/>
        <v>3128</v>
      </c>
      <c r="Z757" s="20">
        <f t="shared" si="39"/>
        <v>129.00942109025675</v>
      </c>
      <c r="AA757">
        <f t="shared" si="40"/>
        <v>147745.80926564569</v>
      </c>
    </row>
    <row r="758" spans="25:27" x14ac:dyDescent="0.3">
      <c r="Y758">
        <f t="shared" si="38"/>
        <v>3130</v>
      </c>
      <c r="Z758" s="20">
        <f t="shared" si="39"/>
        <v>128.83924099798867</v>
      </c>
      <c r="AA758">
        <f t="shared" si="40"/>
        <v>147874.64850664369</v>
      </c>
    </row>
    <row r="759" spans="25:27" x14ac:dyDescent="0.3">
      <c r="Y759">
        <f t="shared" si="38"/>
        <v>3132</v>
      </c>
      <c r="Z759" s="20">
        <f t="shared" si="39"/>
        <v>128.66928539524667</v>
      </c>
      <c r="AA759">
        <f t="shared" si="40"/>
        <v>148003.31779203893</v>
      </c>
    </row>
    <row r="760" spans="25:27" x14ac:dyDescent="0.3">
      <c r="Y760">
        <f t="shared" si="38"/>
        <v>3134</v>
      </c>
      <c r="Z760" s="20">
        <f t="shared" si="39"/>
        <v>128.49955398590015</v>
      </c>
      <c r="AA760">
        <f t="shared" si="40"/>
        <v>148131.81734602482</v>
      </c>
    </row>
    <row r="761" spans="25:27" x14ac:dyDescent="0.3">
      <c r="Y761">
        <f t="shared" si="38"/>
        <v>3136</v>
      </c>
      <c r="Z761" s="20">
        <f t="shared" si="39"/>
        <v>128.33004647420896</v>
      </c>
      <c r="AA761">
        <f t="shared" si="40"/>
        <v>148260.14739249903</v>
      </c>
    </row>
    <row r="762" spans="25:27" x14ac:dyDescent="0.3">
      <c r="Y762">
        <f t="shared" si="38"/>
        <v>3138</v>
      </c>
      <c r="Z762" s="20">
        <f t="shared" si="39"/>
        <v>128.16076256482324</v>
      </c>
      <c r="AA762">
        <f t="shared" si="40"/>
        <v>148388.30815506386</v>
      </c>
    </row>
    <row r="763" spans="25:27" x14ac:dyDescent="0.3">
      <c r="Y763">
        <f t="shared" si="38"/>
        <v>3140</v>
      </c>
      <c r="Z763" s="20">
        <f t="shared" si="39"/>
        <v>127.99170196278259</v>
      </c>
      <c r="AA763">
        <f t="shared" si="40"/>
        <v>148516.29985702664</v>
      </c>
    </row>
    <row r="764" spans="25:27" x14ac:dyDescent="0.3">
      <c r="Y764">
        <f t="shared" si="38"/>
        <v>3142</v>
      </c>
      <c r="Z764" s="20">
        <f t="shared" si="39"/>
        <v>127.82286437351587</v>
      </c>
      <c r="AA764">
        <f t="shared" si="40"/>
        <v>148644.12272140014</v>
      </c>
    </row>
    <row r="765" spans="25:27" x14ac:dyDescent="0.3">
      <c r="Y765">
        <f t="shared" si="38"/>
        <v>3144</v>
      </c>
      <c r="Z765" s="20">
        <f t="shared" si="39"/>
        <v>127.65424950284034</v>
      </c>
      <c r="AA765">
        <f t="shared" si="40"/>
        <v>148771.77697090298</v>
      </c>
    </row>
    <row r="766" spans="25:27" x14ac:dyDescent="0.3">
      <c r="Y766">
        <f t="shared" ref="Y766:Y829" si="41">Y765+2</f>
        <v>3146</v>
      </c>
      <c r="Z766" s="20">
        <f t="shared" si="39"/>
        <v>127.48585705696144</v>
      </c>
      <c r="AA766">
        <f t="shared" si="40"/>
        <v>148899.26282795993</v>
      </c>
    </row>
    <row r="767" spans="25:27" x14ac:dyDescent="0.3">
      <c r="Y767">
        <f t="shared" si="41"/>
        <v>3148</v>
      </c>
      <c r="Z767" s="20">
        <f t="shared" si="39"/>
        <v>127.31768674247215</v>
      </c>
      <c r="AA767">
        <f t="shared" si="40"/>
        <v>149026.58051470239</v>
      </c>
    </row>
    <row r="768" spans="25:27" x14ac:dyDescent="0.3">
      <c r="Y768">
        <f t="shared" si="41"/>
        <v>3150</v>
      </c>
      <c r="Z768" s="20">
        <f t="shared" si="39"/>
        <v>127.14973826635241</v>
      </c>
      <c r="AA768">
        <f t="shared" si="40"/>
        <v>149153.73025296876</v>
      </c>
    </row>
    <row r="769" spans="25:27" x14ac:dyDescent="0.3">
      <c r="Y769">
        <f t="shared" si="41"/>
        <v>3152</v>
      </c>
      <c r="Z769" s="20">
        <f t="shared" si="39"/>
        <v>126.98201133596886</v>
      </c>
      <c r="AA769">
        <f t="shared" si="40"/>
        <v>149280.71226430472</v>
      </c>
    </row>
    <row r="770" spans="25:27" x14ac:dyDescent="0.3">
      <c r="Y770">
        <f t="shared" si="41"/>
        <v>3154</v>
      </c>
      <c r="Z770" s="20">
        <f t="shared" si="39"/>
        <v>126.81450565907394</v>
      </c>
      <c r="AA770">
        <f t="shared" si="40"/>
        <v>149407.52676996379</v>
      </c>
    </row>
    <row r="771" spans="25:27" x14ac:dyDescent="0.3">
      <c r="Y771">
        <f t="shared" si="41"/>
        <v>3156</v>
      </c>
      <c r="Z771" s="20">
        <f t="shared" si="39"/>
        <v>126.64722094380581</v>
      </c>
      <c r="AA771">
        <f t="shared" si="40"/>
        <v>149534.17399090758</v>
      </c>
    </row>
    <row r="772" spans="25:27" x14ac:dyDescent="0.3">
      <c r="Y772">
        <f t="shared" si="41"/>
        <v>3158</v>
      </c>
      <c r="Z772" s="20">
        <f t="shared" ref="Z772:Z835" si="42">1016.74887*EXP(-0.00066*Y772)</f>
        <v>126.48015689868743</v>
      </c>
      <c r="AA772">
        <f t="shared" si="40"/>
        <v>149660.65414780626</v>
      </c>
    </row>
    <row r="773" spans="25:27" x14ac:dyDescent="0.3">
      <c r="Y773">
        <f t="shared" si="41"/>
        <v>3160</v>
      </c>
      <c r="Z773" s="20">
        <f t="shared" si="42"/>
        <v>126.3133132326265</v>
      </c>
      <c r="AA773">
        <f t="shared" ref="AA773:AA836" si="43">AA772+Z773</f>
        <v>149786.96746103888</v>
      </c>
    </row>
    <row r="774" spans="25:27" x14ac:dyDescent="0.3">
      <c r="Y774">
        <f t="shared" si="41"/>
        <v>3162</v>
      </c>
      <c r="Z774" s="20">
        <f t="shared" si="42"/>
        <v>126.14668965491444</v>
      </c>
      <c r="AA774">
        <f t="shared" si="43"/>
        <v>149913.11415069379</v>
      </c>
    </row>
    <row r="775" spans="25:27" x14ac:dyDescent="0.3">
      <c r="Y775">
        <f t="shared" si="41"/>
        <v>3164</v>
      </c>
      <c r="Z775" s="20">
        <f t="shared" si="42"/>
        <v>125.9802858752264</v>
      </c>
      <c r="AA775">
        <f t="shared" si="43"/>
        <v>150039.09443656902</v>
      </c>
    </row>
    <row r="776" spans="25:27" x14ac:dyDescent="0.3">
      <c r="Y776">
        <f t="shared" si="41"/>
        <v>3166</v>
      </c>
      <c r="Z776" s="20">
        <f t="shared" si="42"/>
        <v>125.81410160362029</v>
      </c>
      <c r="AA776">
        <f t="shared" si="43"/>
        <v>150164.90853817263</v>
      </c>
    </row>
    <row r="777" spans="25:27" x14ac:dyDescent="0.3">
      <c r="Y777">
        <f t="shared" si="41"/>
        <v>3168</v>
      </c>
      <c r="Z777" s="20">
        <f t="shared" si="42"/>
        <v>125.64813655053671</v>
      </c>
      <c r="AA777">
        <f t="shared" si="43"/>
        <v>150290.55667472316</v>
      </c>
    </row>
    <row r="778" spans="25:27" x14ac:dyDescent="0.3">
      <c r="Y778">
        <f t="shared" si="41"/>
        <v>3170</v>
      </c>
      <c r="Z778" s="20">
        <f t="shared" si="42"/>
        <v>125.48239042679798</v>
      </c>
      <c r="AA778">
        <f t="shared" si="43"/>
        <v>150416.03906514996</v>
      </c>
    </row>
    <row r="779" spans="25:27" x14ac:dyDescent="0.3">
      <c r="Y779">
        <f t="shared" si="41"/>
        <v>3172</v>
      </c>
      <c r="Z779" s="20">
        <f t="shared" si="42"/>
        <v>125.31686294360811</v>
      </c>
      <c r="AA779">
        <f t="shared" si="43"/>
        <v>150541.35592809357</v>
      </c>
    </row>
    <row r="780" spans="25:27" x14ac:dyDescent="0.3">
      <c r="Y780">
        <f t="shared" si="41"/>
        <v>3174</v>
      </c>
      <c r="Z780" s="20">
        <f t="shared" si="42"/>
        <v>125.15155381255192</v>
      </c>
      <c r="AA780">
        <f t="shared" si="43"/>
        <v>150666.50748190613</v>
      </c>
    </row>
    <row r="781" spans="25:27" x14ac:dyDescent="0.3">
      <c r="Y781">
        <f t="shared" si="41"/>
        <v>3176</v>
      </c>
      <c r="Z781" s="20">
        <f t="shared" si="42"/>
        <v>124.98646274559479</v>
      </c>
      <c r="AA781">
        <f t="shared" si="43"/>
        <v>150791.49394465171</v>
      </c>
    </row>
    <row r="782" spans="25:27" x14ac:dyDescent="0.3">
      <c r="Y782">
        <f t="shared" si="41"/>
        <v>3178</v>
      </c>
      <c r="Z782" s="20">
        <f t="shared" si="42"/>
        <v>124.82158945508192</v>
      </c>
      <c r="AA782">
        <f t="shared" si="43"/>
        <v>150916.3155341068</v>
      </c>
    </row>
    <row r="783" spans="25:27" x14ac:dyDescent="0.3">
      <c r="Y783">
        <f t="shared" si="41"/>
        <v>3180</v>
      </c>
      <c r="Z783" s="20">
        <f t="shared" si="42"/>
        <v>124.65693365373814</v>
      </c>
      <c r="AA783">
        <f t="shared" si="43"/>
        <v>151040.97246776056</v>
      </c>
    </row>
    <row r="784" spans="25:27" x14ac:dyDescent="0.3">
      <c r="Y784">
        <f t="shared" si="41"/>
        <v>3182</v>
      </c>
      <c r="Z784" s="20">
        <f t="shared" si="42"/>
        <v>124.49249505466706</v>
      </c>
      <c r="AA784">
        <f t="shared" si="43"/>
        <v>151165.46496281523</v>
      </c>
    </row>
    <row r="785" spans="25:27" x14ac:dyDescent="0.3">
      <c r="Y785">
        <f t="shared" si="41"/>
        <v>3184</v>
      </c>
      <c r="Z785" s="20">
        <f t="shared" si="42"/>
        <v>124.32827337135083</v>
      </c>
      <c r="AA785">
        <f t="shared" si="43"/>
        <v>151289.79323618658</v>
      </c>
    </row>
    <row r="786" spans="25:27" x14ac:dyDescent="0.3">
      <c r="Y786">
        <f t="shared" si="41"/>
        <v>3186</v>
      </c>
      <c r="Z786" s="20">
        <f t="shared" si="42"/>
        <v>124.16426831764966</v>
      </c>
      <c r="AA786">
        <f t="shared" si="43"/>
        <v>151413.95750450424</v>
      </c>
    </row>
    <row r="787" spans="25:27" x14ac:dyDescent="0.3">
      <c r="Y787">
        <f t="shared" si="41"/>
        <v>3188</v>
      </c>
      <c r="Z787" s="20">
        <f t="shared" si="42"/>
        <v>124.00047960780097</v>
      </c>
      <c r="AA787">
        <f t="shared" si="43"/>
        <v>151537.95798411206</v>
      </c>
    </row>
    <row r="788" spans="25:27" x14ac:dyDescent="0.3">
      <c r="Y788">
        <f t="shared" si="41"/>
        <v>3190</v>
      </c>
      <c r="Z788" s="20">
        <f t="shared" si="42"/>
        <v>123.83690695641936</v>
      </c>
      <c r="AA788">
        <f t="shared" si="43"/>
        <v>151661.79489106848</v>
      </c>
    </row>
    <row r="789" spans="25:27" x14ac:dyDescent="0.3">
      <c r="Y789">
        <f t="shared" si="41"/>
        <v>3192</v>
      </c>
      <c r="Z789" s="20">
        <f t="shared" si="42"/>
        <v>123.67355007849569</v>
      </c>
      <c r="AA789">
        <f t="shared" si="43"/>
        <v>151785.46844114698</v>
      </c>
    </row>
    <row r="790" spans="25:27" x14ac:dyDescent="0.3">
      <c r="Y790">
        <f t="shared" si="41"/>
        <v>3194</v>
      </c>
      <c r="Z790" s="20">
        <f t="shared" si="42"/>
        <v>123.51040868939704</v>
      </c>
      <c r="AA790">
        <f t="shared" si="43"/>
        <v>151908.97884983636</v>
      </c>
    </row>
    <row r="791" spans="25:27" x14ac:dyDescent="0.3">
      <c r="Y791">
        <f t="shared" si="41"/>
        <v>3196</v>
      </c>
      <c r="Z791" s="20">
        <f t="shared" si="42"/>
        <v>123.3474825048657</v>
      </c>
      <c r="AA791">
        <f t="shared" si="43"/>
        <v>152032.32633234124</v>
      </c>
    </row>
    <row r="792" spans="25:27" x14ac:dyDescent="0.3">
      <c r="Y792">
        <f t="shared" si="41"/>
        <v>3198</v>
      </c>
      <c r="Z792" s="20">
        <f t="shared" si="42"/>
        <v>123.18477124101912</v>
      </c>
      <c r="AA792">
        <f t="shared" si="43"/>
        <v>152155.51110358225</v>
      </c>
    </row>
    <row r="793" spans="25:27" x14ac:dyDescent="0.3">
      <c r="Y793">
        <f t="shared" si="41"/>
        <v>3200</v>
      </c>
      <c r="Z793" s="20">
        <f t="shared" si="42"/>
        <v>123.02227461434904</v>
      </c>
      <c r="AA793">
        <f t="shared" si="43"/>
        <v>152278.53337819659</v>
      </c>
    </row>
    <row r="794" spans="25:27" x14ac:dyDescent="0.3">
      <c r="Y794">
        <f t="shared" si="41"/>
        <v>3202</v>
      </c>
      <c r="Z794" s="20">
        <f t="shared" si="42"/>
        <v>122.85999234172147</v>
      </c>
      <c r="AA794">
        <f t="shared" si="43"/>
        <v>152401.39337053831</v>
      </c>
    </row>
    <row r="795" spans="25:27" x14ac:dyDescent="0.3">
      <c r="Y795">
        <f t="shared" si="41"/>
        <v>3204</v>
      </c>
      <c r="Z795" s="20">
        <f t="shared" si="42"/>
        <v>122.69792414037556</v>
      </c>
      <c r="AA795">
        <f t="shared" si="43"/>
        <v>152524.09129467868</v>
      </c>
    </row>
    <row r="796" spans="25:27" x14ac:dyDescent="0.3">
      <c r="Y796">
        <f t="shared" si="41"/>
        <v>3206</v>
      </c>
      <c r="Z796" s="20">
        <f t="shared" si="42"/>
        <v>122.53606972792377</v>
      </c>
      <c r="AA796">
        <f t="shared" si="43"/>
        <v>152646.6273644066</v>
      </c>
    </row>
    <row r="797" spans="25:27" x14ac:dyDescent="0.3">
      <c r="Y797">
        <f t="shared" si="41"/>
        <v>3208</v>
      </c>
      <c r="Z797" s="20">
        <f t="shared" si="42"/>
        <v>122.37442882235082</v>
      </c>
      <c r="AA797">
        <f t="shared" si="43"/>
        <v>152769.00179322893</v>
      </c>
    </row>
    <row r="798" spans="25:27" x14ac:dyDescent="0.3">
      <c r="Y798">
        <f t="shared" si="41"/>
        <v>3210</v>
      </c>
      <c r="Z798" s="20">
        <f t="shared" si="42"/>
        <v>122.21300114201367</v>
      </c>
      <c r="AA798">
        <f t="shared" si="43"/>
        <v>152891.21479437096</v>
      </c>
    </row>
    <row r="799" spans="25:27" x14ac:dyDescent="0.3">
      <c r="Y799">
        <f t="shared" si="41"/>
        <v>3212</v>
      </c>
      <c r="Z799" s="20">
        <f t="shared" si="42"/>
        <v>122.05178640564057</v>
      </c>
      <c r="AA799">
        <f t="shared" si="43"/>
        <v>153013.2665807766</v>
      </c>
    </row>
    <row r="800" spans="25:27" x14ac:dyDescent="0.3">
      <c r="Y800">
        <f t="shared" si="41"/>
        <v>3214</v>
      </c>
      <c r="Z800" s="20">
        <f t="shared" si="42"/>
        <v>121.89078433233104</v>
      </c>
      <c r="AA800">
        <f t="shared" si="43"/>
        <v>153135.15736510893</v>
      </c>
    </row>
    <row r="801" spans="25:27" x14ac:dyDescent="0.3">
      <c r="Y801">
        <f t="shared" si="41"/>
        <v>3216</v>
      </c>
      <c r="Z801" s="20">
        <f t="shared" si="42"/>
        <v>121.72999464155491</v>
      </c>
      <c r="AA801">
        <f t="shared" si="43"/>
        <v>153256.88735975049</v>
      </c>
    </row>
    <row r="802" spans="25:27" x14ac:dyDescent="0.3">
      <c r="Y802">
        <f t="shared" si="41"/>
        <v>3218</v>
      </c>
      <c r="Z802" s="20">
        <f t="shared" si="42"/>
        <v>121.56941705315229</v>
      </c>
      <c r="AA802">
        <f t="shared" si="43"/>
        <v>153378.45677680365</v>
      </c>
    </row>
    <row r="803" spans="25:27" x14ac:dyDescent="0.3">
      <c r="Y803">
        <f t="shared" si="41"/>
        <v>3220</v>
      </c>
      <c r="Z803" s="20">
        <f t="shared" si="42"/>
        <v>121.40905128733266</v>
      </c>
      <c r="AA803">
        <f t="shared" si="43"/>
        <v>153499.86582809099</v>
      </c>
    </row>
    <row r="804" spans="25:27" x14ac:dyDescent="0.3">
      <c r="Y804">
        <f t="shared" si="41"/>
        <v>3222</v>
      </c>
      <c r="Z804" s="20">
        <f t="shared" si="42"/>
        <v>121.24889706467469</v>
      </c>
      <c r="AA804">
        <f t="shared" si="43"/>
        <v>153621.11472515567</v>
      </c>
    </row>
    <row r="805" spans="25:27" x14ac:dyDescent="0.3">
      <c r="Y805">
        <f t="shared" si="41"/>
        <v>3224</v>
      </c>
      <c r="Z805" s="20">
        <f t="shared" si="42"/>
        <v>121.08895410612571</v>
      </c>
      <c r="AA805">
        <f t="shared" si="43"/>
        <v>153742.20367926179</v>
      </c>
    </row>
    <row r="806" spans="25:27" x14ac:dyDescent="0.3">
      <c r="Y806">
        <f t="shared" si="41"/>
        <v>3226</v>
      </c>
      <c r="Z806" s="20">
        <f t="shared" si="42"/>
        <v>120.92922213300095</v>
      </c>
      <c r="AA806">
        <f t="shared" si="43"/>
        <v>153863.1329013948</v>
      </c>
    </row>
    <row r="807" spans="25:27" x14ac:dyDescent="0.3">
      <c r="Y807">
        <f t="shared" si="41"/>
        <v>3228</v>
      </c>
      <c r="Z807" s="20">
        <f t="shared" si="42"/>
        <v>120.76970086698347</v>
      </c>
      <c r="AA807">
        <f t="shared" si="43"/>
        <v>153983.90260226178</v>
      </c>
    </row>
    <row r="808" spans="25:27" x14ac:dyDescent="0.3">
      <c r="Y808">
        <f t="shared" si="41"/>
        <v>3230</v>
      </c>
      <c r="Z808" s="20">
        <f t="shared" si="42"/>
        <v>120.6103900301233</v>
      </c>
      <c r="AA808">
        <f t="shared" si="43"/>
        <v>154104.51299229189</v>
      </c>
    </row>
    <row r="809" spans="25:27" x14ac:dyDescent="0.3">
      <c r="Y809">
        <f t="shared" si="41"/>
        <v>3232</v>
      </c>
      <c r="Z809" s="20">
        <f t="shared" si="42"/>
        <v>120.45128934483726</v>
      </c>
      <c r="AA809">
        <f t="shared" si="43"/>
        <v>154224.96428163673</v>
      </c>
    </row>
    <row r="810" spans="25:27" x14ac:dyDescent="0.3">
      <c r="Y810">
        <f t="shared" si="41"/>
        <v>3234</v>
      </c>
      <c r="Z810" s="20">
        <f t="shared" si="42"/>
        <v>120.29239853390821</v>
      </c>
      <c r="AA810">
        <f t="shared" si="43"/>
        <v>154345.25668017063</v>
      </c>
    </row>
    <row r="811" spans="25:27" x14ac:dyDescent="0.3">
      <c r="Y811">
        <f t="shared" si="41"/>
        <v>3236</v>
      </c>
      <c r="Z811" s="20">
        <f t="shared" si="42"/>
        <v>120.13371732048485</v>
      </c>
      <c r="AA811">
        <f t="shared" si="43"/>
        <v>154465.39039749111</v>
      </c>
    </row>
    <row r="812" spans="25:27" x14ac:dyDescent="0.3">
      <c r="Y812">
        <f t="shared" si="41"/>
        <v>3238</v>
      </c>
      <c r="Z812" s="20">
        <f t="shared" si="42"/>
        <v>119.97524542808088</v>
      </c>
      <c r="AA812">
        <f t="shared" si="43"/>
        <v>154585.36564291918</v>
      </c>
    </row>
    <row r="813" spans="25:27" x14ac:dyDescent="0.3">
      <c r="Y813">
        <f t="shared" si="41"/>
        <v>3240</v>
      </c>
      <c r="Z813" s="20">
        <f t="shared" si="42"/>
        <v>119.81698258057497</v>
      </c>
      <c r="AA813">
        <f t="shared" si="43"/>
        <v>154705.18262549976</v>
      </c>
    </row>
    <row r="814" spans="25:27" x14ac:dyDescent="0.3">
      <c r="Y814">
        <f t="shared" si="41"/>
        <v>3242</v>
      </c>
      <c r="Z814" s="20">
        <f t="shared" si="42"/>
        <v>119.65892850220976</v>
      </c>
      <c r="AA814">
        <f t="shared" si="43"/>
        <v>154824.84155400196</v>
      </c>
    </row>
    <row r="815" spans="25:27" x14ac:dyDescent="0.3">
      <c r="Y815">
        <f t="shared" si="41"/>
        <v>3244</v>
      </c>
      <c r="Z815" s="20">
        <f t="shared" si="42"/>
        <v>119.5010829175919</v>
      </c>
      <c r="AA815">
        <f t="shared" si="43"/>
        <v>154944.34263691955</v>
      </c>
    </row>
    <row r="816" spans="25:27" x14ac:dyDescent="0.3">
      <c r="Y816">
        <f t="shared" si="41"/>
        <v>3246</v>
      </c>
      <c r="Z816" s="20">
        <f t="shared" si="42"/>
        <v>119.34344555169109</v>
      </c>
      <c r="AA816">
        <f t="shared" si="43"/>
        <v>155063.68608247125</v>
      </c>
    </row>
    <row r="817" spans="25:27" x14ac:dyDescent="0.3">
      <c r="Y817">
        <f t="shared" si="41"/>
        <v>3248</v>
      </c>
      <c r="Z817" s="20">
        <f t="shared" si="42"/>
        <v>119.18601612984006</v>
      </c>
      <c r="AA817">
        <f t="shared" si="43"/>
        <v>155182.8720986011</v>
      </c>
    </row>
    <row r="818" spans="25:27" x14ac:dyDescent="0.3">
      <c r="Y818">
        <f t="shared" si="41"/>
        <v>3250</v>
      </c>
      <c r="Z818" s="20">
        <f t="shared" si="42"/>
        <v>119.02879437773363</v>
      </c>
      <c r="AA818">
        <f t="shared" si="43"/>
        <v>155301.90089297883</v>
      </c>
    </row>
    <row r="819" spans="25:27" x14ac:dyDescent="0.3">
      <c r="Y819">
        <f t="shared" si="41"/>
        <v>3252</v>
      </c>
      <c r="Z819" s="20">
        <f t="shared" si="42"/>
        <v>118.87178002142869</v>
      </c>
      <c r="AA819">
        <f t="shared" si="43"/>
        <v>155420.77267300026</v>
      </c>
    </row>
    <row r="820" spans="25:27" x14ac:dyDescent="0.3">
      <c r="Y820">
        <f t="shared" si="41"/>
        <v>3254</v>
      </c>
      <c r="Z820" s="20">
        <f t="shared" si="42"/>
        <v>118.7149727873433</v>
      </c>
      <c r="AA820">
        <f t="shared" si="43"/>
        <v>155539.48764578759</v>
      </c>
    </row>
    <row r="821" spans="25:27" x14ac:dyDescent="0.3">
      <c r="Y821">
        <f t="shared" si="41"/>
        <v>3256</v>
      </c>
      <c r="Z821" s="20">
        <f t="shared" si="42"/>
        <v>118.55837240225651</v>
      </c>
      <c r="AA821">
        <f t="shared" si="43"/>
        <v>155658.04601818984</v>
      </c>
    </row>
    <row r="822" spans="25:27" x14ac:dyDescent="0.3">
      <c r="Y822">
        <f t="shared" si="41"/>
        <v>3258</v>
      </c>
      <c r="Z822" s="20">
        <f t="shared" si="42"/>
        <v>118.40197859330785</v>
      </c>
      <c r="AA822">
        <f t="shared" si="43"/>
        <v>155776.44799678316</v>
      </c>
    </row>
    <row r="823" spans="25:27" x14ac:dyDescent="0.3">
      <c r="Y823">
        <f t="shared" si="41"/>
        <v>3260</v>
      </c>
      <c r="Z823" s="20">
        <f t="shared" si="42"/>
        <v>118.24579108799658</v>
      </c>
      <c r="AA823">
        <f t="shared" si="43"/>
        <v>155894.69378787116</v>
      </c>
    </row>
    <row r="824" spans="25:27" x14ac:dyDescent="0.3">
      <c r="Y824">
        <f t="shared" si="41"/>
        <v>3262</v>
      </c>
      <c r="Z824" s="20">
        <f t="shared" si="42"/>
        <v>118.08980961418168</v>
      </c>
      <c r="AA824">
        <f t="shared" si="43"/>
        <v>156012.78359748534</v>
      </c>
    </row>
    <row r="825" spans="25:27" x14ac:dyDescent="0.3">
      <c r="Y825">
        <f t="shared" si="41"/>
        <v>3264</v>
      </c>
      <c r="Z825" s="20">
        <f t="shared" si="42"/>
        <v>117.93403390008088</v>
      </c>
      <c r="AA825">
        <f t="shared" si="43"/>
        <v>156130.71763138543</v>
      </c>
    </row>
    <row r="826" spans="25:27" x14ac:dyDescent="0.3">
      <c r="Y826">
        <f t="shared" si="41"/>
        <v>3266</v>
      </c>
      <c r="Z826" s="20">
        <f t="shared" si="42"/>
        <v>117.77846367427063</v>
      </c>
      <c r="AA826">
        <f t="shared" si="43"/>
        <v>156248.4960950597</v>
      </c>
    </row>
    <row r="827" spans="25:27" x14ac:dyDescent="0.3">
      <c r="Y827">
        <f t="shared" si="41"/>
        <v>3268</v>
      </c>
      <c r="Z827" s="20">
        <f t="shared" si="42"/>
        <v>117.62309866568522</v>
      </c>
      <c r="AA827">
        <f t="shared" si="43"/>
        <v>156366.11919372538</v>
      </c>
    </row>
    <row r="828" spans="25:27" x14ac:dyDescent="0.3">
      <c r="Y828">
        <f t="shared" si="41"/>
        <v>3270</v>
      </c>
      <c r="Z828" s="20">
        <f t="shared" si="42"/>
        <v>117.46793860361676</v>
      </c>
      <c r="AA828">
        <f t="shared" si="43"/>
        <v>156483.587132329</v>
      </c>
    </row>
    <row r="829" spans="25:27" x14ac:dyDescent="0.3">
      <c r="Y829">
        <f t="shared" si="41"/>
        <v>3272</v>
      </c>
      <c r="Z829" s="20">
        <f t="shared" si="42"/>
        <v>117.31298321771418</v>
      </c>
      <c r="AA829">
        <f t="shared" si="43"/>
        <v>156600.90011554671</v>
      </c>
    </row>
    <row r="830" spans="25:27" x14ac:dyDescent="0.3">
      <c r="Y830">
        <f t="shared" ref="Y830:Y893" si="44">Y829+2</f>
        <v>3274</v>
      </c>
      <c r="Z830" s="20">
        <f t="shared" si="42"/>
        <v>117.15823223798328</v>
      </c>
      <c r="AA830">
        <f t="shared" si="43"/>
        <v>156718.05834778468</v>
      </c>
    </row>
    <row r="831" spans="25:27" x14ac:dyDescent="0.3">
      <c r="Y831">
        <f t="shared" si="44"/>
        <v>3276</v>
      </c>
      <c r="Z831" s="20">
        <f t="shared" si="42"/>
        <v>117.00368539478583</v>
      </c>
      <c r="AA831">
        <f t="shared" si="43"/>
        <v>156835.06203317948</v>
      </c>
    </row>
    <row r="832" spans="25:27" x14ac:dyDescent="0.3">
      <c r="Y832">
        <f t="shared" si="44"/>
        <v>3278</v>
      </c>
      <c r="Z832" s="20">
        <f t="shared" si="42"/>
        <v>116.84934241883947</v>
      </c>
      <c r="AA832">
        <f t="shared" si="43"/>
        <v>156951.91137559831</v>
      </c>
    </row>
    <row r="833" spans="25:27" x14ac:dyDescent="0.3">
      <c r="Y833">
        <f t="shared" si="44"/>
        <v>3280</v>
      </c>
      <c r="Z833" s="20">
        <f t="shared" si="42"/>
        <v>116.69520304121684</v>
      </c>
      <c r="AA833">
        <f t="shared" si="43"/>
        <v>157068.60657863953</v>
      </c>
    </row>
    <row r="834" spans="25:27" x14ac:dyDescent="0.3">
      <c r="Y834">
        <f t="shared" si="44"/>
        <v>3282</v>
      </c>
      <c r="Z834" s="20">
        <f t="shared" si="42"/>
        <v>116.54126699334559</v>
      </c>
      <c r="AA834">
        <f t="shared" si="43"/>
        <v>157185.14784563289</v>
      </c>
    </row>
    <row r="835" spans="25:27" x14ac:dyDescent="0.3">
      <c r="Y835">
        <f t="shared" si="44"/>
        <v>3284</v>
      </c>
      <c r="Z835" s="20">
        <f t="shared" si="42"/>
        <v>116.38753400700735</v>
      </c>
      <c r="AA835">
        <f t="shared" si="43"/>
        <v>157301.53537963988</v>
      </c>
    </row>
    <row r="836" spans="25:27" x14ac:dyDescent="0.3">
      <c r="Y836">
        <f t="shared" si="44"/>
        <v>3286</v>
      </c>
      <c r="Z836" s="20">
        <f t="shared" ref="Z836:Z899" si="45">1016.74887*EXP(-0.00066*Y836)</f>
        <v>116.23400381433787</v>
      </c>
      <c r="AA836">
        <f t="shared" si="43"/>
        <v>157417.76938345423</v>
      </c>
    </row>
    <row r="837" spans="25:27" x14ac:dyDescent="0.3">
      <c r="Y837">
        <f t="shared" si="44"/>
        <v>3288</v>
      </c>
      <c r="Z837" s="20">
        <f t="shared" si="45"/>
        <v>116.080676147826</v>
      </c>
      <c r="AA837">
        <f t="shared" ref="AA837:AA900" si="46">AA836+Z837</f>
        <v>157533.85005960206</v>
      </c>
    </row>
    <row r="838" spans="25:27" x14ac:dyDescent="0.3">
      <c r="Y838">
        <f t="shared" si="44"/>
        <v>3290</v>
      </c>
      <c r="Z838" s="20">
        <f t="shared" si="45"/>
        <v>115.92755074031366</v>
      </c>
      <c r="AA838">
        <f t="shared" si="46"/>
        <v>157649.77761034237</v>
      </c>
    </row>
    <row r="839" spans="25:27" x14ac:dyDescent="0.3">
      <c r="Y839">
        <f t="shared" si="44"/>
        <v>3292</v>
      </c>
      <c r="Z839" s="20">
        <f t="shared" si="45"/>
        <v>115.77462732499501</v>
      </c>
      <c r="AA839">
        <f t="shared" si="46"/>
        <v>157765.55223766738</v>
      </c>
    </row>
    <row r="840" spans="25:27" x14ac:dyDescent="0.3">
      <c r="Y840">
        <f t="shared" si="44"/>
        <v>3294</v>
      </c>
      <c r="Z840" s="20">
        <f t="shared" si="45"/>
        <v>115.6219056354163</v>
      </c>
      <c r="AA840">
        <f t="shared" si="46"/>
        <v>157881.17414330278</v>
      </c>
    </row>
    <row r="841" spans="25:27" x14ac:dyDescent="0.3">
      <c r="Y841">
        <f t="shared" si="44"/>
        <v>3296</v>
      </c>
      <c r="Z841" s="20">
        <f t="shared" si="45"/>
        <v>115.46938540547528</v>
      </c>
      <c r="AA841">
        <f t="shared" si="46"/>
        <v>157996.64352870826</v>
      </c>
    </row>
    <row r="842" spans="25:27" x14ac:dyDescent="0.3">
      <c r="Y842">
        <f t="shared" si="44"/>
        <v>3298</v>
      </c>
      <c r="Z842" s="20">
        <f t="shared" si="45"/>
        <v>115.31706636942054</v>
      </c>
      <c r="AA842">
        <f t="shared" si="46"/>
        <v>158111.96059507769</v>
      </c>
    </row>
    <row r="843" spans="25:27" x14ac:dyDescent="0.3">
      <c r="Y843">
        <f t="shared" si="44"/>
        <v>3300</v>
      </c>
      <c r="Z843" s="20">
        <f t="shared" si="45"/>
        <v>115.16494826185148</v>
      </c>
      <c r="AA843">
        <f t="shared" si="46"/>
        <v>158227.12554333953</v>
      </c>
    </row>
    <row r="844" spans="25:27" x14ac:dyDescent="0.3">
      <c r="Y844">
        <f t="shared" si="44"/>
        <v>3302</v>
      </c>
      <c r="Z844" s="20">
        <f t="shared" si="45"/>
        <v>115.01303081771735</v>
      </c>
      <c r="AA844">
        <f t="shared" si="46"/>
        <v>158342.13857415723</v>
      </c>
    </row>
    <row r="845" spans="25:27" x14ac:dyDescent="0.3">
      <c r="Y845">
        <f t="shared" si="44"/>
        <v>3304</v>
      </c>
      <c r="Z845" s="20">
        <f t="shared" si="45"/>
        <v>114.86131377231727</v>
      </c>
      <c r="AA845">
        <f t="shared" si="46"/>
        <v>158456.99988792956</v>
      </c>
    </row>
    <row r="846" spans="25:27" x14ac:dyDescent="0.3">
      <c r="Y846">
        <f t="shared" si="44"/>
        <v>3306</v>
      </c>
      <c r="Z846" s="20">
        <f t="shared" si="45"/>
        <v>114.70979686129931</v>
      </c>
      <c r="AA846">
        <f t="shared" si="46"/>
        <v>158571.70968479087</v>
      </c>
    </row>
    <row r="847" spans="25:27" x14ac:dyDescent="0.3">
      <c r="Y847">
        <f t="shared" si="44"/>
        <v>3308</v>
      </c>
      <c r="Z847" s="20">
        <f t="shared" si="45"/>
        <v>114.55847982066049</v>
      </c>
      <c r="AA847">
        <f t="shared" si="46"/>
        <v>158686.26816461154</v>
      </c>
    </row>
    <row r="848" spans="25:27" x14ac:dyDescent="0.3">
      <c r="Y848">
        <f t="shared" si="44"/>
        <v>3310</v>
      </c>
      <c r="Z848" s="20">
        <f t="shared" si="45"/>
        <v>114.40736238674582</v>
      </c>
      <c r="AA848">
        <f t="shared" si="46"/>
        <v>158800.6755269983</v>
      </c>
    </row>
    <row r="849" spans="25:27" x14ac:dyDescent="0.3">
      <c r="Y849">
        <f t="shared" si="44"/>
        <v>3312</v>
      </c>
      <c r="Z849" s="20">
        <f t="shared" si="45"/>
        <v>114.25644429624838</v>
      </c>
      <c r="AA849">
        <f t="shared" si="46"/>
        <v>158914.93197129454</v>
      </c>
    </row>
    <row r="850" spans="25:27" x14ac:dyDescent="0.3">
      <c r="Y850">
        <f t="shared" si="44"/>
        <v>3314</v>
      </c>
      <c r="Z850" s="20">
        <f t="shared" si="45"/>
        <v>114.10572528620833</v>
      </c>
      <c r="AA850">
        <f t="shared" si="46"/>
        <v>159029.03769658075</v>
      </c>
    </row>
    <row r="851" spans="25:27" x14ac:dyDescent="0.3">
      <c r="Y851">
        <f t="shared" si="44"/>
        <v>3316</v>
      </c>
      <c r="Z851" s="20">
        <f t="shared" si="45"/>
        <v>113.95520509401294</v>
      </c>
      <c r="AA851">
        <f t="shared" si="46"/>
        <v>159142.99290167476</v>
      </c>
    </row>
    <row r="852" spans="25:27" x14ac:dyDescent="0.3">
      <c r="Y852">
        <f t="shared" si="44"/>
        <v>3318</v>
      </c>
      <c r="Z852" s="20">
        <f t="shared" si="45"/>
        <v>113.80488345739569</v>
      </c>
      <c r="AA852">
        <f t="shared" si="46"/>
        <v>159256.79778513216</v>
      </c>
    </row>
    <row r="853" spans="25:27" x14ac:dyDescent="0.3">
      <c r="Y853">
        <f t="shared" si="44"/>
        <v>3320</v>
      </c>
      <c r="Z853" s="20">
        <f t="shared" si="45"/>
        <v>113.65476011443621</v>
      </c>
      <c r="AA853">
        <f t="shared" si="46"/>
        <v>159370.4525452466</v>
      </c>
    </row>
    <row r="854" spans="25:27" x14ac:dyDescent="0.3">
      <c r="Y854">
        <f t="shared" si="44"/>
        <v>3322</v>
      </c>
      <c r="Z854" s="20">
        <f t="shared" si="45"/>
        <v>113.50483480355948</v>
      </c>
      <c r="AA854">
        <f t="shared" si="46"/>
        <v>159483.95738005015</v>
      </c>
    </row>
    <row r="855" spans="25:27" x14ac:dyDescent="0.3">
      <c r="Y855">
        <f t="shared" si="44"/>
        <v>3324</v>
      </c>
      <c r="Z855" s="20">
        <f t="shared" si="45"/>
        <v>113.35510726353564</v>
      </c>
      <c r="AA855">
        <f t="shared" si="46"/>
        <v>159597.3124873137</v>
      </c>
    </row>
    <row r="856" spans="25:27" x14ac:dyDescent="0.3">
      <c r="Y856">
        <f t="shared" si="44"/>
        <v>3326</v>
      </c>
      <c r="Z856" s="20">
        <f t="shared" si="45"/>
        <v>113.20557723347936</v>
      </c>
      <c r="AA856">
        <f t="shared" si="46"/>
        <v>159710.51806454718</v>
      </c>
    </row>
    <row r="857" spans="25:27" x14ac:dyDescent="0.3">
      <c r="Y857">
        <f t="shared" si="44"/>
        <v>3328</v>
      </c>
      <c r="Z857" s="20">
        <f t="shared" si="45"/>
        <v>113.05624445284947</v>
      </c>
      <c r="AA857">
        <f t="shared" si="46"/>
        <v>159823.57430900005</v>
      </c>
    </row>
    <row r="858" spans="25:27" x14ac:dyDescent="0.3">
      <c r="Y858">
        <f t="shared" si="44"/>
        <v>3330</v>
      </c>
      <c r="Z858" s="20">
        <f t="shared" si="45"/>
        <v>112.90710866144859</v>
      </c>
      <c r="AA858">
        <f t="shared" si="46"/>
        <v>159936.4814176615</v>
      </c>
    </row>
    <row r="859" spans="25:27" x14ac:dyDescent="0.3">
      <c r="Y859">
        <f t="shared" si="44"/>
        <v>3332</v>
      </c>
      <c r="Z859" s="20">
        <f t="shared" si="45"/>
        <v>112.75816959942233</v>
      </c>
      <c r="AA859">
        <f t="shared" si="46"/>
        <v>160049.23958726093</v>
      </c>
    </row>
    <row r="860" spans="25:27" x14ac:dyDescent="0.3">
      <c r="Y860">
        <f t="shared" si="44"/>
        <v>3334</v>
      </c>
      <c r="Z860" s="20">
        <f t="shared" si="45"/>
        <v>112.60942700725938</v>
      </c>
      <c r="AA860">
        <f t="shared" si="46"/>
        <v>160161.8490142682</v>
      </c>
    </row>
    <row r="861" spans="25:27" x14ac:dyDescent="0.3">
      <c r="Y861">
        <f t="shared" si="44"/>
        <v>3336</v>
      </c>
      <c r="Z861" s="20">
        <f t="shared" si="45"/>
        <v>112.46088062579047</v>
      </c>
      <c r="AA861">
        <f t="shared" si="46"/>
        <v>160274.30989489399</v>
      </c>
    </row>
    <row r="862" spans="25:27" x14ac:dyDescent="0.3">
      <c r="Y862">
        <f t="shared" si="44"/>
        <v>3338</v>
      </c>
      <c r="Z862" s="20">
        <f t="shared" si="45"/>
        <v>112.31253019618848</v>
      </c>
      <c r="AA862">
        <f t="shared" si="46"/>
        <v>160386.62242509017</v>
      </c>
    </row>
    <row r="863" spans="25:27" x14ac:dyDescent="0.3">
      <c r="Y863">
        <f t="shared" si="44"/>
        <v>3340</v>
      </c>
      <c r="Z863" s="20">
        <f t="shared" si="45"/>
        <v>112.16437545996746</v>
      </c>
      <c r="AA863">
        <f t="shared" si="46"/>
        <v>160498.78680055015</v>
      </c>
    </row>
    <row r="864" spans="25:27" x14ac:dyDescent="0.3">
      <c r="Y864">
        <f t="shared" si="44"/>
        <v>3342</v>
      </c>
      <c r="Z864" s="20">
        <f t="shared" si="45"/>
        <v>112.01641615898266</v>
      </c>
      <c r="AA864">
        <f t="shared" si="46"/>
        <v>160610.80321670914</v>
      </c>
    </row>
    <row r="865" spans="25:27" x14ac:dyDescent="0.3">
      <c r="Y865">
        <f t="shared" si="44"/>
        <v>3344</v>
      </c>
      <c r="Z865" s="20">
        <f t="shared" si="45"/>
        <v>111.86865203542968</v>
      </c>
      <c r="AA865">
        <f t="shared" si="46"/>
        <v>160722.67186874457</v>
      </c>
    </row>
    <row r="866" spans="25:27" x14ac:dyDescent="0.3">
      <c r="Y866">
        <f t="shared" si="44"/>
        <v>3346</v>
      </c>
      <c r="Z866" s="20">
        <f t="shared" si="45"/>
        <v>111.72108283184436</v>
      </c>
      <c r="AA866">
        <f t="shared" si="46"/>
        <v>160834.39295157642</v>
      </c>
    </row>
    <row r="867" spans="25:27" x14ac:dyDescent="0.3">
      <c r="Y867">
        <f t="shared" si="44"/>
        <v>3348</v>
      </c>
      <c r="Z867" s="20">
        <f t="shared" si="45"/>
        <v>111.57370829110197</v>
      </c>
      <c r="AA867">
        <f t="shared" si="46"/>
        <v>160945.96665986752</v>
      </c>
    </row>
    <row r="868" spans="25:27" x14ac:dyDescent="0.3">
      <c r="Y868">
        <f t="shared" si="44"/>
        <v>3350</v>
      </c>
      <c r="Z868" s="20">
        <f t="shared" si="45"/>
        <v>111.42652815641718</v>
      </c>
      <c r="AA868">
        <f t="shared" si="46"/>
        <v>161057.39318802394</v>
      </c>
    </row>
    <row r="869" spans="25:27" x14ac:dyDescent="0.3">
      <c r="Y869">
        <f t="shared" si="44"/>
        <v>3352</v>
      </c>
      <c r="Z869" s="20">
        <f t="shared" si="45"/>
        <v>111.27954217134321</v>
      </c>
      <c r="AA869">
        <f t="shared" si="46"/>
        <v>161168.67273019528</v>
      </c>
    </row>
    <row r="870" spans="25:27" x14ac:dyDescent="0.3">
      <c r="Y870">
        <f t="shared" si="44"/>
        <v>3354</v>
      </c>
      <c r="Z870" s="20">
        <f t="shared" si="45"/>
        <v>111.1327500797717</v>
      </c>
      <c r="AA870">
        <f t="shared" si="46"/>
        <v>161279.80548027504</v>
      </c>
    </row>
    <row r="871" spans="25:27" x14ac:dyDescent="0.3">
      <c r="Y871">
        <f t="shared" si="44"/>
        <v>3356</v>
      </c>
      <c r="Z871" s="20">
        <f t="shared" si="45"/>
        <v>110.98615162593201</v>
      </c>
      <c r="AA871">
        <f t="shared" si="46"/>
        <v>161390.79163190097</v>
      </c>
    </row>
    <row r="872" spans="25:27" x14ac:dyDescent="0.3">
      <c r="Y872">
        <f t="shared" si="44"/>
        <v>3358</v>
      </c>
      <c r="Z872" s="20">
        <f t="shared" si="45"/>
        <v>110.83974655439104</v>
      </c>
      <c r="AA872">
        <f t="shared" si="46"/>
        <v>161501.63137845535</v>
      </c>
    </row>
    <row r="873" spans="25:27" x14ac:dyDescent="0.3">
      <c r="Y873">
        <f t="shared" si="44"/>
        <v>3360</v>
      </c>
      <c r="Z873" s="20">
        <f t="shared" si="45"/>
        <v>110.69353461005245</v>
      </c>
      <c r="AA873">
        <f t="shared" si="46"/>
        <v>161612.32491306541</v>
      </c>
    </row>
    <row r="874" spans="25:27" x14ac:dyDescent="0.3">
      <c r="Y874">
        <f t="shared" si="44"/>
        <v>3362</v>
      </c>
      <c r="Z874" s="20">
        <f t="shared" si="45"/>
        <v>110.54751553815665</v>
      </c>
      <c r="AA874">
        <f t="shared" si="46"/>
        <v>161722.87242860356</v>
      </c>
    </row>
    <row r="875" spans="25:27" x14ac:dyDescent="0.3">
      <c r="Y875">
        <f t="shared" si="44"/>
        <v>3364</v>
      </c>
      <c r="Z875" s="20">
        <f t="shared" si="45"/>
        <v>110.40168908427981</v>
      </c>
      <c r="AA875">
        <f t="shared" si="46"/>
        <v>161833.27411768783</v>
      </c>
    </row>
    <row r="876" spans="25:27" x14ac:dyDescent="0.3">
      <c r="Y876">
        <f t="shared" si="44"/>
        <v>3366</v>
      </c>
      <c r="Z876" s="20">
        <f t="shared" si="45"/>
        <v>110.25605499433397</v>
      </c>
      <c r="AA876">
        <f t="shared" si="46"/>
        <v>161943.53017268216</v>
      </c>
    </row>
    <row r="877" spans="25:27" x14ac:dyDescent="0.3">
      <c r="Y877">
        <f t="shared" si="44"/>
        <v>3368</v>
      </c>
      <c r="Z877" s="20">
        <f t="shared" si="45"/>
        <v>110.1106130145663</v>
      </c>
      <c r="AA877">
        <f t="shared" si="46"/>
        <v>162053.64078569674</v>
      </c>
    </row>
    <row r="878" spans="25:27" x14ac:dyDescent="0.3">
      <c r="Y878">
        <f t="shared" si="44"/>
        <v>3370</v>
      </c>
      <c r="Z878" s="20">
        <f t="shared" si="45"/>
        <v>109.96536289155854</v>
      </c>
      <c r="AA878">
        <f t="shared" si="46"/>
        <v>162163.6061485883</v>
      </c>
    </row>
    <row r="879" spans="25:27" x14ac:dyDescent="0.3">
      <c r="Y879">
        <f t="shared" si="44"/>
        <v>3372</v>
      </c>
      <c r="Z879" s="20">
        <f t="shared" si="45"/>
        <v>109.82030437222697</v>
      </c>
      <c r="AA879">
        <f t="shared" si="46"/>
        <v>162273.42645296053</v>
      </c>
    </row>
    <row r="880" spans="25:27" x14ac:dyDescent="0.3">
      <c r="Y880">
        <f t="shared" si="44"/>
        <v>3374</v>
      </c>
      <c r="Z880" s="20">
        <f t="shared" si="45"/>
        <v>109.67543720382147</v>
      </c>
      <c r="AA880">
        <f t="shared" si="46"/>
        <v>162383.10189016434</v>
      </c>
    </row>
    <row r="881" spans="25:27" x14ac:dyDescent="0.3">
      <c r="Y881">
        <f t="shared" si="44"/>
        <v>3376</v>
      </c>
      <c r="Z881" s="20">
        <f t="shared" si="45"/>
        <v>109.53076113392554</v>
      </c>
      <c r="AA881">
        <f t="shared" si="46"/>
        <v>162492.63265129828</v>
      </c>
    </row>
    <row r="882" spans="25:27" x14ac:dyDescent="0.3">
      <c r="Y882">
        <f t="shared" si="44"/>
        <v>3378</v>
      </c>
      <c r="Z882" s="20">
        <f t="shared" si="45"/>
        <v>109.38627591045548</v>
      </c>
      <c r="AA882">
        <f t="shared" si="46"/>
        <v>162602.01892720873</v>
      </c>
    </row>
    <row r="883" spans="25:27" x14ac:dyDescent="0.3">
      <c r="Y883">
        <f t="shared" si="44"/>
        <v>3380</v>
      </c>
      <c r="Z883" s="20">
        <f t="shared" si="45"/>
        <v>109.24198128166029</v>
      </c>
      <c r="AA883">
        <f t="shared" si="46"/>
        <v>162711.2609084904</v>
      </c>
    </row>
    <row r="884" spans="25:27" x14ac:dyDescent="0.3">
      <c r="Y884">
        <f t="shared" si="44"/>
        <v>3382</v>
      </c>
      <c r="Z884" s="20">
        <f t="shared" si="45"/>
        <v>109.09787699612087</v>
      </c>
      <c r="AA884">
        <f t="shared" si="46"/>
        <v>162820.35878548652</v>
      </c>
    </row>
    <row r="885" spans="25:27" x14ac:dyDescent="0.3">
      <c r="Y885">
        <f t="shared" si="44"/>
        <v>3384</v>
      </c>
      <c r="Z885" s="20">
        <f t="shared" si="45"/>
        <v>108.95396280274998</v>
      </c>
      <c r="AA885">
        <f t="shared" si="46"/>
        <v>162929.31274828926</v>
      </c>
    </row>
    <row r="886" spans="25:27" x14ac:dyDescent="0.3">
      <c r="Y886">
        <f t="shared" si="44"/>
        <v>3386</v>
      </c>
      <c r="Z886" s="20">
        <f t="shared" si="45"/>
        <v>108.81023845079139</v>
      </c>
      <c r="AA886">
        <f t="shared" si="46"/>
        <v>163038.12298674005</v>
      </c>
    </row>
    <row r="887" spans="25:27" x14ac:dyDescent="0.3">
      <c r="Y887">
        <f t="shared" si="44"/>
        <v>3388</v>
      </c>
      <c r="Z887" s="20">
        <f t="shared" si="45"/>
        <v>108.66670368981987</v>
      </c>
      <c r="AA887">
        <f t="shared" si="46"/>
        <v>163146.78969042987</v>
      </c>
    </row>
    <row r="888" spans="25:27" x14ac:dyDescent="0.3">
      <c r="Y888">
        <f t="shared" si="44"/>
        <v>3390</v>
      </c>
      <c r="Z888" s="20">
        <f t="shared" si="45"/>
        <v>108.52335826974029</v>
      </c>
      <c r="AA888">
        <f t="shared" si="46"/>
        <v>163255.31304869961</v>
      </c>
    </row>
    <row r="889" spans="25:27" x14ac:dyDescent="0.3">
      <c r="Y889">
        <f t="shared" si="44"/>
        <v>3392</v>
      </c>
      <c r="Z889" s="20">
        <f t="shared" si="45"/>
        <v>108.38020194078767</v>
      </c>
      <c r="AA889">
        <f t="shared" si="46"/>
        <v>163363.69325064038</v>
      </c>
    </row>
    <row r="890" spans="25:27" x14ac:dyDescent="0.3">
      <c r="Y890">
        <f t="shared" si="44"/>
        <v>3394</v>
      </c>
      <c r="Z890" s="20">
        <f t="shared" si="45"/>
        <v>108.23723445352627</v>
      </c>
      <c r="AA890">
        <f t="shared" si="46"/>
        <v>163471.93048509391</v>
      </c>
    </row>
    <row r="891" spans="25:27" x14ac:dyDescent="0.3">
      <c r="Y891">
        <f t="shared" si="44"/>
        <v>3396</v>
      </c>
      <c r="Z891" s="20">
        <f t="shared" si="45"/>
        <v>108.09445555884963</v>
      </c>
      <c r="AA891">
        <f t="shared" si="46"/>
        <v>163580.02494065274</v>
      </c>
    </row>
    <row r="892" spans="25:27" x14ac:dyDescent="0.3">
      <c r="Y892">
        <f t="shared" si="44"/>
        <v>3398</v>
      </c>
      <c r="Z892" s="20">
        <f t="shared" si="45"/>
        <v>107.95186500797965</v>
      </c>
      <c r="AA892">
        <f t="shared" si="46"/>
        <v>163687.97680566073</v>
      </c>
    </row>
    <row r="893" spans="25:27" x14ac:dyDescent="0.3">
      <c r="Y893">
        <f t="shared" si="44"/>
        <v>3400</v>
      </c>
      <c r="Z893" s="20">
        <f t="shared" si="45"/>
        <v>107.80946255246661</v>
      </c>
      <c r="AA893">
        <f t="shared" si="46"/>
        <v>163795.78626821318</v>
      </c>
    </row>
    <row r="894" spans="25:27" x14ac:dyDescent="0.3">
      <c r="Y894">
        <f t="shared" ref="Y894:Y957" si="47">Y893+2</f>
        <v>3402</v>
      </c>
      <c r="Z894" s="20">
        <f t="shared" si="45"/>
        <v>107.66724794418836</v>
      </c>
      <c r="AA894">
        <f t="shared" si="46"/>
        <v>163903.45351615737</v>
      </c>
    </row>
    <row r="895" spans="25:27" x14ac:dyDescent="0.3">
      <c r="Y895">
        <f t="shared" si="47"/>
        <v>3404</v>
      </c>
      <c r="Z895" s="20">
        <f t="shared" si="45"/>
        <v>107.52522093535015</v>
      </c>
      <c r="AA895">
        <f t="shared" si="46"/>
        <v>164010.97873709272</v>
      </c>
    </row>
    <row r="896" spans="25:27" x14ac:dyDescent="0.3">
      <c r="Y896">
        <f t="shared" si="47"/>
        <v>3406</v>
      </c>
      <c r="Z896" s="20">
        <f t="shared" si="45"/>
        <v>107.38338127848417</v>
      </c>
      <c r="AA896">
        <f t="shared" si="46"/>
        <v>164118.36211837121</v>
      </c>
    </row>
    <row r="897" spans="25:27" x14ac:dyDescent="0.3">
      <c r="Y897">
        <f t="shared" si="47"/>
        <v>3408</v>
      </c>
      <c r="Z897" s="20">
        <f t="shared" si="45"/>
        <v>107.24172872644886</v>
      </c>
      <c r="AA897">
        <f t="shared" si="46"/>
        <v>164225.60384709766</v>
      </c>
    </row>
    <row r="898" spans="25:27" x14ac:dyDescent="0.3">
      <c r="Y898">
        <f t="shared" si="47"/>
        <v>3410</v>
      </c>
      <c r="Z898" s="20">
        <f t="shared" si="45"/>
        <v>107.10026303242883</v>
      </c>
      <c r="AA898">
        <f t="shared" si="46"/>
        <v>164332.70411013009</v>
      </c>
    </row>
    <row r="899" spans="25:27" x14ac:dyDescent="0.3">
      <c r="Y899">
        <f t="shared" si="47"/>
        <v>3412</v>
      </c>
      <c r="Z899" s="20">
        <f t="shared" si="45"/>
        <v>106.95898394993417</v>
      </c>
      <c r="AA899">
        <f t="shared" si="46"/>
        <v>164439.66309408002</v>
      </c>
    </row>
    <row r="900" spans="25:27" x14ac:dyDescent="0.3">
      <c r="Y900">
        <f t="shared" si="47"/>
        <v>3414</v>
      </c>
      <c r="Z900" s="20">
        <f t="shared" ref="Z900:Z963" si="48">1016.74887*EXP(-0.00066*Y900)</f>
        <v>106.81789123280025</v>
      </c>
      <c r="AA900">
        <f t="shared" si="46"/>
        <v>164546.48098531281</v>
      </c>
    </row>
    <row r="901" spans="25:27" x14ac:dyDescent="0.3">
      <c r="Y901">
        <f t="shared" si="47"/>
        <v>3416</v>
      </c>
      <c r="Z901" s="20">
        <f t="shared" si="48"/>
        <v>106.67698463518698</v>
      </c>
      <c r="AA901">
        <f t="shared" ref="AA901:AA964" si="49">AA900+Z901</f>
        <v>164653.15796994799</v>
      </c>
    </row>
    <row r="902" spans="25:27" x14ac:dyDescent="0.3">
      <c r="Y902">
        <f t="shared" si="47"/>
        <v>3418</v>
      </c>
      <c r="Z902" s="20">
        <f t="shared" si="48"/>
        <v>106.5362639115788</v>
      </c>
      <c r="AA902">
        <f t="shared" si="49"/>
        <v>164759.69423385957</v>
      </c>
    </row>
    <row r="903" spans="25:27" x14ac:dyDescent="0.3">
      <c r="Y903">
        <f t="shared" si="47"/>
        <v>3420</v>
      </c>
      <c r="Z903" s="20">
        <f t="shared" si="48"/>
        <v>106.39572881678374</v>
      </c>
      <c r="AA903">
        <f t="shared" si="49"/>
        <v>164866.08996267634</v>
      </c>
    </row>
    <row r="904" spans="25:27" x14ac:dyDescent="0.3">
      <c r="Y904">
        <f t="shared" si="47"/>
        <v>3422</v>
      </c>
      <c r="Z904" s="20">
        <f t="shared" si="48"/>
        <v>106.25537910593356</v>
      </c>
      <c r="AA904">
        <f t="shared" si="49"/>
        <v>164972.34534178229</v>
      </c>
    </row>
    <row r="905" spans="25:27" x14ac:dyDescent="0.3">
      <c r="Y905">
        <f t="shared" si="47"/>
        <v>3424</v>
      </c>
      <c r="Z905" s="20">
        <f t="shared" si="48"/>
        <v>106.11521453448276</v>
      </c>
      <c r="AA905">
        <f t="shared" si="49"/>
        <v>165078.46055631677</v>
      </c>
    </row>
    <row r="906" spans="25:27" x14ac:dyDescent="0.3">
      <c r="Y906">
        <f t="shared" si="47"/>
        <v>3426</v>
      </c>
      <c r="Z906" s="20">
        <f t="shared" si="48"/>
        <v>105.97523485820867</v>
      </c>
      <c r="AA906">
        <f t="shared" si="49"/>
        <v>165184.43579117497</v>
      </c>
    </row>
    <row r="907" spans="25:27" x14ac:dyDescent="0.3">
      <c r="Y907">
        <f t="shared" si="47"/>
        <v>3428</v>
      </c>
      <c r="Z907" s="20">
        <f t="shared" si="48"/>
        <v>105.83543983321053</v>
      </c>
      <c r="AA907">
        <f t="shared" si="49"/>
        <v>165290.27123100817</v>
      </c>
    </row>
    <row r="908" spans="25:27" x14ac:dyDescent="0.3">
      <c r="Y908">
        <f t="shared" si="47"/>
        <v>3430</v>
      </c>
      <c r="Z908" s="20">
        <f t="shared" si="48"/>
        <v>105.69582921590961</v>
      </c>
      <c r="AA908">
        <f t="shared" si="49"/>
        <v>165395.96706022407</v>
      </c>
    </row>
    <row r="909" spans="25:27" x14ac:dyDescent="0.3">
      <c r="Y909">
        <f t="shared" si="47"/>
        <v>3432</v>
      </c>
      <c r="Z909" s="20">
        <f t="shared" si="48"/>
        <v>105.55640276304818</v>
      </c>
      <c r="AA909">
        <f t="shared" si="49"/>
        <v>165501.52346298713</v>
      </c>
    </row>
    <row r="910" spans="25:27" x14ac:dyDescent="0.3">
      <c r="Y910">
        <f t="shared" si="47"/>
        <v>3434</v>
      </c>
      <c r="Z910" s="20">
        <f t="shared" si="48"/>
        <v>105.41716023168971</v>
      </c>
      <c r="AA910">
        <f t="shared" si="49"/>
        <v>165606.9406232188</v>
      </c>
    </row>
    <row r="911" spans="25:27" x14ac:dyDescent="0.3">
      <c r="Y911">
        <f t="shared" si="47"/>
        <v>3436</v>
      </c>
      <c r="Z911" s="20">
        <f t="shared" si="48"/>
        <v>105.27810137921783</v>
      </c>
      <c r="AA911">
        <f t="shared" si="49"/>
        <v>165712.21872459803</v>
      </c>
    </row>
    <row r="912" spans="25:27" x14ac:dyDescent="0.3">
      <c r="Y912">
        <f t="shared" si="47"/>
        <v>3438</v>
      </c>
      <c r="Z912" s="20">
        <f t="shared" si="48"/>
        <v>105.13922596333643</v>
      </c>
      <c r="AA912">
        <f t="shared" si="49"/>
        <v>165817.35795056136</v>
      </c>
    </row>
    <row r="913" spans="25:27" x14ac:dyDescent="0.3">
      <c r="Y913">
        <f t="shared" si="47"/>
        <v>3440</v>
      </c>
      <c r="Z913" s="20">
        <f t="shared" si="48"/>
        <v>105.000533742069</v>
      </c>
      <c r="AA913">
        <f t="shared" si="49"/>
        <v>165922.35848430343</v>
      </c>
    </row>
    <row r="914" spans="25:27" x14ac:dyDescent="0.3">
      <c r="Y914">
        <f t="shared" si="47"/>
        <v>3442</v>
      </c>
      <c r="Z914" s="20">
        <f t="shared" si="48"/>
        <v>104.86202447375807</v>
      </c>
      <c r="AA914">
        <f t="shared" si="49"/>
        <v>166027.22050877719</v>
      </c>
    </row>
    <row r="915" spans="25:27" x14ac:dyDescent="0.3">
      <c r="Y915">
        <f t="shared" si="47"/>
        <v>3444</v>
      </c>
      <c r="Z915" s="20">
        <f t="shared" si="48"/>
        <v>104.72369791706517</v>
      </c>
      <c r="AA915">
        <f t="shared" si="49"/>
        <v>166131.94420669426</v>
      </c>
    </row>
    <row r="916" spans="25:27" x14ac:dyDescent="0.3">
      <c r="Y916">
        <f t="shared" si="47"/>
        <v>3446</v>
      </c>
      <c r="Z916" s="20">
        <f t="shared" si="48"/>
        <v>104.58555383096997</v>
      </c>
      <c r="AA916">
        <f t="shared" si="49"/>
        <v>166236.52976052524</v>
      </c>
    </row>
    <row r="917" spans="25:27" x14ac:dyDescent="0.3">
      <c r="Y917">
        <f t="shared" si="47"/>
        <v>3448</v>
      </c>
      <c r="Z917" s="20">
        <f t="shared" si="48"/>
        <v>104.44759197477025</v>
      </c>
      <c r="AA917">
        <f t="shared" si="49"/>
        <v>166340.97735250002</v>
      </c>
    </row>
    <row r="918" spans="25:27" x14ac:dyDescent="0.3">
      <c r="Y918">
        <f t="shared" si="47"/>
        <v>3450</v>
      </c>
      <c r="Z918" s="20">
        <f t="shared" si="48"/>
        <v>104.30981210808119</v>
      </c>
      <c r="AA918">
        <f t="shared" si="49"/>
        <v>166445.2871646081</v>
      </c>
    </row>
    <row r="919" spans="25:27" x14ac:dyDescent="0.3">
      <c r="Y919">
        <f t="shared" si="47"/>
        <v>3452</v>
      </c>
      <c r="Z919" s="20">
        <f t="shared" si="48"/>
        <v>104.17221399083517</v>
      </c>
      <c r="AA919">
        <f t="shared" si="49"/>
        <v>166549.45937859893</v>
      </c>
    </row>
    <row r="920" spans="25:27" x14ac:dyDescent="0.3">
      <c r="Y920">
        <f t="shared" si="47"/>
        <v>3454</v>
      </c>
      <c r="Z920" s="20">
        <f t="shared" si="48"/>
        <v>104.03479738328113</v>
      </c>
      <c r="AA920">
        <f t="shared" si="49"/>
        <v>166653.4941759822</v>
      </c>
    </row>
    <row r="921" spans="25:27" x14ac:dyDescent="0.3">
      <c r="Y921">
        <f t="shared" si="47"/>
        <v>3456</v>
      </c>
      <c r="Z921" s="20">
        <f t="shared" si="48"/>
        <v>103.8975620459844</v>
      </c>
      <c r="AA921">
        <f t="shared" si="49"/>
        <v>166757.39173802818</v>
      </c>
    </row>
    <row r="922" spans="25:27" x14ac:dyDescent="0.3">
      <c r="Y922">
        <f t="shared" si="47"/>
        <v>3458</v>
      </c>
      <c r="Z922" s="20">
        <f t="shared" si="48"/>
        <v>103.76050773982604</v>
      </c>
      <c r="AA922">
        <f t="shared" si="49"/>
        <v>166861.152245768</v>
      </c>
    </row>
    <row r="923" spans="25:27" x14ac:dyDescent="0.3">
      <c r="Y923">
        <f t="shared" si="47"/>
        <v>3460</v>
      </c>
      <c r="Z923" s="20">
        <f t="shared" si="48"/>
        <v>103.62363422600265</v>
      </c>
      <c r="AA923">
        <f t="shared" si="49"/>
        <v>166964.77587999401</v>
      </c>
    </row>
    <row r="924" spans="25:27" x14ac:dyDescent="0.3">
      <c r="Y924">
        <f t="shared" si="47"/>
        <v>3462</v>
      </c>
      <c r="Z924" s="20">
        <f t="shared" si="48"/>
        <v>103.4869412660257</v>
      </c>
      <c r="AA924">
        <f t="shared" si="49"/>
        <v>167068.26282126002</v>
      </c>
    </row>
    <row r="925" spans="25:27" x14ac:dyDescent="0.3">
      <c r="Y925">
        <f t="shared" si="47"/>
        <v>3464</v>
      </c>
      <c r="Z925" s="20">
        <f t="shared" si="48"/>
        <v>103.35042862172145</v>
      </c>
      <c r="AA925">
        <f t="shared" si="49"/>
        <v>167171.61324988175</v>
      </c>
    </row>
    <row r="926" spans="25:27" x14ac:dyDescent="0.3">
      <c r="Y926">
        <f t="shared" si="47"/>
        <v>3466</v>
      </c>
      <c r="Z926" s="20">
        <f t="shared" si="48"/>
        <v>103.21409605523013</v>
      </c>
      <c r="AA926">
        <f t="shared" si="49"/>
        <v>167274.82734593697</v>
      </c>
    </row>
    <row r="927" spans="25:27" x14ac:dyDescent="0.3">
      <c r="Y927">
        <f t="shared" si="47"/>
        <v>3468</v>
      </c>
      <c r="Z927" s="20">
        <f t="shared" si="48"/>
        <v>103.07794332900593</v>
      </c>
      <c r="AA927">
        <f t="shared" si="49"/>
        <v>167377.90528926597</v>
      </c>
    </row>
    <row r="928" spans="25:27" x14ac:dyDescent="0.3">
      <c r="Y928">
        <f t="shared" si="47"/>
        <v>3470</v>
      </c>
      <c r="Z928" s="20">
        <f t="shared" si="48"/>
        <v>102.94197020581623</v>
      </c>
      <c r="AA928">
        <f t="shared" si="49"/>
        <v>167480.84725947178</v>
      </c>
    </row>
    <row r="929" spans="25:27" x14ac:dyDescent="0.3">
      <c r="Y929">
        <f t="shared" si="47"/>
        <v>3472</v>
      </c>
      <c r="Z929" s="20">
        <f t="shared" si="48"/>
        <v>102.8061764487415</v>
      </c>
      <c r="AA929">
        <f t="shared" si="49"/>
        <v>167583.65343592051</v>
      </c>
    </row>
    <row r="930" spans="25:27" x14ac:dyDescent="0.3">
      <c r="Y930">
        <f t="shared" si="47"/>
        <v>3474</v>
      </c>
      <c r="Z930" s="20">
        <f t="shared" si="48"/>
        <v>102.67056182117457</v>
      </c>
      <c r="AA930">
        <f t="shared" si="49"/>
        <v>167686.32399774168</v>
      </c>
    </row>
    <row r="931" spans="25:27" x14ac:dyDescent="0.3">
      <c r="Y931">
        <f t="shared" si="47"/>
        <v>3476</v>
      </c>
      <c r="Z931" s="20">
        <f t="shared" si="48"/>
        <v>102.53512608682054</v>
      </c>
      <c r="AA931">
        <f t="shared" si="49"/>
        <v>167788.8591238285</v>
      </c>
    </row>
    <row r="932" spans="25:27" x14ac:dyDescent="0.3">
      <c r="Y932">
        <f t="shared" si="47"/>
        <v>3478</v>
      </c>
      <c r="Z932" s="20">
        <f t="shared" si="48"/>
        <v>102.39986900969619</v>
      </c>
      <c r="AA932">
        <f t="shared" si="49"/>
        <v>167891.25899283821</v>
      </c>
    </row>
    <row r="933" spans="25:27" x14ac:dyDescent="0.3">
      <c r="Y933">
        <f t="shared" si="47"/>
        <v>3480</v>
      </c>
      <c r="Z933" s="20">
        <f t="shared" si="48"/>
        <v>102.26479035412947</v>
      </c>
      <c r="AA933">
        <f t="shared" si="49"/>
        <v>167993.52378319233</v>
      </c>
    </row>
    <row r="934" spans="25:27" x14ac:dyDescent="0.3">
      <c r="Y934">
        <f t="shared" si="47"/>
        <v>3482</v>
      </c>
      <c r="Z934" s="20">
        <f t="shared" si="48"/>
        <v>102.12988988475936</v>
      </c>
      <c r="AA934">
        <f t="shared" si="49"/>
        <v>168095.65367307709</v>
      </c>
    </row>
    <row r="935" spans="25:27" x14ac:dyDescent="0.3">
      <c r="Y935">
        <f t="shared" si="47"/>
        <v>3484</v>
      </c>
      <c r="Z935" s="20">
        <f t="shared" si="48"/>
        <v>101.99516736653521</v>
      </c>
      <c r="AA935">
        <f t="shared" si="49"/>
        <v>168197.64884044364</v>
      </c>
    </row>
    <row r="936" spans="25:27" x14ac:dyDescent="0.3">
      <c r="Y936">
        <f t="shared" si="47"/>
        <v>3486</v>
      </c>
      <c r="Z936" s="20">
        <f t="shared" si="48"/>
        <v>101.86062256471651</v>
      </c>
      <c r="AA936">
        <f t="shared" si="49"/>
        <v>168299.50946300835</v>
      </c>
    </row>
    <row r="937" spans="25:27" x14ac:dyDescent="0.3">
      <c r="Y937">
        <f t="shared" si="47"/>
        <v>3488</v>
      </c>
      <c r="Z937" s="20">
        <f t="shared" si="48"/>
        <v>101.72625524487229</v>
      </c>
      <c r="AA937">
        <f t="shared" si="49"/>
        <v>168401.23571825321</v>
      </c>
    </row>
    <row r="938" spans="25:27" x14ac:dyDescent="0.3">
      <c r="Y938">
        <f t="shared" si="47"/>
        <v>3490</v>
      </c>
      <c r="Z938" s="20">
        <f t="shared" si="48"/>
        <v>101.59206517288099</v>
      </c>
      <c r="AA938">
        <f t="shared" si="49"/>
        <v>168502.8277834261</v>
      </c>
    </row>
    <row r="939" spans="25:27" x14ac:dyDescent="0.3">
      <c r="Y939">
        <f t="shared" si="47"/>
        <v>3492</v>
      </c>
      <c r="Z939" s="20">
        <f t="shared" si="48"/>
        <v>101.45805211492971</v>
      </c>
      <c r="AA939">
        <f t="shared" si="49"/>
        <v>168604.28583554103</v>
      </c>
    </row>
    <row r="940" spans="25:27" x14ac:dyDescent="0.3">
      <c r="Y940">
        <f t="shared" si="47"/>
        <v>3494</v>
      </c>
      <c r="Z940" s="20">
        <f t="shared" si="48"/>
        <v>101.32421583751416</v>
      </c>
      <c r="AA940">
        <f t="shared" si="49"/>
        <v>168705.61005137855</v>
      </c>
    </row>
    <row r="941" spans="25:27" x14ac:dyDescent="0.3">
      <c r="Y941">
        <f t="shared" si="47"/>
        <v>3496</v>
      </c>
      <c r="Z941" s="20">
        <f t="shared" si="48"/>
        <v>101.19055610743786</v>
      </c>
      <c r="AA941">
        <f t="shared" si="49"/>
        <v>168806.80060748599</v>
      </c>
    </row>
    <row r="942" spans="25:27" x14ac:dyDescent="0.3">
      <c r="Y942">
        <f t="shared" si="47"/>
        <v>3498</v>
      </c>
      <c r="Z942" s="20">
        <f t="shared" si="48"/>
        <v>101.05707269181217</v>
      </c>
      <c r="AA942">
        <f t="shared" si="49"/>
        <v>168907.85768017781</v>
      </c>
    </row>
    <row r="943" spans="25:27" x14ac:dyDescent="0.3">
      <c r="Y943">
        <f t="shared" si="47"/>
        <v>3500</v>
      </c>
      <c r="Z943" s="20">
        <f t="shared" si="48"/>
        <v>100.92376535805546</v>
      </c>
      <c r="AA943">
        <f t="shared" si="49"/>
        <v>169008.78144553586</v>
      </c>
    </row>
    <row r="944" spans="25:27" x14ac:dyDescent="0.3">
      <c r="Y944">
        <f t="shared" si="47"/>
        <v>3502</v>
      </c>
      <c r="Z944" s="20">
        <f t="shared" si="48"/>
        <v>100.79063387389309</v>
      </c>
      <c r="AA944">
        <f t="shared" si="49"/>
        <v>169109.57207940976</v>
      </c>
    </row>
    <row r="945" spans="25:27" x14ac:dyDescent="0.3">
      <c r="Y945">
        <f t="shared" si="47"/>
        <v>3504</v>
      </c>
      <c r="Z945" s="20">
        <f t="shared" si="48"/>
        <v>100.65767800735664</v>
      </c>
      <c r="AA945">
        <f t="shared" si="49"/>
        <v>169210.22975741711</v>
      </c>
    </row>
    <row r="946" spans="25:27" x14ac:dyDescent="0.3">
      <c r="Y946">
        <f t="shared" si="47"/>
        <v>3506</v>
      </c>
      <c r="Z946" s="20">
        <f t="shared" si="48"/>
        <v>100.52489752678385</v>
      </c>
      <c r="AA946">
        <f t="shared" si="49"/>
        <v>169310.75465494388</v>
      </c>
    </row>
    <row r="947" spans="25:27" x14ac:dyDescent="0.3">
      <c r="Y947">
        <f t="shared" si="47"/>
        <v>3508</v>
      </c>
      <c r="Z947" s="20">
        <f t="shared" si="48"/>
        <v>100.39229220081791</v>
      </c>
      <c r="AA947">
        <f t="shared" si="49"/>
        <v>169411.14694714471</v>
      </c>
    </row>
    <row r="948" spans="25:27" x14ac:dyDescent="0.3">
      <c r="Y948">
        <f t="shared" si="47"/>
        <v>3510</v>
      </c>
      <c r="Z948" s="20">
        <f t="shared" si="48"/>
        <v>100.25986179840733</v>
      </c>
      <c r="AA948">
        <f t="shared" si="49"/>
        <v>169511.40680894311</v>
      </c>
    </row>
    <row r="949" spans="25:27" x14ac:dyDescent="0.3">
      <c r="Y949">
        <f t="shared" si="47"/>
        <v>3512</v>
      </c>
      <c r="Z949" s="20">
        <f t="shared" si="48"/>
        <v>100.12760608880527</v>
      </c>
      <c r="AA949">
        <f t="shared" si="49"/>
        <v>169611.53441503193</v>
      </c>
    </row>
    <row r="950" spans="25:27" x14ac:dyDescent="0.3">
      <c r="Y950">
        <f t="shared" si="47"/>
        <v>3514</v>
      </c>
      <c r="Z950" s="20">
        <f t="shared" si="48"/>
        <v>99.995524841569406</v>
      </c>
      <c r="AA950">
        <f t="shared" si="49"/>
        <v>169711.52993987349</v>
      </c>
    </row>
    <row r="951" spans="25:27" x14ac:dyDescent="0.3">
      <c r="Y951">
        <f t="shared" si="47"/>
        <v>3516</v>
      </c>
      <c r="Z951" s="20">
        <f t="shared" si="48"/>
        <v>99.863617826561352</v>
      </c>
      <c r="AA951">
        <f t="shared" si="49"/>
        <v>169811.39355770007</v>
      </c>
    </row>
    <row r="952" spans="25:27" x14ac:dyDescent="0.3">
      <c r="Y952">
        <f t="shared" si="47"/>
        <v>3518</v>
      </c>
      <c r="Z952" s="20">
        <f t="shared" si="48"/>
        <v>99.731884813946238</v>
      </c>
      <c r="AA952">
        <f t="shared" si="49"/>
        <v>169911.12544251402</v>
      </c>
    </row>
    <row r="953" spans="25:27" x14ac:dyDescent="0.3">
      <c r="Y953">
        <f t="shared" si="47"/>
        <v>3520</v>
      </c>
      <c r="Z953" s="20">
        <f t="shared" si="48"/>
        <v>99.600325574192482</v>
      </c>
      <c r="AA953">
        <f t="shared" si="49"/>
        <v>170010.72576808822</v>
      </c>
    </row>
    <row r="954" spans="25:27" x14ac:dyDescent="0.3">
      <c r="Y954">
        <f t="shared" si="47"/>
        <v>3522</v>
      </c>
      <c r="Z954" s="20">
        <f t="shared" si="48"/>
        <v>99.468939878071168</v>
      </c>
      <c r="AA954">
        <f t="shared" si="49"/>
        <v>170110.19470796629</v>
      </c>
    </row>
    <row r="955" spans="25:27" x14ac:dyDescent="0.3">
      <c r="Y955">
        <f t="shared" si="47"/>
        <v>3524</v>
      </c>
      <c r="Z955" s="20">
        <f t="shared" si="48"/>
        <v>99.337727496655916</v>
      </c>
      <c r="AA955">
        <f t="shared" si="49"/>
        <v>170209.53243546296</v>
      </c>
    </row>
    <row r="956" spans="25:27" x14ac:dyDescent="0.3">
      <c r="Y956">
        <f t="shared" si="47"/>
        <v>3526</v>
      </c>
      <c r="Z956" s="20">
        <f t="shared" si="48"/>
        <v>99.206688201322137</v>
      </c>
      <c r="AA956">
        <f t="shared" si="49"/>
        <v>170308.73912366427</v>
      </c>
    </row>
    <row r="957" spans="25:27" x14ac:dyDescent="0.3">
      <c r="Y957">
        <f t="shared" si="47"/>
        <v>3528</v>
      </c>
      <c r="Z957" s="20">
        <f t="shared" si="48"/>
        <v>99.07582176374703</v>
      </c>
      <c r="AA957">
        <f t="shared" si="49"/>
        <v>170407.81494542802</v>
      </c>
    </row>
    <row r="958" spans="25:27" x14ac:dyDescent="0.3">
      <c r="Y958">
        <f t="shared" ref="Y958:Y1021" si="50">Y957+2</f>
        <v>3530</v>
      </c>
      <c r="Z958" s="20">
        <f t="shared" si="48"/>
        <v>98.94512795590876</v>
      </c>
      <c r="AA958">
        <f t="shared" si="49"/>
        <v>170506.76007338392</v>
      </c>
    </row>
    <row r="959" spans="25:27" x14ac:dyDescent="0.3">
      <c r="Y959">
        <f t="shared" si="50"/>
        <v>3532</v>
      </c>
      <c r="Z959" s="20">
        <f t="shared" si="48"/>
        <v>98.814606550086538</v>
      </c>
      <c r="AA959">
        <f t="shared" si="49"/>
        <v>170605.57467993401</v>
      </c>
    </row>
    <row r="960" spans="25:27" x14ac:dyDescent="0.3">
      <c r="Y960">
        <f t="shared" si="50"/>
        <v>3534</v>
      </c>
      <c r="Z960" s="20">
        <f t="shared" si="48"/>
        <v>98.684257318859721</v>
      </c>
      <c r="AA960">
        <f t="shared" si="49"/>
        <v>170704.25893725286</v>
      </c>
    </row>
    <row r="961" spans="25:27" x14ac:dyDescent="0.3">
      <c r="Y961">
        <f t="shared" si="50"/>
        <v>3536</v>
      </c>
      <c r="Z961" s="20">
        <f t="shared" si="48"/>
        <v>98.554080035107859</v>
      </c>
      <c r="AA961">
        <f t="shared" si="49"/>
        <v>170802.81301728796</v>
      </c>
    </row>
    <row r="962" spans="25:27" x14ac:dyDescent="0.3">
      <c r="Y962">
        <f t="shared" si="50"/>
        <v>3538</v>
      </c>
      <c r="Z962" s="20">
        <f t="shared" si="48"/>
        <v>98.424074472009963</v>
      </c>
      <c r="AA962">
        <f t="shared" si="49"/>
        <v>170901.23709175998</v>
      </c>
    </row>
    <row r="963" spans="25:27" x14ac:dyDescent="0.3">
      <c r="Y963">
        <f t="shared" si="50"/>
        <v>3540</v>
      </c>
      <c r="Z963" s="20">
        <f t="shared" si="48"/>
        <v>98.294240403044356</v>
      </c>
      <c r="AA963">
        <f t="shared" si="49"/>
        <v>170999.53133216302</v>
      </c>
    </row>
    <row r="964" spans="25:27" x14ac:dyDescent="0.3">
      <c r="Y964">
        <f t="shared" si="50"/>
        <v>3542</v>
      </c>
      <c r="Z964" s="20">
        <f t="shared" ref="Z964:Z1027" si="51">1016.74887*EXP(-0.00066*Y964)</f>
        <v>98.164577601988057</v>
      </c>
      <c r="AA964">
        <f t="shared" si="49"/>
        <v>171097.69590976503</v>
      </c>
    </row>
    <row r="965" spans="25:27" x14ac:dyDescent="0.3">
      <c r="Y965">
        <f t="shared" si="50"/>
        <v>3544</v>
      </c>
      <c r="Z965" s="20">
        <f t="shared" si="51"/>
        <v>98.035085842916629</v>
      </c>
      <c r="AA965">
        <f t="shared" ref="AA965:AA1028" si="52">AA964+Z965</f>
        <v>171195.73099560794</v>
      </c>
    </row>
    <row r="966" spans="25:27" x14ac:dyDescent="0.3">
      <c r="Y966">
        <f t="shared" si="50"/>
        <v>3546</v>
      </c>
      <c r="Z966" s="20">
        <f t="shared" si="51"/>
        <v>97.90576490020355</v>
      </c>
      <c r="AA966">
        <f t="shared" si="52"/>
        <v>171293.63676050815</v>
      </c>
    </row>
    <row r="967" spans="25:27" x14ac:dyDescent="0.3">
      <c r="Y967">
        <f t="shared" si="50"/>
        <v>3548</v>
      </c>
      <c r="Z967" s="20">
        <f t="shared" si="51"/>
        <v>97.776614548520016</v>
      </c>
      <c r="AA967">
        <f t="shared" si="52"/>
        <v>171391.41337505667</v>
      </c>
    </row>
    <row r="968" spans="25:27" x14ac:dyDescent="0.3">
      <c r="Y968">
        <f t="shared" si="50"/>
        <v>3550</v>
      </c>
      <c r="Z968" s="20">
        <f t="shared" si="51"/>
        <v>97.647634562834426</v>
      </c>
      <c r="AA968">
        <f t="shared" si="52"/>
        <v>171489.0610096195</v>
      </c>
    </row>
    <row r="969" spans="25:27" x14ac:dyDescent="0.3">
      <c r="Y969">
        <f t="shared" si="50"/>
        <v>3552</v>
      </c>
      <c r="Z969" s="20">
        <f t="shared" si="51"/>
        <v>97.518824718411977</v>
      </c>
      <c r="AA969">
        <f t="shared" si="52"/>
        <v>171586.5798343379</v>
      </c>
    </row>
    <row r="970" spans="25:27" x14ac:dyDescent="0.3">
      <c r="Y970">
        <f t="shared" si="50"/>
        <v>3554</v>
      </c>
      <c r="Z970" s="20">
        <f t="shared" si="51"/>
        <v>97.39018479081443</v>
      </c>
      <c r="AA970">
        <f t="shared" si="52"/>
        <v>171683.97001912873</v>
      </c>
    </row>
    <row r="971" spans="25:27" x14ac:dyDescent="0.3">
      <c r="Y971">
        <f t="shared" si="50"/>
        <v>3556</v>
      </c>
      <c r="Z971" s="20">
        <f t="shared" si="51"/>
        <v>97.261714555899459</v>
      </c>
      <c r="AA971">
        <f t="shared" si="52"/>
        <v>171781.23173368463</v>
      </c>
    </row>
    <row r="972" spans="25:27" x14ac:dyDescent="0.3">
      <c r="Y972">
        <f t="shared" si="50"/>
        <v>3558</v>
      </c>
      <c r="Z972" s="20">
        <f t="shared" si="51"/>
        <v>97.133413789820565</v>
      </c>
      <c r="AA972">
        <f t="shared" si="52"/>
        <v>171878.36514747445</v>
      </c>
    </row>
    <row r="973" spans="25:27" x14ac:dyDescent="0.3">
      <c r="Y973">
        <f t="shared" si="50"/>
        <v>3560</v>
      </c>
      <c r="Z973" s="20">
        <f t="shared" si="51"/>
        <v>97.005282269026409</v>
      </c>
      <c r="AA973">
        <f t="shared" si="52"/>
        <v>171975.37042974349</v>
      </c>
    </row>
    <row r="974" spans="25:27" x14ac:dyDescent="0.3">
      <c r="Y974">
        <f t="shared" si="50"/>
        <v>3562</v>
      </c>
      <c r="Z974" s="20">
        <f t="shared" si="51"/>
        <v>96.877319770260655</v>
      </c>
      <c r="AA974">
        <f t="shared" si="52"/>
        <v>172072.24774951374</v>
      </c>
    </row>
    <row r="975" spans="25:27" x14ac:dyDescent="0.3">
      <c r="Y975">
        <f t="shared" si="50"/>
        <v>3564</v>
      </c>
      <c r="Z975" s="20">
        <f t="shared" si="51"/>
        <v>96.749526070561345</v>
      </c>
      <c r="AA975">
        <f t="shared" si="52"/>
        <v>172168.99727558429</v>
      </c>
    </row>
    <row r="976" spans="25:27" x14ac:dyDescent="0.3">
      <c r="Y976">
        <f t="shared" si="50"/>
        <v>3566</v>
      </c>
      <c r="Z976" s="20">
        <f t="shared" si="51"/>
        <v>96.621900947260769</v>
      </c>
      <c r="AA976">
        <f t="shared" si="52"/>
        <v>172265.61917653156</v>
      </c>
    </row>
    <row r="977" spans="25:27" x14ac:dyDescent="0.3">
      <c r="Y977">
        <f t="shared" si="50"/>
        <v>3568</v>
      </c>
      <c r="Z977" s="20">
        <f t="shared" si="51"/>
        <v>96.494444177984803</v>
      </c>
      <c r="AA977">
        <f t="shared" si="52"/>
        <v>172362.11362070954</v>
      </c>
    </row>
    <row r="978" spans="25:27" x14ac:dyDescent="0.3">
      <c r="Y978">
        <f t="shared" si="50"/>
        <v>3570</v>
      </c>
      <c r="Z978" s="20">
        <f t="shared" si="51"/>
        <v>96.367155540652846</v>
      </c>
      <c r="AA978">
        <f t="shared" si="52"/>
        <v>172458.48077625019</v>
      </c>
    </row>
    <row r="979" spans="25:27" x14ac:dyDescent="0.3">
      <c r="Y979">
        <f t="shared" si="50"/>
        <v>3572</v>
      </c>
      <c r="Z979" s="20">
        <f t="shared" si="51"/>
        <v>96.240034813477024</v>
      </c>
      <c r="AA979">
        <f t="shared" si="52"/>
        <v>172554.72081106366</v>
      </c>
    </row>
    <row r="980" spans="25:27" x14ac:dyDescent="0.3">
      <c r="Y980">
        <f t="shared" si="50"/>
        <v>3574</v>
      </c>
      <c r="Z980" s="20">
        <f t="shared" si="51"/>
        <v>96.113081774962254</v>
      </c>
      <c r="AA980">
        <f t="shared" si="52"/>
        <v>172650.83389283862</v>
      </c>
    </row>
    <row r="981" spans="25:27" x14ac:dyDescent="0.3">
      <c r="Y981">
        <f t="shared" si="50"/>
        <v>3576</v>
      </c>
      <c r="Z981" s="20">
        <f t="shared" si="51"/>
        <v>95.986296203905439</v>
      </c>
      <c r="AA981">
        <f t="shared" si="52"/>
        <v>172746.82018904254</v>
      </c>
    </row>
    <row r="982" spans="25:27" x14ac:dyDescent="0.3">
      <c r="Y982">
        <f t="shared" si="50"/>
        <v>3578</v>
      </c>
      <c r="Z982" s="20">
        <f t="shared" si="51"/>
        <v>95.859677879395477</v>
      </c>
      <c r="AA982">
        <f t="shared" si="52"/>
        <v>172842.67986692194</v>
      </c>
    </row>
    <row r="983" spans="25:27" x14ac:dyDescent="0.3">
      <c r="Y983">
        <f t="shared" si="50"/>
        <v>3580</v>
      </c>
      <c r="Z983" s="20">
        <f t="shared" si="51"/>
        <v>95.733226580812442</v>
      </c>
      <c r="AA983">
        <f t="shared" si="52"/>
        <v>172938.41309350275</v>
      </c>
    </row>
    <row r="984" spans="25:27" x14ac:dyDescent="0.3">
      <c r="Y984">
        <f t="shared" si="50"/>
        <v>3582</v>
      </c>
      <c r="Z984" s="20">
        <f t="shared" si="51"/>
        <v>95.606942087827676</v>
      </c>
      <c r="AA984">
        <f t="shared" si="52"/>
        <v>173034.02003559057</v>
      </c>
    </row>
    <row r="985" spans="25:27" x14ac:dyDescent="0.3">
      <c r="Y985">
        <f t="shared" si="50"/>
        <v>3584</v>
      </c>
      <c r="Z985" s="20">
        <f t="shared" si="51"/>
        <v>95.480824180402934</v>
      </c>
      <c r="AA985">
        <f t="shared" si="52"/>
        <v>173129.50085977098</v>
      </c>
    </row>
    <row r="986" spans="25:27" x14ac:dyDescent="0.3">
      <c r="Y986">
        <f t="shared" si="50"/>
        <v>3586</v>
      </c>
      <c r="Z986" s="20">
        <f t="shared" si="51"/>
        <v>95.354872638790411</v>
      </c>
      <c r="AA986">
        <f t="shared" si="52"/>
        <v>173224.85573240978</v>
      </c>
    </row>
    <row r="987" spans="25:27" x14ac:dyDescent="0.3">
      <c r="Y987">
        <f t="shared" si="50"/>
        <v>3588</v>
      </c>
      <c r="Z987" s="20">
        <f t="shared" si="51"/>
        <v>95.229087243532149</v>
      </c>
      <c r="AA987">
        <f t="shared" si="52"/>
        <v>173320.0848196533</v>
      </c>
    </row>
    <row r="988" spans="25:27" x14ac:dyDescent="0.3">
      <c r="Y988">
        <f t="shared" si="50"/>
        <v>3590</v>
      </c>
      <c r="Z988" s="20">
        <f t="shared" si="51"/>
        <v>95.103467775459535</v>
      </c>
      <c r="AA988">
        <f t="shared" si="52"/>
        <v>173415.18828742875</v>
      </c>
    </row>
    <row r="989" spans="25:27" x14ac:dyDescent="0.3">
      <c r="Y989">
        <f t="shared" si="50"/>
        <v>3592</v>
      </c>
      <c r="Z989" s="20">
        <f t="shared" si="51"/>
        <v>94.978014015693276</v>
      </c>
      <c r="AA989">
        <f t="shared" si="52"/>
        <v>173510.16630144443</v>
      </c>
    </row>
    <row r="990" spans="25:27" x14ac:dyDescent="0.3">
      <c r="Y990">
        <f t="shared" si="50"/>
        <v>3594</v>
      </c>
      <c r="Z990" s="20">
        <f t="shared" si="51"/>
        <v>94.85272574564263</v>
      </c>
      <c r="AA990">
        <f t="shared" si="52"/>
        <v>173605.01902719008</v>
      </c>
    </row>
    <row r="991" spans="25:27" x14ac:dyDescent="0.3">
      <c r="Y991">
        <f t="shared" si="50"/>
        <v>3596</v>
      </c>
      <c r="Z991" s="20">
        <f t="shared" si="51"/>
        <v>94.727602747005378</v>
      </c>
      <c r="AA991">
        <f t="shared" si="52"/>
        <v>173699.74662993709</v>
      </c>
    </row>
    <row r="992" spans="25:27" x14ac:dyDescent="0.3">
      <c r="Y992">
        <f t="shared" si="50"/>
        <v>3598</v>
      </c>
      <c r="Z992" s="20">
        <f t="shared" si="51"/>
        <v>94.602644801767042</v>
      </c>
      <c r="AA992">
        <f t="shared" si="52"/>
        <v>173794.34927473887</v>
      </c>
    </row>
    <row r="993" spans="25:27" x14ac:dyDescent="0.3">
      <c r="Y993">
        <f t="shared" si="50"/>
        <v>3600</v>
      </c>
      <c r="Z993" s="20">
        <f t="shared" si="51"/>
        <v>94.477851692201014</v>
      </c>
      <c r="AA993">
        <f t="shared" si="52"/>
        <v>173888.82712643108</v>
      </c>
    </row>
    <row r="994" spans="25:27" x14ac:dyDescent="0.3">
      <c r="Y994">
        <f t="shared" si="50"/>
        <v>3602</v>
      </c>
      <c r="Z994" s="20">
        <f t="shared" si="51"/>
        <v>94.353223200867617</v>
      </c>
      <c r="AA994">
        <f t="shared" si="52"/>
        <v>173983.18034963193</v>
      </c>
    </row>
    <row r="995" spans="25:27" x14ac:dyDescent="0.3">
      <c r="Y995">
        <f t="shared" si="50"/>
        <v>3604</v>
      </c>
      <c r="Z995" s="20">
        <f t="shared" si="51"/>
        <v>94.228759110614249</v>
      </c>
      <c r="AA995">
        <f t="shared" si="52"/>
        <v>174077.40910874255</v>
      </c>
    </row>
    <row r="996" spans="25:27" x14ac:dyDescent="0.3">
      <c r="Y996">
        <f t="shared" si="50"/>
        <v>3606</v>
      </c>
      <c r="Z996" s="20">
        <f t="shared" si="51"/>
        <v>94.104459204574553</v>
      </c>
      <c r="AA996">
        <f t="shared" si="52"/>
        <v>174171.51356794711</v>
      </c>
    </row>
    <row r="997" spans="25:27" x14ac:dyDescent="0.3">
      <c r="Y997">
        <f t="shared" si="50"/>
        <v>3608</v>
      </c>
      <c r="Z997" s="20">
        <f t="shared" si="51"/>
        <v>93.980323266168426</v>
      </c>
      <c r="AA997">
        <f t="shared" si="52"/>
        <v>174265.49389121329</v>
      </c>
    </row>
    <row r="998" spans="25:27" x14ac:dyDescent="0.3">
      <c r="Y998">
        <f t="shared" si="50"/>
        <v>3610</v>
      </c>
      <c r="Z998" s="20">
        <f t="shared" si="51"/>
        <v>93.856351079101287</v>
      </c>
      <c r="AA998">
        <f t="shared" si="52"/>
        <v>174359.35024229239</v>
      </c>
    </row>
    <row r="999" spans="25:27" x14ac:dyDescent="0.3">
      <c r="Y999">
        <f t="shared" si="50"/>
        <v>3612</v>
      </c>
      <c r="Z999" s="20">
        <f t="shared" si="51"/>
        <v>93.732542427364052</v>
      </c>
      <c r="AA999">
        <f t="shared" si="52"/>
        <v>174453.08278471977</v>
      </c>
    </row>
    <row r="1000" spans="25:27" x14ac:dyDescent="0.3">
      <c r="Y1000">
        <f t="shared" si="50"/>
        <v>3614</v>
      </c>
      <c r="Z1000" s="20">
        <f t="shared" si="51"/>
        <v>93.608897095232422</v>
      </c>
      <c r="AA1000">
        <f t="shared" si="52"/>
        <v>174546.69168181499</v>
      </c>
    </row>
    <row r="1001" spans="25:27" x14ac:dyDescent="0.3">
      <c r="Y1001">
        <f t="shared" si="50"/>
        <v>3616</v>
      </c>
      <c r="Z1001" s="20">
        <f t="shared" si="51"/>
        <v>93.485414867266812</v>
      </c>
      <c r="AA1001">
        <f t="shared" si="52"/>
        <v>174640.17709668225</v>
      </c>
    </row>
    <row r="1002" spans="25:27" x14ac:dyDescent="0.3">
      <c r="Y1002">
        <f t="shared" si="50"/>
        <v>3618</v>
      </c>
      <c r="Z1002" s="20">
        <f t="shared" si="51"/>
        <v>93.362095528311684</v>
      </c>
      <c r="AA1002">
        <f t="shared" si="52"/>
        <v>174733.53919221056</v>
      </c>
    </row>
    <row r="1003" spans="25:27" x14ac:dyDescent="0.3">
      <c r="Y1003">
        <f t="shared" si="50"/>
        <v>3620</v>
      </c>
      <c r="Z1003" s="20">
        <f t="shared" si="51"/>
        <v>93.238938863495463</v>
      </c>
      <c r="AA1003">
        <f t="shared" si="52"/>
        <v>174826.77813107407</v>
      </c>
    </row>
    <row r="1004" spans="25:27" x14ac:dyDescent="0.3">
      <c r="Y1004">
        <f t="shared" si="50"/>
        <v>3622</v>
      </c>
      <c r="Z1004" s="20">
        <f t="shared" si="51"/>
        <v>93.11594465822985</v>
      </c>
      <c r="AA1004">
        <f t="shared" si="52"/>
        <v>174919.8940757323</v>
      </c>
    </row>
    <row r="1005" spans="25:27" x14ac:dyDescent="0.3">
      <c r="Y1005">
        <f t="shared" si="50"/>
        <v>3624</v>
      </c>
      <c r="Z1005" s="20">
        <f t="shared" si="51"/>
        <v>92.993112698209785</v>
      </c>
      <c r="AA1005">
        <f t="shared" si="52"/>
        <v>175012.8871884305</v>
      </c>
    </row>
    <row r="1006" spans="25:27" x14ac:dyDescent="0.3">
      <c r="Y1006">
        <f t="shared" si="50"/>
        <v>3626</v>
      </c>
      <c r="Z1006" s="20">
        <f t="shared" si="51"/>
        <v>92.870442769412861</v>
      </c>
      <c r="AA1006">
        <f t="shared" si="52"/>
        <v>175105.7576311999</v>
      </c>
    </row>
    <row r="1007" spans="25:27" x14ac:dyDescent="0.3">
      <c r="Y1007">
        <f t="shared" si="50"/>
        <v>3628</v>
      </c>
      <c r="Z1007" s="20">
        <f t="shared" si="51"/>
        <v>92.747934658098842</v>
      </c>
      <c r="AA1007">
        <f t="shared" si="52"/>
        <v>175198.50556585801</v>
      </c>
    </row>
    <row r="1008" spans="25:27" x14ac:dyDescent="0.3">
      <c r="Y1008">
        <f t="shared" si="50"/>
        <v>3630</v>
      </c>
      <c r="Z1008" s="20">
        <f t="shared" si="51"/>
        <v>92.625588150809705</v>
      </c>
      <c r="AA1008">
        <f t="shared" si="52"/>
        <v>175291.13115400882</v>
      </c>
    </row>
    <row r="1009" spans="25:27" x14ac:dyDescent="0.3">
      <c r="Y1009">
        <f t="shared" si="50"/>
        <v>3632</v>
      </c>
      <c r="Z1009" s="20">
        <f t="shared" si="51"/>
        <v>92.503403034368745</v>
      </c>
      <c r="AA1009">
        <f t="shared" si="52"/>
        <v>175383.6345570432</v>
      </c>
    </row>
    <row r="1010" spans="25:27" x14ac:dyDescent="0.3">
      <c r="Y1010">
        <f t="shared" si="50"/>
        <v>3634</v>
      </c>
      <c r="Z1010" s="20">
        <f t="shared" si="51"/>
        <v>92.381379095880675</v>
      </c>
      <c r="AA1010">
        <f t="shared" si="52"/>
        <v>175476.01593613907</v>
      </c>
    </row>
    <row r="1011" spans="25:27" x14ac:dyDescent="0.3">
      <c r="Y1011">
        <f t="shared" si="50"/>
        <v>3636</v>
      </c>
      <c r="Z1011" s="20">
        <f t="shared" si="51"/>
        <v>92.259516122730872</v>
      </c>
      <c r="AA1011">
        <f t="shared" si="52"/>
        <v>175568.27545226179</v>
      </c>
    </row>
    <row r="1012" spans="25:27" x14ac:dyDescent="0.3">
      <c r="Y1012">
        <f t="shared" si="50"/>
        <v>3638</v>
      </c>
      <c r="Z1012" s="20">
        <f t="shared" si="51"/>
        <v>92.13781390258535</v>
      </c>
      <c r="AA1012">
        <f t="shared" si="52"/>
        <v>175660.41326616437</v>
      </c>
    </row>
    <row r="1013" spans="25:27" x14ac:dyDescent="0.3">
      <c r="Y1013">
        <f t="shared" si="50"/>
        <v>3640</v>
      </c>
      <c r="Z1013" s="20">
        <f t="shared" si="51"/>
        <v>92.016272223390047</v>
      </c>
      <c r="AA1013">
        <f t="shared" si="52"/>
        <v>175752.42953838775</v>
      </c>
    </row>
    <row r="1014" spans="25:27" x14ac:dyDescent="0.3">
      <c r="Y1014">
        <f t="shared" si="50"/>
        <v>3642</v>
      </c>
      <c r="Z1014" s="20">
        <f t="shared" si="51"/>
        <v>91.894890873370784</v>
      </c>
      <c r="AA1014">
        <f t="shared" si="52"/>
        <v>175844.32442926112</v>
      </c>
    </row>
    <row r="1015" spans="25:27" x14ac:dyDescent="0.3">
      <c r="Y1015">
        <f t="shared" si="50"/>
        <v>3644</v>
      </c>
      <c r="Z1015" s="20">
        <f t="shared" si="51"/>
        <v>91.773669641032569</v>
      </c>
      <c r="AA1015">
        <f t="shared" si="52"/>
        <v>175936.09809890215</v>
      </c>
    </row>
    <row r="1016" spans="25:27" x14ac:dyDescent="0.3">
      <c r="Y1016">
        <f t="shared" si="50"/>
        <v>3646</v>
      </c>
      <c r="Z1016" s="20">
        <f t="shared" si="51"/>
        <v>91.652608315159611</v>
      </c>
      <c r="AA1016">
        <f t="shared" si="52"/>
        <v>176027.75070721732</v>
      </c>
    </row>
    <row r="1017" spans="25:27" x14ac:dyDescent="0.3">
      <c r="Y1017">
        <f t="shared" si="50"/>
        <v>3648</v>
      </c>
      <c r="Z1017" s="20">
        <f t="shared" si="51"/>
        <v>91.531706684814523</v>
      </c>
      <c r="AA1017">
        <f t="shared" si="52"/>
        <v>176119.28241390214</v>
      </c>
    </row>
    <row r="1018" spans="25:27" x14ac:dyDescent="0.3">
      <c r="Y1018">
        <f t="shared" si="50"/>
        <v>3650</v>
      </c>
      <c r="Z1018" s="20">
        <f t="shared" si="51"/>
        <v>91.410964539338366</v>
      </c>
      <c r="AA1018">
        <f t="shared" si="52"/>
        <v>176210.69337844147</v>
      </c>
    </row>
    <row r="1019" spans="25:27" x14ac:dyDescent="0.3">
      <c r="Y1019">
        <f t="shared" si="50"/>
        <v>3652</v>
      </c>
      <c r="Z1019" s="20">
        <f t="shared" si="51"/>
        <v>91.290381668349895</v>
      </c>
      <c r="AA1019">
        <f t="shared" si="52"/>
        <v>176301.98376010981</v>
      </c>
    </row>
    <row r="1020" spans="25:27" x14ac:dyDescent="0.3">
      <c r="Y1020">
        <f t="shared" si="50"/>
        <v>3654</v>
      </c>
      <c r="Z1020" s="20">
        <f t="shared" si="51"/>
        <v>91.169957861745601</v>
      </c>
      <c r="AA1020">
        <f t="shared" si="52"/>
        <v>176393.15371797155</v>
      </c>
    </row>
    <row r="1021" spans="25:27" x14ac:dyDescent="0.3">
      <c r="Y1021">
        <f t="shared" si="50"/>
        <v>3656</v>
      </c>
      <c r="Z1021" s="20">
        <f t="shared" si="51"/>
        <v>91.049692909698891</v>
      </c>
      <c r="AA1021">
        <f t="shared" si="52"/>
        <v>176484.20341088125</v>
      </c>
    </row>
    <row r="1022" spans="25:27" x14ac:dyDescent="0.3">
      <c r="Y1022">
        <f t="shared" ref="Y1022:Y1085" si="53">Y1021+2</f>
        <v>3658</v>
      </c>
      <c r="Z1022" s="20">
        <f t="shared" si="51"/>
        <v>90.929586602660152</v>
      </c>
      <c r="AA1022">
        <f t="shared" si="52"/>
        <v>176575.13299748392</v>
      </c>
    </row>
    <row r="1023" spans="25:27" x14ac:dyDescent="0.3">
      <c r="Y1023">
        <f t="shared" si="53"/>
        <v>3660</v>
      </c>
      <c r="Z1023" s="20">
        <f t="shared" si="51"/>
        <v>90.809638731356145</v>
      </c>
      <c r="AA1023">
        <f t="shared" si="52"/>
        <v>176665.94263621527</v>
      </c>
    </row>
    <row r="1024" spans="25:27" x14ac:dyDescent="0.3">
      <c r="Y1024">
        <f t="shared" si="53"/>
        <v>3662</v>
      </c>
      <c r="Z1024" s="20">
        <f t="shared" si="51"/>
        <v>90.689849086789621</v>
      </c>
      <c r="AA1024">
        <f t="shared" si="52"/>
        <v>176756.63248530205</v>
      </c>
    </row>
    <row r="1025" spans="25:27" x14ac:dyDescent="0.3">
      <c r="Y1025">
        <f t="shared" si="53"/>
        <v>3664</v>
      </c>
      <c r="Z1025" s="20">
        <f t="shared" si="51"/>
        <v>90.570217460239107</v>
      </c>
      <c r="AA1025">
        <f t="shared" si="52"/>
        <v>176847.2027027623</v>
      </c>
    </row>
    <row r="1026" spans="25:27" x14ac:dyDescent="0.3">
      <c r="Y1026">
        <f t="shared" si="53"/>
        <v>3666</v>
      </c>
      <c r="Z1026" s="20">
        <f t="shared" si="51"/>
        <v>90.450743643258377</v>
      </c>
      <c r="AA1026">
        <f t="shared" si="52"/>
        <v>176937.65344640554</v>
      </c>
    </row>
    <row r="1027" spans="25:27" x14ac:dyDescent="0.3">
      <c r="Y1027">
        <f t="shared" si="53"/>
        <v>3668</v>
      </c>
      <c r="Z1027" s="20">
        <f t="shared" si="51"/>
        <v>90.331427427676303</v>
      </c>
      <c r="AA1027">
        <f t="shared" si="52"/>
        <v>177027.98487383322</v>
      </c>
    </row>
    <row r="1028" spans="25:27" x14ac:dyDescent="0.3">
      <c r="Y1028">
        <f t="shared" si="53"/>
        <v>3670</v>
      </c>
      <c r="Z1028" s="20">
        <f t="shared" ref="Z1028:Z1091" si="54">1016.74887*EXP(-0.00066*Y1028)</f>
        <v>90.212268605596179</v>
      </c>
      <c r="AA1028">
        <f t="shared" si="52"/>
        <v>177118.19714243882</v>
      </c>
    </row>
    <row r="1029" spans="25:27" x14ac:dyDescent="0.3">
      <c r="Y1029">
        <f t="shared" si="53"/>
        <v>3672</v>
      </c>
      <c r="Z1029" s="20">
        <f t="shared" si="54"/>
        <v>90.093266969395742</v>
      </c>
      <c r="AA1029">
        <f t="shared" ref="AA1029:AA1092" si="55">AA1028+Z1029</f>
        <v>177208.29040940822</v>
      </c>
    </row>
    <row r="1030" spans="25:27" x14ac:dyDescent="0.3">
      <c r="Y1030">
        <f t="shared" si="53"/>
        <v>3674</v>
      </c>
      <c r="Z1030" s="20">
        <f t="shared" si="54"/>
        <v>89.974422311726428</v>
      </c>
      <c r="AA1030">
        <f t="shared" si="55"/>
        <v>177298.26483171995</v>
      </c>
    </row>
    <row r="1031" spans="25:27" x14ac:dyDescent="0.3">
      <c r="Y1031">
        <f t="shared" si="53"/>
        <v>3676</v>
      </c>
      <c r="Z1031" s="20">
        <f t="shared" si="54"/>
        <v>89.855734425513347</v>
      </c>
      <c r="AA1031">
        <f t="shared" si="55"/>
        <v>177388.12056614546</v>
      </c>
    </row>
    <row r="1032" spans="25:27" x14ac:dyDescent="0.3">
      <c r="Y1032">
        <f t="shared" si="53"/>
        <v>3678</v>
      </c>
      <c r="Z1032" s="20">
        <f t="shared" si="54"/>
        <v>89.737203103954641</v>
      </c>
      <c r="AA1032">
        <f t="shared" si="55"/>
        <v>177477.85776924941</v>
      </c>
    </row>
    <row r="1033" spans="25:27" x14ac:dyDescent="0.3">
      <c r="Y1033">
        <f t="shared" si="53"/>
        <v>3680</v>
      </c>
      <c r="Z1033" s="20">
        <f t="shared" si="54"/>
        <v>89.61882814052133</v>
      </c>
      <c r="AA1033">
        <f t="shared" si="55"/>
        <v>177567.47659738993</v>
      </c>
    </row>
    <row r="1034" spans="25:27" x14ac:dyDescent="0.3">
      <c r="Y1034">
        <f t="shared" si="53"/>
        <v>3682</v>
      </c>
      <c r="Z1034" s="20">
        <f t="shared" si="54"/>
        <v>89.500609328956841</v>
      </c>
      <c r="AA1034">
        <f t="shared" si="55"/>
        <v>177656.9772067189</v>
      </c>
    </row>
    <row r="1035" spans="25:27" x14ac:dyDescent="0.3">
      <c r="Y1035">
        <f t="shared" si="53"/>
        <v>3684</v>
      </c>
      <c r="Z1035" s="20">
        <f t="shared" si="54"/>
        <v>89.382546463276725</v>
      </c>
      <c r="AA1035">
        <f t="shared" si="55"/>
        <v>177746.35975318219</v>
      </c>
    </row>
    <row r="1036" spans="25:27" x14ac:dyDescent="0.3">
      <c r="Y1036">
        <f t="shared" si="53"/>
        <v>3686</v>
      </c>
      <c r="Z1036" s="20">
        <f t="shared" si="54"/>
        <v>89.264639337768116</v>
      </c>
      <c r="AA1036">
        <f t="shared" si="55"/>
        <v>177835.62439251997</v>
      </c>
    </row>
    <row r="1037" spans="25:27" x14ac:dyDescent="0.3">
      <c r="Y1037">
        <f t="shared" si="53"/>
        <v>3688</v>
      </c>
      <c r="Z1037" s="20">
        <f t="shared" si="54"/>
        <v>89.146887746989734</v>
      </c>
      <c r="AA1037">
        <f t="shared" si="55"/>
        <v>177924.77128026696</v>
      </c>
    </row>
    <row r="1038" spans="25:27" x14ac:dyDescent="0.3">
      <c r="Y1038">
        <f t="shared" si="53"/>
        <v>3690</v>
      </c>
      <c r="Z1038" s="20">
        <f t="shared" si="54"/>
        <v>89.029291485771068</v>
      </c>
      <c r="AA1038">
        <f t="shared" si="55"/>
        <v>178013.80057175274</v>
      </c>
    </row>
    <row r="1039" spans="25:27" x14ac:dyDescent="0.3">
      <c r="Y1039">
        <f t="shared" si="53"/>
        <v>3692</v>
      </c>
      <c r="Z1039" s="20">
        <f t="shared" si="54"/>
        <v>88.911850349212443</v>
      </c>
      <c r="AA1039">
        <f t="shared" si="55"/>
        <v>178102.71242210196</v>
      </c>
    </row>
    <row r="1040" spans="25:27" x14ac:dyDescent="0.3">
      <c r="Y1040">
        <f t="shared" si="53"/>
        <v>3694</v>
      </c>
      <c r="Z1040" s="20">
        <f t="shared" si="54"/>
        <v>88.794564132684343</v>
      </c>
      <c r="AA1040">
        <f t="shared" si="55"/>
        <v>178191.50698623466</v>
      </c>
    </row>
    <row r="1041" spans="25:27" x14ac:dyDescent="0.3">
      <c r="Y1041">
        <f t="shared" si="53"/>
        <v>3696</v>
      </c>
      <c r="Z1041" s="20">
        <f t="shared" si="54"/>
        <v>88.677432631827244</v>
      </c>
      <c r="AA1041">
        <f t="shared" si="55"/>
        <v>178280.1844188665</v>
      </c>
    </row>
    <row r="1042" spans="25:27" x14ac:dyDescent="0.3">
      <c r="Y1042">
        <f t="shared" si="53"/>
        <v>3698</v>
      </c>
      <c r="Z1042" s="20">
        <f t="shared" si="54"/>
        <v>88.560455642551233</v>
      </c>
      <c r="AA1042">
        <f t="shared" si="55"/>
        <v>178368.74487450905</v>
      </c>
    </row>
    <row r="1043" spans="25:27" x14ac:dyDescent="0.3">
      <c r="Y1043">
        <f t="shared" si="53"/>
        <v>3700</v>
      </c>
      <c r="Z1043" s="20">
        <f t="shared" si="54"/>
        <v>88.44363296103549</v>
      </c>
      <c r="AA1043">
        <f t="shared" si="55"/>
        <v>178457.1885074701</v>
      </c>
    </row>
    <row r="1044" spans="25:27" x14ac:dyDescent="0.3">
      <c r="Y1044">
        <f t="shared" si="53"/>
        <v>3702</v>
      </c>
      <c r="Z1044" s="20">
        <f t="shared" si="54"/>
        <v>88.326964383728239</v>
      </c>
      <c r="AA1044">
        <f t="shared" si="55"/>
        <v>178545.51547185384</v>
      </c>
    </row>
    <row r="1045" spans="25:27" x14ac:dyDescent="0.3">
      <c r="Y1045">
        <f t="shared" si="53"/>
        <v>3704</v>
      </c>
      <c r="Z1045" s="20">
        <f t="shared" si="54"/>
        <v>88.210449707346044</v>
      </c>
      <c r="AA1045">
        <f t="shared" si="55"/>
        <v>178633.72592156118</v>
      </c>
    </row>
    <row r="1046" spans="25:27" x14ac:dyDescent="0.3">
      <c r="Y1046">
        <f t="shared" si="53"/>
        <v>3706</v>
      </c>
      <c r="Z1046" s="20">
        <f t="shared" si="54"/>
        <v>88.094088728873771</v>
      </c>
      <c r="AA1046">
        <f t="shared" si="55"/>
        <v>178721.82001029004</v>
      </c>
    </row>
    <row r="1047" spans="25:27" x14ac:dyDescent="0.3">
      <c r="Y1047">
        <f t="shared" si="53"/>
        <v>3708</v>
      </c>
      <c r="Z1047" s="20">
        <f t="shared" si="54"/>
        <v>87.97788124556395</v>
      </c>
      <c r="AA1047">
        <f t="shared" si="55"/>
        <v>178809.79789153562</v>
      </c>
    </row>
    <row r="1048" spans="25:27" x14ac:dyDescent="0.3">
      <c r="Y1048">
        <f t="shared" si="53"/>
        <v>3710</v>
      </c>
      <c r="Z1048" s="20">
        <f t="shared" si="54"/>
        <v>87.861827054936711</v>
      </c>
      <c r="AA1048">
        <f t="shared" si="55"/>
        <v>178897.65971859056</v>
      </c>
    </row>
    <row r="1049" spans="25:27" x14ac:dyDescent="0.3">
      <c r="Y1049">
        <f t="shared" si="53"/>
        <v>3712</v>
      </c>
      <c r="Z1049" s="20">
        <f t="shared" si="54"/>
        <v>87.745925954779111</v>
      </c>
      <c r="AA1049">
        <f t="shared" si="55"/>
        <v>178985.40564454533</v>
      </c>
    </row>
    <row r="1050" spans="25:27" x14ac:dyDescent="0.3">
      <c r="Y1050">
        <f t="shared" si="53"/>
        <v>3714</v>
      </c>
      <c r="Z1050" s="20">
        <f t="shared" si="54"/>
        <v>87.630177743145154</v>
      </c>
      <c r="AA1050">
        <f t="shared" si="55"/>
        <v>179073.03582228848</v>
      </c>
    </row>
    <row r="1051" spans="25:27" x14ac:dyDescent="0.3">
      <c r="Y1051">
        <f t="shared" si="53"/>
        <v>3716</v>
      </c>
      <c r="Z1051" s="20">
        <f t="shared" si="54"/>
        <v>87.514582218355002</v>
      </c>
      <c r="AA1051">
        <f t="shared" si="55"/>
        <v>179160.55040450685</v>
      </c>
    </row>
    <row r="1052" spans="25:27" x14ac:dyDescent="0.3">
      <c r="Y1052">
        <f t="shared" si="53"/>
        <v>3718</v>
      </c>
      <c r="Z1052" s="20">
        <f t="shared" si="54"/>
        <v>87.3991391789951</v>
      </c>
      <c r="AA1052">
        <f t="shared" si="55"/>
        <v>179247.94954368586</v>
      </c>
    </row>
    <row r="1053" spans="25:27" x14ac:dyDescent="0.3">
      <c r="Y1053">
        <f t="shared" si="53"/>
        <v>3720</v>
      </c>
      <c r="Z1053" s="20">
        <f t="shared" si="54"/>
        <v>87.283848423917391</v>
      </c>
      <c r="AA1053">
        <f t="shared" si="55"/>
        <v>179335.23339210977</v>
      </c>
    </row>
    <row r="1054" spans="25:27" x14ac:dyDescent="0.3">
      <c r="Y1054">
        <f t="shared" si="53"/>
        <v>3722</v>
      </c>
      <c r="Z1054" s="20">
        <f t="shared" si="54"/>
        <v>87.16870975223928</v>
      </c>
      <c r="AA1054">
        <f t="shared" si="55"/>
        <v>179422.40210186201</v>
      </c>
    </row>
    <row r="1055" spans="25:27" x14ac:dyDescent="0.3">
      <c r="Y1055">
        <f t="shared" si="53"/>
        <v>3724</v>
      </c>
      <c r="Z1055" s="20">
        <f t="shared" si="54"/>
        <v>87.053722963343048</v>
      </c>
      <c r="AA1055">
        <f t="shared" si="55"/>
        <v>179509.45582482536</v>
      </c>
    </row>
    <row r="1056" spans="25:27" x14ac:dyDescent="0.3">
      <c r="Y1056">
        <f t="shared" si="53"/>
        <v>3726</v>
      </c>
      <c r="Z1056" s="20">
        <f t="shared" si="54"/>
        <v>86.938887856875795</v>
      </c>
      <c r="AA1056">
        <f t="shared" si="55"/>
        <v>179596.39471268223</v>
      </c>
    </row>
    <row r="1057" spans="25:27" x14ac:dyDescent="0.3">
      <c r="Y1057">
        <f t="shared" si="53"/>
        <v>3728</v>
      </c>
      <c r="Z1057" s="20">
        <f t="shared" si="54"/>
        <v>86.824204232748684</v>
      </c>
      <c r="AA1057">
        <f t="shared" si="55"/>
        <v>179683.21891691498</v>
      </c>
    </row>
    <row r="1058" spans="25:27" x14ac:dyDescent="0.3">
      <c r="Y1058">
        <f t="shared" si="53"/>
        <v>3730</v>
      </c>
      <c r="Z1058" s="20">
        <f t="shared" si="54"/>
        <v>86.709671891137035</v>
      </c>
      <c r="AA1058">
        <f t="shared" si="55"/>
        <v>179769.92858880613</v>
      </c>
    </row>
    <row r="1059" spans="25:27" x14ac:dyDescent="0.3">
      <c r="Y1059">
        <f t="shared" si="53"/>
        <v>3732</v>
      </c>
      <c r="Z1059" s="20">
        <f t="shared" si="54"/>
        <v>86.595290632479589</v>
      </c>
      <c r="AA1059">
        <f t="shared" si="55"/>
        <v>179856.52387943861</v>
      </c>
    </row>
    <row r="1060" spans="25:27" x14ac:dyDescent="0.3">
      <c r="Y1060">
        <f t="shared" si="53"/>
        <v>3734</v>
      </c>
      <c r="Z1060" s="20">
        <f t="shared" si="54"/>
        <v>86.481060257478447</v>
      </c>
      <c r="AA1060">
        <f t="shared" si="55"/>
        <v>179943.00493969608</v>
      </c>
    </row>
    <row r="1061" spans="25:27" x14ac:dyDescent="0.3">
      <c r="Y1061">
        <f t="shared" si="53"/>
        <v>3736</v>
      </c>
      <c r="Z1061" s="20">
        <f t="shared" si="54"/>
        <v>86.366980567098608</v>
      </c>
      <c r="AA1061">
        <f t="shared" si="55"/>
        <v>180029.37192026319</v>
      </c>
    </row>
    <row r="1062" spans="25:27" x14ac:dyDescent="0.3">
      <c r="Y1062">
        <f t="shared" si="53"/>
        <v>3738</v>
      </c>
      <c r="Z1062" s="20">
        <f t="shared" si="54"/>
        <v>86.253051362567533</v>
      </c>
      <c r="AA1062">
        <f t="shared" si="55"/>
        <v>180115.62497162574</v>
      </c>
    </row>
    <row r="1063" spans="25:27" x14ac:dyDescent="0.3">
      <c r="Y1063">
        <f t="shared" si="53"/>
        <v>3740</v>
      </c>
      <c r="Z1063" s="20">
        <f t="shared" si="54"/>
        <v>86.139272445375013</v>
      </c>
      <c r="AA1063">
        <f t="shared" si="55"/>
        <v>180201.76424407112</v>
      </c>
    </row>
    <row r="1064" spans="25:27" x14ac:dyDescent="0.3">
      <c r="Y1064">
        <f t="shared" si="53"/>
        <v>3742</v>
      </c>
      <c r="Z1064" s="20">
        <f t="shared" si="54"/>
        <v>86.025643617272564</v>
      </c>
      <c r="AA1064">
        <f t="shared" si="55"/>
        <v>180287.78988768838</v>
      </c>
    </row>
    <row r="1065" spans="25:27" x14ac:dyDescent="0.3">
      <c r="Y1065">
        <f t="shared" si="53"/>
        <v>3744</v>
      </c>
      <c r="Z1065" s="20">
        <f t="shared" si="54"/>
        <v>85.912164680273335</v>
      </c>
      <c r="AA1065">
        <f t="shared" si="55"/>
        <v>180373.70205236867</v>
      </c>
    </row>
    <row r="1066" spans="25:27" x14ac:dyDescent="0.3">
      <c r="Y1066">
        <f t="shared" si="53"/>
        <v>3746</v>
      </c>
      <c r="Z1066" s="20">
        <f t="shared" si="54"/>
        <v>85.798835436651558</v>
      </c>
      <c r="AA1066">
        <f t="shared" si="55"/>
        <v>180459.5008878053</v>
      </c>
    </row>
    <row r="1067" spans="25:27" x14ac:dyDescent="0.3">
      <c r="Y1067">
        <f t="shared" si="53"/>
        <v>3748</v>
      </c>
      <c r="Z1067" s="20">
        <f t="shared" si="54"/>
        <v>85.68565568894239</v>
      </c>
      <c r="AA1067">
        <f t="shared" si="55"/>
        <v>180545.18654349426</v>
      </c>
    </row>
    <row r="1068" spans="25:27" x14ac:dyDescent="0.3">
      <c r="Y1068">
        <f t="shared" si="53"/>
        <v>3750</v>
      </c>
      <c r="Z1068" s="20">
        <f t="shared" si="54"/>
        <v>85.572625239941317</v>
      </c>
      <c r="AA1068">
        <f t="shared" si="55"/>
        <v>180630.75916873419</v>
      </c>
    </row>
    <row r="1069" spans="25:27" x14ac:dyDescent="0.3">
      <c r="Y1069">
        <f t="shared" si="53"/>
        <v>3752</v>
      </c>
      <c r="Z1069" s="20">
        <f t="shared" si="54"/>
        <v>85.459743892704154</v>
      </c>
      <c r="AA1069">
        <f t="shared" si="55"/>
        <v>180716.21891262691</v>
      </c>
    </row>
    <row r="1070" spans="25:27" x14ac:dyDescent="0.3">
      <c r="Y1070">
        <f t="shared" si="53"/>
        <v>3754</v>
      </c>
      <c r="Z1070" s="20">
        <f t="shared" si="54"/>
        <v>85.347011450546347</v>
      </c>
      <c r="AA1070">
        <f t="shared" si="55"/>
        <v>180801.56592407744</v>
      </c>
    </row>
    <row r="1071" spans="25:27" x14ac:dyDescent="0.3">
      <c r="Y1071">
        <f t="shared" si="53"/>
        <v>3756</v>
      </c>
      <c r="Z1071" s="20">
        <f t="shared" si="54"/>
        <v>85.234427717042919</v>
      </c>
      <c r="AA1071">
        <f t="shared" si="55"/>
        <v>180886.80035179449</v>
      </c>
    </row>
    <row r="1072" spans="25:27" x14ac:dyDescent="0.3">
      <c r="Y1072">
        <f t="shared" si="53"/>
        <v>3758</v>
      </c>
      <c r="Z1072" s="20">
        <f t="shared" si="54"/>
        <v>85.121992496027858</v>
      </c>
      <c r="AA1072">
        <f t="shared" si="55"/>
        <v>180971.92234429051</v>
      </c>
    </row>
    <row r="1073" spans="25:27" x14ac:dyDescent="0.3">
      <c r="Y1073">
        <f t="shared" si="53"/>
        <v>3760</v>
      </c>
      <c r="Z1073" s="20">
        <f t="shared" si="54"/>
        <v>85.009705591594113</v>
      </c>
      <c r="AA1073">
        <f t="shared" si="55"/>
        <v>181056.9320498821</v>
      </c>
    </row>
    <row r="1074" spans="25:27" x14ac:dyDescent="0.3">
      <c r="Y1074">
        <f t="shared" si="53"/>
        <v>3762</v>
      </c>
      <c r="Z1074" s="20">
        <f t="shared" si="54"/>
        <v>84.897566808092861</v>
      </c>
      <c r="AA1074">
        <f t="shared" si="55"/>
        <v>181141.8296166902</v>
      </c>
    </row>
    <row r="1075" spans="25:27" x14ac:dyDescent="0.3">
      <c r="Y1075">
        <f t="shared" si="53"/>
        <v>3764</v>
      </c>
      <c r="Z1075" s="20">
        <f t="shared" si="54"/>
        <v>84.78557595013352</v>
      </c>
      <c r="AA1075">
        <f t="shared" si="55"/>
        <v>181226.61519264034</v>
      </c>
    </row>
    <row r="1076" spans="25:27" x14ac:dyDescent="0.3">
      <c r="Y1076">
        <f t="shared" si="53"/>
        <v>3766</v>
      </c>
      <c r="Z1076" s="20">
        <f t="shared" si="54"/>
        <v>84.673732822583133</v>
      </c>
      <c r="AA1076">
        <f t="shared" si="55"/>
        <v>181311.28892546293</v>
      </c>
    </row>
    <row r="1077" spans="25:27" x14ac:dyDescent="0.3">
      <c r="Y1077">
        <f t="shared" si="53"/>
        <v>3768</v>
      </c>
      <c r="Z1077" s="20">
        <f t="shared" si="54"/>
        <v>84.562037230566233</v>
      </c>
      <c r="AA1077">
        <f t="shared" si="55"/>
        <v>181395.85096269348</v>
      </c>
    </row>
    <row r="1078" spans="25:27" x14ac:dyDescent="0.3">
      <c r="Y1078">
        <f t="shared" si="53"/>
        <v>3770</v>
      </c>
      <c r="Z1078" s="20">
        <f t="shared" si="54"/>
        <v>84.450488979464438</v>
      </c>
      <c r="AA1078">
        <f t="shared" si="55"/>
        <v>181480.30145167295</v>
      </c>
    </row>
    <row r="1079" spans="25:27" x14ac:dyDescent="0.3">
      <c r="Y1079">
        <f t="shared" si="53"/>
        <v>3772</v>
      </c>
      <c r="Z1079" s="20">
        <f t="shared" si="54"/>
        <v>84.339087874915975</v>
      </c>
      <c r="AA1079">
        <f t="shared" si="55"/>
        <v>181564.64053954787</v>
      </c>
    </row>
    <row r="1080" spans="25:27" x14ac:dyDescent="0.3">
      <c r="Y1080">
        <f t="shared" si="53"/>
        <v>3774</v>
      </c>
      <c r="Z1080" s="20">
        <f t="shared" si="54"/>
        <v>84.227833722815589</v>
      </c>
      <c r="AA1080">
        <f t="shared" si="55"/>
        <v>181648.86837327067</v>
      </c>
    </row>
    <row r="1081" spans="25:27" x14ac:dyDescent="0.3">
      <c r="Y1081">
        <f t="shared" si="53"/>
        <v>3776</v>
      </c>
      <c r="Z1081" s="20">
        <f t="shared" si="54"/>
        <v>84.116726329313963</v>
      </c>
      <c r="AA1081">
        <f t="shared" si="55"/>
        <v>181732.98509959999</v>
      </c>
    </row>
    <row r="1082" spans="25:27" x14ac:dyDescent="0.3">
      <c r="Y1082">
        <f t="shared" si="53"/>
        <v>3778</v>
      </c>
      <c r="Z1082" s="20">
        <f t="shared" si="54"/>
        <v>84.005765500817603</v>
      </c>
      <c r="AA1082">
        <f t="shared" si="55"/>
        <v>181816.99086510082</v>
      </c>
    </row>
    <row r="1083" spans="25:27" x14ac:dyDescent="0.3">
      <c r="Y1083">
        <f t="shared" si="53"/>
        <v>3780</v>
      </c>
      <c r="Z1083" s="20">
        <f t="shared" si="54"/>
        <v>83.894951043988272</v>
      </c>
      <c r="AA1083">
        <f t="shared" si="55"/>
        <v>181900.88581614482</v>
      </c>
    </row>
    <row r="1084" spans="25:27" x14ac:dyDescent="0.3">
      <c r="Y1084">
        <f t="shared" si="53"/>
        <v>3782</v>
      </c>
      <c r="Z1084" s="20">
        <f t="shared" si="54"/>
        <v>83.784282765742901</v>
      </c>
      <c r="AA1084">
        <f t="shared" si="55"/>
        <v>181984.67009891054</v>
      </c>
    </row>
    <row r="1085" spans="25:27" x14ac:dyDescent="0.3">
      <c r="Y1085">
        <f t="shared" si="53"/>
        <v>3784</v>
      </c>
      <c r="Z1085" s="20">
        <f t="shared" si="54"/>
        <v>83.673760473252983</v>
      </c>
      <c r="AA1085">
        <f t="shared" si="55"/>
        <v>182068.34385938381</v>
      </c>
    </row>
    <row r="1086" spans="25:27" x14ac:dyDescent="0.3">
      <c r="Y1086">
        <f t="shared" ref="Y1086:Y1149" si="56">Y1085+2</f>
        <v>3786</v>
      </c>
      <c r="Z1086" s="20">
        <f t="shared" si="54"/>
        <v>83.563383973944525</v>
      </c>
      <c r="AA1086">
        <f t="shared" si="55"/>
        <v>182151.90724335774</v>
      </c>
    </row>
    <row r="1087" spans="25:27" x14ac:dyDescent="0.3">
      <c r="Y1087">
        <f t="shared" si="56"/>
        <v>3788</v>
      </c>
      <c r="Z1087" s="20">
        <f t="shared" si="54"/>
        <v>83.453153075497397</v>
      </c>
      <c r="AA1087">
        <f t="shared" si="55"/>
        <v>182235.36039643324</v>
      </c>
    </row>
    <row r="1088" spans="25:27" x14ac:dyDescent="0.3">
      <c r="Y1088">
        <f t="shared" si="56"/>
        <v>3790</v>
      </c>
      <c r="Z1088" s="20">
        <f t="shared" si="54"/>
        <v>83.343067585845347</v>
      </c>
      <c r="AA1088">
        <f t="shared" si="55"/>
        <v>182318.70346401908</v>
      </c>
    </row>
    <row r="1089" spans="25:27" x14ac:dyDescent="0.3">
      <c r="Y1089">
        <f t="shared" si="56"/>
        <v>3792</v>
      </c>
      <c r="Z1089" s="20">
        <f t="shared" si="54"/>
        <v>83.233127313175302</v>
      </c>
      <c r="AA1089">
        <f t="shared" si="55"/>
        <v>182401.93659133225</v>
      </c>
    </row>
    <row r="1090" spans="25:27" x14ac:dyDescent="0.3">
      <c r="Y1090">
        <f t="shared" si="56"/>
        <v>3794</v>
      </c>
      <c r="Z1090" s="20">
        <f t="shared" si="54"/>
        <v>83.123332065927372</v>
      </c>
      <c r="AA1090">
        <f t="shared" si="55"/>
        <v>182485.05992339819</v>
      </c>
    </row>
    <row r="1091" spans="25:27" x14ac:dyDescent="0.3">
      <c r="Y1091">
        <f t="shared" si="56"/>
        <v>3796</v>
      </c>
      <c r="Z1091" s="20">
        <f t="shared" si="54"/>
        <v>83.013681652794247</v>
      </c>
      <c r="AA1091">
        <f t="shared" si="55"/>
        <v>182568.07360505097</v>
      </c>
    </row>
    <row r="1092" spans="25:27" x14ac:dyDescent="0.3">
      <c r="Y1092">
        <f t="shared" si="56"/>
        <v>3798</v>
      </c>
      <c r="Z1092" s="20">
        <f t="shared" ref="Z1092:Z1155" si="57">1016.74887*EXP(-0.00066*Y1092)</f>
        <v>82.904175882721063</v>
      </c>
      <c r="AA1092">
        <f t="shared" si="55"/>
        <v>182650.9777809337</v>
      </c>
    </row>
    <row r="1093" spans="25:27" x14ac:dyDescent="0.3">
      <c r="Y1093">
        <f t="shared" si="56"/>
        <v>3800</v>
      </c>
      <c r="Z1093" s="20">
        <f t="shared" si="57"/>
        <v>82.794814564904883</v>
      </c>
      <c r="AA1093">
        <f t="shared" ref="AA1093:AA1156" si="58">AA1092+Z1093</f>
        <v>182733.77259549859</v>
      </c>
    </row>
    <row r="1094" spans="25:27" x14ac:dyDescent="0.3">
      <c r="Y1094">
        <f t="shared" si="56"/>
        <v>3802</v>
      </c>
      <c r="Z1094" s="20">
        <f t="shared" si="57"/>
        <v>82.685597508794572</v>
      </c>
      <c r="AA1094">
        <f t="shared" si="58"/>
        <v>182816.45819300739</v>
      </c>
    </row>
    <row r="1095" spans="25:27" x14ac:dyDescent="0.3">
      <c r="Y1095">
        <f t="shared" si="56"/>
        <v>3804</v>
      </c>
      <c r="Z1095" s="20">
        <f t="shared" si="57"/>
        <v>82.576524524090246</v>
      </c>
      <c r="AA1095">
        <f t="shared" si="58"/>
        <v>182899.03471753147</v>
      </c>
    </row>
    <row r="1096" spans="25:27" x14ac:dyDescent="0.3">
      <c r="Y1096">
        <f t="shared" si="56"/>
        <v>3806</v>
      </c>
      <c r="Z1096" s="20">
        <f t="shared" si="57"/>
        <v>82.467595420743152</v>
      </c>
      <c r="AA1096">
        <f t="shared" si="58"/>
        <v>182981.50231295222</v>
      </c>
    </row>
    <row r="1097" spans="25:27" x14ac:dyDescent="0.3">
      <c r="Y1097">
        <f t="shared" si="56"/>
        <v>3808</v>
      </c>
      <c r="Z1097" s="20">
        <f t="shared" si="57"/>
        <v>82.358810008955203</v>
      </c>
      <c r="AA1097">
        <f t="shared" si="58"/>
        <v>183063.86112296119</v>
      </c>
    </row>
    <row r="1098" spans="25:27" x14ac:dyDescent="0.3">
      <c r="Y1098">
        <f t="shared" si="56"/>
        <v>3810</v>
      </c>
      <c r="Z1098" s="20">
        <f t="shared" si="57"/>
        <v>82.250168099178623</v>
      </c>
      <c r="AA1098">
        <f t="shared" si="58"/>
        <v>183146.11129106037</v>
      </c>
    </row>
    <row r="1099" spans="25:27" x14ac:dyDescent="0.3">
      <c r="Y1099">
        <f t="shared" si="56"/>
        <v>3812</v>
      </c>
      <c r="Z1099" s="20">
        <f t="shared" si="57"/>
        <v>82.141669502115789</v>
      </c>
      <c r="AA1099">
        <f t="shared" si="58"/>
        <v>183228.25296056247</v>
      </c>
    </row>
    <row r="1100" spans="25:27" x14ac:dyDescent="0.3">
      <c r="Y1100">
        <f t="shared" si="56"/>
        <v>3814</v>
      </c>
      <c r="Z1100" s="20">
        <f t="shared" si="57"/>
        <v>82.033314028718621</v>
      </c>
      <c r="AA1100">
        <f t="shared" si="58"/>
        <v>183310.2862745912</v>
      </c>
    </row>
    <row r="1101" spans="25:27" x14ac:dyDescent="0.3">
      <c r="Y1101">
        <f t="shared" si="56"/>
        <v>3816</v>
      </c>
      <c r="Z1101" s="20">
        <f t="shared" si="57"/>
        <v>81.925101490188624</v>
      </c>
      <c r="AA1101">
        <f t="shared" si="58"/>
        <v>183392.2113760814</v>
      </c>
    </row>
    <row r="1102" spans="25:27" x14ac:dyDescent="0.3">
      <c r="Y1102">
        <f t="shared" si="56"/>
        <v>3818</v>
      </c>
      <c r="Z1102" s="20">
        <f t="shared" si="57"/>
        <v>81.817031697976162</v>
      </c>
      <c r="AA1102">
        <f t="shared" si="58"/>
        <v>183474.02840777938</v>
      </c>
    </row>
    <row r="1103" spans="25:27" x14ac:dyDescent="0.3">
      <c r="Y1103">
        <f t="shared" si="56"/>
        <v>3820</v>
      </c>
      <c r="Z1103" s="20">
        <f t="shared" si="57"/>
        <v>81.709104463780449</v>
      </c>
      <c r="AA1103">
        <f t="shared" si="58"/>
        <v>183555.73751224315</v>
      </c>
    </row>
    <row r="1104" spans="25:27" x14ac:dyDescent="0.3">
      <c r="Y1104">
        <f t="shared" si="56"/>
        <v>3822</v>
      </c>
      <c r="Z1104" s="20">
        <f t="shared" si="57"/>
        <v>81.601319599549001</v>
      </c>
      <c r="AA1104">
        <f t="shared" si="58"/>
        <v>183637.3388318427</v>
      </c>
    </row>
    <row r="1105" spans="25:27" x14ac:dyDescent="0.3">
      <c r="Y1105">
        <f t="shared" si="56"/>
        <v>3824</v>
      </c>
      <c r="Z1105" s="20">
        <f t="shared" si="57"/>
        <v>81.493676917477487</v>
      </c>
      <c r="AA1105">
        <f t="shared" si="58"/>
        <v>183718.83250876018</v>
      </c>
    </row>
    <row r="1106" spans="25:27" x14ac:dyDescent="0.3">
      <c r="Y1106">
        <f t="shared" si="56"/>
        <v>3826</v>
      </c>
      <c r="Z1106" s="20">
        <f t="shared" si="57"/>
        <v>81.386176230009227</v>
      </c>
      <c r="AA1106">
        <f t="shared" si="58"/>
        <v>183800.21868499019</v>
      </c>
    </row>
    <row r="1107" spans="25:27" x14ac:dyDescent="0.3">
      <c r="Y1107">
        <f t="shared" si="56"/>
        <v>3828</v>
      </c>
      <c r="Z1107" s="20">
        <f t="shared" si="57"/>
        <v>81.27881734983508</v>
      </c>
      <c r="AA1107">
        <f t="shared" si="58"/>
        <v>183881.49750234003</v>
      </c>
    </row>
    <row r="1108" spans="25:27" x14ac:dyDescent="0.3">
      <c r="Y1108">
        <f t="shared" si="56"/>
        <v>3830</v>
      </c>
      <c r="Z1108" s="20">
        <f t="shared" si="57"/>
        <v>81.171600089892777</v>
      </c>
      <c r="AA1108">
        <f t="shared" si="58"/>
        <v>183962.66910242994</v>
      </c>
    </row>
    <row r="1109" spans="25:27" x14ac:dyDescent="0.3">
      <c r="Y1109">
        <f t="shared" si="56"/>
        <v>3832</v>
      </c>
      <c r="Z1109" s="20">
        <f t="shared" si="57"/>
        <v>81.064524263367048</v>
      </c>
      <c r="AA1109">
        <f t="shared" si="58"/>
        <v>184043.73362669331</v>
      </c>
    </row>
    <row r="1110" spans="25:27" x14ac:dyDescent="0.3">
      <c r="Y1110">
        <f t="shared" si="56"/>
        <v>3834</v>
      </c>
      <c r="Z1110" s="20">
        <f t="shared" si="57"/>
        <v>80.95758968368888</v>
      </c>
      <c r="AA1110">
        <f t="shared" si="58"/>
        <v>184124.69121637699</v>
      </c>
    </row>
    <row r="1111" spans="25:27" x14ac:dyDescent="0.3">
      <c r="Y1111">
        <f t="shared" si="56"/>
        <v>3836</v>
      </c>
      <c r="Z1111" s="20">
        <f t="shared" si="57"/>
        <v>80.850796164535495</v>
      </c>
      <c r="AA1111">
        <f t="shared" si="58"/>
        <v>184205.54201254153</v>
      </c>
    </row>
    <row r="1112" spans="25:27" x14ac:dyDescent="0.3">
      <c r="Y1112">
        <f t="shared" si="56"/>
        <v>3838</v>
      </c>
      <c r="Z1112" s="20">
        <f t="shared" si="57"/>
        <v>80.744143519829763</v>
      </c>
      <c r="AA1112">
        <f t="shared" si="58"/>
        <v>184286.28615606137</v>
      </c>
    </row>
    <row r="1113" spans="25:27" x14ac:dyDescent="0.3">
      <c r="Y1113">
        <f t="shared" si="56"/>
        <v>3840</v>
      </c>
      <c r="Z1113" s="20">
        <f t="shared" si="57"/>
        <v>80.637631563740158</v>
      </c>
      <c r="AA1113">
        <f t="shared" si="58"/>
        <v>184366.9237876251</v>
      </c>
    </row>
    <row r="1114" spans="25:27" x14ac:dyDescent="0.3">
      <c r="Y1114">
        <f t="shared" si="56"/>
        <v>3842</v>
      </c>
      <c r="Z1114" s="20">
        <f t="shared" si="57"/>
        <v>80.531260110680151</v>
      </c>
      <c r="AA1114">
        <f t="shared" si="58"/>
        <v>184447.45504773577</v>
      </c>
    </row>
    <row r="1115" spans="25:27" x14ac:dyDescent="0.3">
      <c r="Y1115">
        <f t="shared" si="56"/>
        <v>3844</v>
      </c>
      <c r="Z1115" s="20">
        <f t="shared" si="57"/>
        <v>80.425028975308138</v>
      </c>
      <c r="AA1115">
        <f t="shared" si="58"/>
        <v>184527.88007671107</v>
      </c>
    </row>
    <row r="1116" spans="25:27" x14ac:dyDescent="0.3">
      <c r="Y1116">
        <f t="shared" si="56"/>
        <v>3846</v>
      </c>
      <c r="Z1116" s="20">
        <f t="shared" si="57"/>
        <v>80.31893797252701</v>
      </c>
      <c r="AA1116">
        <f t="shared" si="58"/>
        <v>184608.1990146836</v>
      </c>
    </row>
    <row r="1117" spans="25:27" x14ac:dyDescent="0.3">
      <c r="Y1117">
        <f t="shared" si="56"/>
        <v>3848</v>
      </c>
      <c r="Z1117" s="20">
        <f t="shared" si="57"/>
        <v>80.212986917483676</v>
      </c>
      <c r="AA1117">
        <f t="shared" si="58"/>
        <v>184688.4120016011</v>
      </c>
    </row>
    <row r="1118" spans="25:27" x14ac:dyDescent="0.3">
      <c r="Y1118">
        <f t="shared" si="56"/>
        <v>3850</v>
      </c>
      <c r="Z1118" s="20">
        <f t="shared" si="57"/>
        <v>80.107175625569084</v>
      </c>
      <c r="AA1118">
        <f t="shared" si="58"/>
        <v>184768.51917722667</v>
      </c>
    </row>
    <row r="1119" spans="25:27" x14ac:dyDescent="0.3">
      <c r="Y1119">
        <f t="shared" si="56"/>
        <v>3852</v>
      </c>
      <c r="Z1119" s="20">
        <f t="shared" si="57"/>
        <v>80.001503912417519</v>
      </c>
      <c r="AA1119">
        <f t="shared" si="58"/>
        <v>184848.52068113908</v>
      </c>
    </row>
    <row r="1120" spans="25:27" x14ac:dyDescent="0.3">
      <c r="Y1120">
        <f t="shared" si="56"/>
        <v>3854</v>
      </c>
      <c r="Z1120" s="20">
        <f t="shared" si="57"/>
        <v>79.895971593906651</v>
      </c>
      <c r="AA1120">
        <f t="shared" si="58"/>
        <v>184928.41665273299</v>
      </c>
    </row>
    <row r="1121" spans="25:27" x14ac:dyDescent="0.3">
      <c r="Y1121">
        <f t="shared" si="56"/>
        <v>3856</v>
      </c>
      <c r="Z1121" s="20">
        <f t="shared" si="57"/>
        <v>79.790578486156875</v>
      </c>
      <c r="AA1121">
        <f t="shared" si="58"/>
        <v>185008.20723121916</v>
      </c>
    </row>
    <row r="1122" spans="25:27" x14ac:dyDescent="0.3">
      <c r="Y1122">
        <f t="shared" si="56"/>
        <v>3858</v>
      </c>
      <c r="Z1122" s="20">
        <f t="shared" si="57"/>
        <v>79.685324405531276</v>
      </c>
      <c r="AA1122">
        <f t="shared" si="58"/>
        <v>185087.89255562468</v>
      </c>
    </row>
    <row r="1123" spans="25:27" x14ac:dyDescent="0.3">
      <c r="Y1123">
        <f t="shared" si="56"/>
        <v>3860</v>
      </c>
      <c r="Z1123" s="20">
        <f t="shared" si="57"/>
        <v>79.580209168635037</v>
      </c>
      <c r="AA1123">
        <f t="shared" si="58"/>
        <v>185167.47276479332</v>
      </c>
    </row>
    <row r="1124" spans="25:27" x14ac:dyDescent="0.3">
      <c r="Y1124">
        <f t="shared" si="56"/>
        <v>3862</v>
      </c>
      <c r="Z1124" s="20">
        <f t="shared" si="57"/>
        <v>79.475232592315436</v>
      </c>
      <c r="AA1124">
        <f t="shared" si="58"/>
        <v>185246.94799738564</v>
      </c>
    </row>
    <row r="1125" spans="25:27" x14ac:dyDescent="0.3">
      <c r="Y1125">
        <f t="shared" si="56"/>
        <v>3864</v>
      </c>
      <c r="Z1125" s="20">
        <f t="shared" si="57"/>
        <v>79.370394493661166</v>
      </c>
      <c r="AA1125">
        <f t="shared" si="58"/>
        <v>185326.31839187929</v>
      </c>
    </row>
    <row r="1126" spans="25:27" x14ac:dyDescent="0.3">
      <c r="Y1126">
        <f t="shared" si="56"/>
        <v>3866</v>
      </c>
      <c r="Z1126" s="20">
        <f t="shared" si="57"/>
        <v>79.265694690002363</v>
      </c>
      <c r="AA1126">
        <f t="shared" si="58"/>
        <v>185405.58408656929</v>
      </c>
    </row>
    <row r="1127" spans="25:27" x14ac:dyDescent="0.3">
      <c r="Y1127">
        <f t="shared" si="56"/>
        <v>3868</v>
      </c>
      <c r="Z1127" s="20">
        <f t="shared" si="57"/>
        <v>79.161132998910034</v>
      </c>
      <c r="AA1127">
        <f t="shared" si="58"/>
        <v>185484.7452195682</v>
      </c>
    </row>
    <row r="1128" spans="25:27" x14ac:dyDescent="0.3">
      <c r="Y1128">
        <f t="shared" si="56"/>
        <v>3870</v>
      </c>
      <c r="Z1128" s="20">
        <f t="shared" si="57"/>
        <v>79.056709238195893</v>
      </c>
      <c r="AA1128">
        <f t="shared" si="58"/>
        <v>185563.80192880638</v>
      </c>
    </row>
    <row r="1129" spans="25:27" x14ac:dyDescent="0.3">
      <c r="Y1129">
        <f t="shared" si="56"/>
        <v>3872</v>
      </c>
      <c r="Z1129" s="20">
        <f t="shared" si="57"/>
        <v>78.952423225911886</v>
      </c>
      <c r="AA1129">
        <f t="shared" si="58"/>
        <v>185642.75435203229</v>
      </c>
    </row>
    <row r="1130" spans="25:27" x14ac:dyDescent="0.3">
      <c r="Y1130">
        <f t="shared" si="56"/>
        <v>3874</v>
      </c>
      <c r="Z1130" s="20">
        <f t="shared" si="57"/>
        <v>78.848274780350138</v>
      </c>
      <c r="AA1130">
        <f t="shared" si="58"/>
        <v>185721.60262681264</v>
      </c>
    </row>
    <row r="1131" spans="25:27" x14ac:dyDescent="0.3">
      <c r="Y1131">
        <f t="shared" si="56"/>
        <v>3876</v>
      </c>
      <c r="Z1131" s="20">
        <f t="shared" si="57"/>
        <v>78.744263720042269</v>
      </c>
      <c r="AA1131">
        <f t="shared" si="58"/>
        <v>185800.34689053267</v>
      </c>
    </row>
    <row r="1132" spans="25:27" x14ac:dyDescent="0.3">
      <c r="Y1132">
        <f t="shared" si="56"/>
        <v>3878</v>
      </c>
      <c r="Z1132" s="20">
        <f t="shared" si="57"/>
        <v>78.640389863759424</v>
      </c>
      <c r="AA1132">
        <f t="shared" si="58"/>
        <v>185878.98728039642</v>
      </c>
    </row>
    <row r="1133" spans="25:27" x14ac:dyDescent="0.3">
      <c r="Y1133">
        <f t="shared" si="56"/>
        <v>3880</v>
      </c>
      <c r="Z1133" s="20">
        <f t="shared" si="57"/>
        <v>78.5366530305118</v>
      </c>
      <c r="AA1133">
        <f t="shared" si="58"/>
        <v>185957.52393342694</v>
      </c>
    </row>
    <row r="1134" spans="25:27" x14ac:dyDescent="0.3">
      <c r="Y1134">
        <f t="shared" si="56"/>
        <v>3882</v>
      </c>
      <c r="Z1134" s="20">
        <f t="shared" si="57"/>
        <v>78.43305303954827</v>
      </c>
      <c r="AA1134">
        <f t="shared" si="58"/>
        <v>186035.95698646648</v>
      </c>
    </row>
    <row r="1135" spans="25:27" x14ac:dyDescent="0.3">
      <c r="Y1135">
        <f t="shared" si="56"/>
        <v>3884</v>
      </c>
      <c r="Z1135" s="20">
        <f t="shared" si="57"/>
        <v>78.329589710356217</v>
      </c>
      <c r="AA1135">
        <f t="shared" si="58"/>
        <v>186114.28657617685</v>
      </c>
    </row>
    <row r="1136" spans="25:27" x14ac:dyDescent="0.3">
      <c r="Y1136">
        <f t="shared" si="56"/>
        <v>3886</v>
      </c>
      <c r="Z1136" s="20">
        <f t="shared" si="57"/>
        <v>78.226262862661073</v>
      </c>
      <c r="AA1136">
        <f t="shared" si="58"/>
        <v>186192.5128390395</v>
      </c>
    </row>
    <row r="1137" spans="25:27" x14ac:dyDescent="0.3">
      <c r="Y1137">
        <f t="shared" si="56"/>
        <v>3888</v>
      </c>
      <c r="Z1137" s="20">
        <f t="shared" si="57"/>
        <v>78.12307231642616</v>
      </c>
      <c r="AA1137">
        <f t="shared" si="58"/>
        <v>186270.63591135593</v>
      </c>
    </row>
    <row r="1138" spans="25:27" x14ac:dyDescent="0.3">
      <c r="Y1138">
        <f t="shared" si="56"/>
        <v>3890</v>
      </c>
      <c r="Z1138" s="20">
        <f t="shared" si="57"/>
        <v>78.020017891852177</v>
      </c>
      <c r="AA1138">
        <f t="shared" si="58"/>
        <v>186348.65592924779</v>
      </c>
    </row>
    <row r="1139" spans="25:27" x14ac:dyDescent="0.3">
      <c r="Y1139">
        <f t="shared" si="56"/>
        <v>3892</v>
      </c>
      <c r="Z1139" s="20">
        <f t="shared" si="57"/>
        <v>77.917099409377158</v>
      </c>
      <c r="AA1139">
        <f t="shared" si="58"/>
        <v>186426.57302865718</v>
      </c>
    </row>
    <row r="1140" spans="25:27" x14ac:dyDescent="0.3">
      <c r="Y1140">
        <f t="shared" si="56"/>
        <v>3894</v>
      </c>
      <c r="Z1140" s="20">
        <f t="shared" si="57"/>
        <v>77.814316689675806</v>
      </c>
      <c r="AA1140">
        <f t="shared" si="58"/>
        <v>186504.38734534685</v>
      </c>
    </row>
    <row r="1141" spans="25:27" x14ac:dyDescent="0.3">
      <c r="Y1141">
        <f t="shared" si="56"/>
        <v>3896</v>
      </c>
      <c r="Z1141" s="20">
        <f t="shared" si="57"/>
        <v>77.71166955365959</v>
      </c>
      <c r="AA1141">
        <f t="shared" si="58"/>
        <v>186582.09901490051</v>
      </c>
    </row>
    <row r="1142" spans="25:27" x14ac:dyDescent="0.3">
      <c r="Y1142">
        <f t="shared" si="56"/>
        <v>3898</v>
      </c>
      <c r="Z1142" s="20">
        <f t="shared" si="57"/>
        <v>77.609157822476035</v>
      </c>
      <c r="AA1142">
        <f t="shared" si="58"/>
        <v>186659.70817272298</v>
      </c>
    </row>
    <row r="1143" spans="25:27" x14ac:dyDescent="0.3">
      <c r="Y1143">
        <f t="shared" si="56"/>
        <v>3900</v>
      </c>
      <c r="Z1143" s="20">
        <f t="shared" si="57"/>
        <v>77.506781317508725</v>
      </c>
      <c r="AA1143">
        <f t="shared" si="58"/>
        <v>186737.21495404048</v>
      </c>
    </row>
    <row r="1144" spans="25:27" x14ac:dyDescent="0.3">
      <c r="Y1144">
        <f t="shared" si="56"/>
        <v>3902</v>
      </c>
      <c r="Z1144" s="20">
        <f t="shared" si="57"/>
        <v>77.404539860376772</v>
      </c>
      <c r="AA1144">
        <f t="shared" si="58"/>
        <v>186814.61949390086</v>
      </c>
    </row>
    <row r="1145" spans="25:27" x14ac:dyDescent="0.3">
      <c r="Y1145">
        <f t="shared" si="56"/>
        <v>3904</v>
      </c>
      <c r="Z1145" s="20">
        <f t="shared" si="57"/>
        <v>77.302433272934664</v>
      </c>
      <c r="AA1145">
        <f t="shared" si="58"/>
        <v>186891.9219271738</v>
      </c>
    </row>
    <row r="1146" spans="25:27" x14ac:dyDescent="0.3">
      <c r="Y1146">
        <f t="shared" si="56"/>
        <v>3906</v>
      </c>
      <c r="Z1146" s="20">
        <f t="shared" si="57"/>
        <v>77.200461377271836</v>
      </c>
      <c r="AA1146">
        <f t="shared" si="58"/>
        <v>186969.12238855107</v>
      </c>
    </row>
    <row r="1147" spans="25:27" x14ac:dyDescent="0.3">
      <c r="Y1147">
        <f t="shared" si="56"/>
        <v>3908</v>
      </c>
      <c r="Z1147" s="20">
        <f t="shared" si="57"/>
        <v>77.098623995712472</v>
      </c>
      <c r="AA1147">
        <f t="shared" si="58"/>
        <v>187046.22101254677</v>
      </c>
    </row>
    <row r="1148" spans="25:27" x14ac:dyDescent="0.3">
      <c r="Y1148">
        <f t="shared" si="56"/>
        <v>3910</v>
      </c>
      <c r="Z1148" s="20">
        <f t="shared" si="57"/>
        <v>76.996920950815039</v>
      </c>
      <c r="AA1148">
        <f t="shared" si="58"/>
        <v>187123.2179334976</v>
      </c>
    </row>
    <row r="1149" spans="25:27" x14ac:dyDescent="0.3">
      <c r="Y1149">
        <f t="shared" si="56"/>
        <v>3912</v>
      </c>
      <c r="Z1149" s="20">
        <f t="shared" si="57"/>
        <v>76.89535206537218</v>
      </c>
      <c r="AA1149">
        <f t="shared" si="58"/>
        <v>187200.11328556295</v>
      </c>
    </row>
    <row r="1150" spans="25:27" x14ac:dyDescent="0.3">
      <c r="Y1150">
        <f t="shared" ref="Y1150:Y1213" si="59">Y1149+2</f>
        <v>3914</v>
      </c>
      <c r="Z1150" s="20">
        <f t="shared" si="57"/>
        <v>76.793917162410168</v>
      </c>
      <c r="AA1150">
        <f t="shared" si="58"/>
        <v>187276.90720272536</v>
      </c>
    </row>
    <row r="1151" spans="25:27" x14ac:dyDescent="0.3">
      <c r="Y1151">
        <f t="shared" si="59"/>
        <v>3916</v>
      </c>
      <c r="Z1151" s="20">
        <f t="shared" si="57"/>
        <v>76.692616065188858</v>
      </c>
      <c r="AA1151">
        <f t="shared" si="58"/>
        <v>187353.59981879054</v>
      </c>
    </row>
    <row r="1152" spans="25:27" x14ac:dyDescent="0.3">
      <c r="Y1152">
        <f t="shared" si="59"/>
        <v>3918</v>
      </c>
      <c r="Z1152" s="20">
        <f t="shared" si="57"/>
        <v>76.591448597201207</v>
      </c>
      <c r="AA1152">
        <f t="shared" si="58"/>
        <v>187430.19126738774</v>
      </c>
    </row>
    <row r="1153" spans="25:27" x14ac:dyDescent="0.3">
      <c r="Y1153">
        <f t="shared" si="59"/>
        <v>3920</v>
      </c>
      <c r="Z1153" s="20">
        <f t="shared" si="57"/>
        <v>76.490414582172946</v>
      </c>
      <c r="AA1153">
        <f t="shared" si="58"/>
        <v>187506.6816819699</v>
      </c>
    </row>
    <row r="1154" spans="25:27" x14ac:dyDescent="0.3">
      <c r="Y1154">
        <f t="shared" si="59"/>
        <v>3922</v>
      </c>
      <c r="Z1154" s="20">
        <f t="shared" si="57"/>
        <v>76.389513844062435</v>
      </c>
      <c r="AA1154">
        <f t="shared" si="58"/>
        <v>187583.07119581397</v>
      </c>
    </row>
    <row r="1155" spans="25:27" x14ac:dyDescent="0.3">
      <c r="Y1155">
        <f t="shared" si="59"/>
        <v>3924</v>
      </c>
      <c r="Z1155" s="20">
        <f t="shared" si="57"/>
        <v>76.288746207060143</v>
      </c>
      <c r="AA1155">
        <f t="shared" si="58"/>
        <v>187659.35994202102</v>
      </c>
    </row>
    <row r="1156" spans="25:27" x14ac:dyDescent="0.3">
      <c r="Y1156">
        <f t="shared" si="59"/>
        <v>3926</v>
      </c>
      <c r="Z1156" s="20">
        <f t="shared" ref="Z1156:Z1219" si="60">1016.74887*EXP(-0.00066*Y1156)</f>
        <v>76.188111495588572</v>
      </c>
      <c r="AA1156">
        <f t="shared" si="58"/>
        <v>187735.5480535166</v>
      </c>
    </row>
    <row r="1157" spans="25:27" x14ac:dyDescent="0.3">
      <c r="Y1157">
        <f t="shared" si="59"/>
        <v>3928</v>
      </c>
      <c r="Z1157" s="20">
        <f t="shared" si="60"/>
        <v>76.087609534301706</v>
      </c>
      <c r="AA1157">
        <f t="shared" ref="AA1157:AA1220" si="61">AA1156+Z1157</f>
        <v>187811.6356630509</v>
      </c>
    </row>
    <row r="1158" spans="25:27" x14ac:dyDescent="0.3">
      <c r="Y1158">
        <f t="shared" si="59"/>
        <v>3930</v>
      </c>
      <c r="Z1158" s="20">
        <f t="shared" si="60"/>
        <v>75.987240148084979</v>
      </c>
      <c r="AA1158">
        <f t="shared" si="61"/>
        <v>187887.62290319899</v>
      </c>
    </row>
    <row r="1159" spans="25:27" x14ac:dyDescent="0.3">
      <c r="Y1159">
        <f t="shared" si="59"/>
        <v>3932</v>
      </c>
      <c r="Z1159" s="20">
        <f t="shared" si="60"/>
        <v>75.887003162054683</v>
      </c>
      <c r="AA1159">
        <f t="shared" si="61"/>
        <v>187963.50990636105</v>
      </c>
    </row>
    <row r="1160" spans="25:27" x14ac:dyDescent="0.3">
      <c r="Y1160">
        <f t="shared" si="59"/>
        <v>3934</v>
      </c>
      <c r="Z1160" s="20">
        <f t="shared" si="60"/>
        <v>75.786898401557934</v>
      </c>
      <c r="AA1160">
        <f t="shared" si="61"/>
        <v>188039.29680476262</v>
      </c>
    </row>
    <row r="1161" spans="25:27" x14ac:dyDescent="0.3">
      <c r="Y1161">
        <f t="shared" si="59"/>
        <v>3936</v>
      </c>
      <c r="Z1161" s="20">
        <f t="shared" si="60"/>
        <v>75.686925692172082</v>
      </c>
      <c r="AA1161">
        <f t="shared" si="61"/>
        <v>188114.98373045478</v>
      </c>
    </row>
    <row r="1162" spans="25:27" x14ac:dyDescent="0.3">
      <c r="Y1162">
        <f t="shared" si="59"/>
        <v>3938</v>
      </c>
      <c r="Z1162" s="20">
        <f t="shared" si="60"/>
        <v>75.58708485970476</v>
      </c>
      <c r="AA1162">
        <f t="shared" si="61"/>
        <v>188190.57081531448</v>
      </c>
    </row>
    <row r="1163" spans="25:27" x14ac:dyDescent="0.3">
      <c r="Y1163">
        <f t="shared" si="59"/>
        <v>3940</v>
      </c>
      <c r="Z1163" s="20">
        <f t="shared" si="60"/>
        <v>75.487375730193179</v>
      </c>
      <c r="AA1163">
        <f t="shared" si="61"/>
        <v>188266.05819104466</v>
      </c>
    </row>
    <row r="1164" spans="25:27" x14ac:dyDescent="0.3">
      <c r="Y1164">
        <f t="shared" si="59"/>
        <v>3942</v>
      </c>
      <c r="Z1164" s="20">
        <f t="shared" si="60"/>
        <v>75.387798129904198</v>
      </c>
      <c r="AA1164">
        <f t="shared" si="61"/>
        <v>188341.44598917456</v>
      </c>
    </row>
    <row r="1165" spans="25:27" x14ac:dyDescent="0.3">
      <c r="Y1165">
        <f t="shared" si="59"/>
        <v>3944</v>
      </c>
      <c r="Z1165" s="20">
        <f t="shared" si="60"/>
        <v>75.288351885333711</v>
      </c>
      <c r="AA1165">
        <f t="shared" si="61"/>
        <v>188416.7343410599</v>
      </c>
    </row>
    <row r="1166" spans="25:27" x14ac:dyDescent="0.3">
      <c r="Y1166">
        <f t="shared" si="59"/>
        <v>3946</v>
      </c>
      <c r="Z1166" s="20">
        <f t="shared" si="60"/>
        <v>75.189036823206649</v>
      </c>
      <c r="AA1166">
        <f t="shared" si="61"/>
        <v>188491.9233778831</v>
      </c>
    </row>
    <row r="1167" spans="25:27" x14ac:dyDescent="0.3">
      <c r="Y1167">
        <f t="shared" si="59"/>
        <v>3948</v>
      </c>
      <c r="Z1167" s="20">
        <f t="shared" si="60"/>
        <v>75.089852770476313</v>
      </c>
      <c r="AA1167">
        <f t="shared" si="61"/>
        <v>188567.01323065357</v>
      </c>
    </row>
    <row r="1168" spans="25:27" x14ac:dyDescent="0.3">
      <c r="Y1168">
        <f t="shared" si="59"/>
        <v>3950</v>
      </c>
      <c r="Z1168" s="20">
        <f t="shared" si="60"/>
        <v>74.990799554324454</v>
      </c>
      <c r="AA1168">
        <f t="shared" si="61"/>
        <v>188642.0040302079</v>
      </c>
    </row>
    <row r="1169" spans="25:27" x14ac:dyDescent="0.3">
      <c r="Y1169">
        <f t="shared" si="59"/>
        <v>3952</v>
      </c>
      <c r="Z1169" s="20">
        <f t="shared" si="60"/>
        <v>74.891877002160754</v>
      </c>
      <c r="AA1169">
        <f t="shared" si="61"/>
        <v>188716.89590721007</v>
      </c>
    </row>
    <row r="1170" spans="25:27" x14ac:dyDescent="0.3">
      <c r="Y1170">
        <f t="shared" si="59"/>
        <v>3954</v>
      </c>
      <c r="Z1170" s="20">
        <f t="shared" si="60"/>
        <v>74.793084941622439</v>
      </c>
      <c r="AA1170">
        <f t="shared" si="61"/>
        <v>188791.6889921517</v>
      </c>
    </row>
    <row r="1171" spans="25:27" x14ac:dyDescent="0.3">
      <c r="Y1171">
        <f t="shared" si="59"/>
        <v>3956</v>
      </c>
      <c r="Z1171" s="20">
        <f t="shared" si="60"/>
        <v>74.694423200574306</v>
      </c>
      <c r="AA1171">
        <f t="shared" si="61"/>
        <v>188866.38341535226</v>
      </c>
    </row>
    <row r="1172" spans="25:27" x14ac:dyDescent="0.3">
      <c r="Y1172">
        <f t="shared" si="59"/>
        <v>3958</v>
      </c>
      <c r="Z1172" s="20">
        <f t="shared" si="60"/>
        <v>74.595891607108001</v>
      </c>
      <c r="AA1172">
        <f t="shared" si="61"/>
        <v>188940.97930695937</v>
      </c>
    </row>
    <row r="1173" spans="25:27" x14ac:dyDescent="0.3">
      <c r="Y1173">
        <f t="shared" si="59"/>
        <v>3960</v>
      </c>
      <c r="Z1173" s="20">
        <f t="shared" si="60"/>
        <v>74.497489989542146</v>
      </c>
      <c r="AA1173">
        <f t="shared" si="61"/>
        <v>189015.4767969489</v>
      </c>
    </row>
    <row r="1174" spans="25:27" x14ac:dyDescent="0.3">
      <c r="Y1174">
        <f t="shared" si="59"/>
        <v>3962</v>
      </c>
      <c r="Z1174" s="20">
        <f t="shared" si="60"/>
        <v>74.399218176421655</v>
      </c>
      <c r="AA1174">
        <f t="shared" si="61"/>
        <v>189089.87601512534</v>
      </c>
    </row>
    <row r="1175" spans="25:27" x14ac:dyDescent="0.3">
      <c r="Y1175">
        <f t="shared" si="59"/>
        <v>3964</v>
      </c>
      <c r="Z1175" s="20">
        <f t="shared" si="60"/>
        <v>74.301075996517781</v>
      </c>
      <c r="AA1175">
        <f t="shared" si="61"/>
        <v>189164.17709112185</v>
      </c>
    </row>
    <row r="1176" spans="25:27" x14ac:dyDescent="0.3">
      <c r="Y1176">
        <f t="shared" si="59"/>
        <v>3966</v>
      </c>
      <c r="Z1176" s="20">
        <f t="shared" si="60"/>
        <v>74.203063278827486</v>
      </c>
      <c r="AA1176">
        <f t="shared" si="61"/>
        <v>189238.38015440069</v>
      </c>
    </row>
    <row r="1177" spans="25:27" x14ac:dyDescent="0.3">
      <c r="Y1177">
        <f t="shared" si="59"/>
        <v>3968</v>
      </c>
      <c r="Z1177" s="20">
        <f t="shared" si="60"/>
        <v>74.105179852573457</v>
      </c>
      <c r="AA1177">
        <f t="shared" si="61"/>
        <v>189312.48533425326</v>
      </c>
    </row>
    <row r="1178" spans="25:27" x14ac:dyDescent="0.3">
      <c r="Y1178">
        <f t="shared" si="59"/>
        <v>3970</v>
      </c>
      <c r="Z1178" s="20">
        <f t="shared" si="60"/>
        <v>74.007425547203511</v>
      </c>
      <c r="AA1178">
        <f t="shared" si="61"/>
        <v>189386.49275980046</v>
      </c>
    </row>
    <row r="1179" spans="25:27" x14ac:dyDescent="0.3">
      <c r="Y1179">
        <f t="shared" si="59"/>
        <v>3972</v>
      </c>
      <c r="Z1179" s="20">
        <f t="shared" si="60"/>
        <v>73.909800192390605</v>
      </c>
      <c r="AA1179">
        <f t="shared" si="61"/>
        <v>189460.40255999286</v>
      </c>
    </row>
    <row r="1180" spans="25:27" x14ac:dyDescent="0.3">
      <c r="Y1180">
        <f t="shared" si="59"/>
        <v>3974</v>
      </c>
      <c r="Z1180" s="20">
        <f t="shared" si="60"/>
        <v>73.812303618032203</v>
      </c>
      <c r="AA1180">
        <f t="shared" si="61"/>
        <v>189534.21486361089</v>
      </c>
    </row>
    <row r="1181" spans="25:27" x14ac:dyDescent="0.3">
      <c r="Y1181">
        <f t="shared" si="59"/>
        <v>3976</v>
      </c>
      <c r="Z1181" s="20">
        <f t="shared" si="60"/>
        <v>73.71493565425034</v>
      </c>
      <c r="AA1181">
        <f t="shared" si="61"/>
        <v>189607.92979926514</v>
      </c>
    </row>
    <row r="1182" spans="25:27" x14ac:dyDescent="0.3">
      <c r="Y1182">
        <f t="shared" si="59"/>
        <v>3978</v>
      </c>
      <c r="Z1182" s="20">
        <f t="shared" si="60"/>
        <v>73.617696131390986</v>
      </c>
      <c r="AA1182">
        <f t="shared" si="61"/>
        <v>189681.54749539655</v>
      </c>
    </row>
    <row r="1183" spans="25:27" x14ac:dyDescent="0.3">
      <c r="Y1183">
        <f t="shared" si="59"/>
        <v>3980</v>
      </c>
      <c r="Z1183" s="20">
        <f t="shared" si="60"/>
        <v>73.520584880024018</v>
      </c>
      <c r="AA1183">
        <f t="shared" si="61"/>
        <v>189755.06808027657</v>
      </c>
    </row>
    <row r="1184" spans="25:27" x14ac:dyDescent="0.3">
      <c r="Y1184">
        <f t="shared" si="59"/>
        <v>3982</v>
      </c>
      <c r="Z1184" s="20">
        <f t="shared" si="60"/>
        <v>73.423601730942721</v>
      </c>
      <c r="AA1184">
        <f t="shared" si="61"/>
        <v>189828.4916820075</v>
      </c>
    </row>
    <row r="1185" spans="25:27" x14ac:dyDescent="0.3">
      <c r="Y1185">
        <f t="shared" si="59"/>
        <v>3984</v>
      </c>
      <c r="Z1185" s="20">
        <f t="shared" si="60"/>
        <v>73.326746515163677</v>
      </c>
      <c r="AA1185">
        <f t="shared" si="61"/>
        <v>189901.81842852267</v>
      </c>
    </row>
    <row r="1186" spans="25:27" x14ac:dyDescent="0.3">
      <c r="Y1186">
        <f t="shared" si="59"/>
        <v>3986</v>
      </c>
      <c r="Z1186" s="20">
        <f t="shared" si="60"/>
        <v>73.230019063926278</v>
      </c>
      <c r="AA1186">
        <f t="shared" si="61"/>
        <v>189975.0484475866</v>
      </c>
    </row>
    <row r="1187" spans="25:27" x14ac:dyDescent="0.3">
      <c r="Y1187">
        <f t="shared" si="59"/>
        <v>3988</v>
      </c>
      <c r="Z1187" s="20">
        <f t="shared" si="60"/>
        <v>73.133419208692644</v>
      </c>
      <c r="AA1187">
        <f t="shared" si="61"/>
        <v>190048.18186679529</v>
      </c>
    </row>
    <row r="1188" spans="25:27" x14ac:dyDescent="0.3">
      <c r="Y1188">
        <f t="shared" si="59"/>
        <v>3990</v>
      </c>
      <c r="Z1188" s="20">
        <f t="shared" si="60"/>
        <v>73.036946781147165</v>
      </c>
      <c r="AA1188">
        <f t="shared" si="61"/>
        <v>190121.21881357644</v>
      </c>
    </row>
    <row r="1189" spans="25:27" x14ac:dyDescent="0.3">
      <c r="Y1189">
        <f t="shared" si="59"/>
        <v>3992</v>
      </c>
      <c r="Z1189" s="20">
        <f t="shared" si="60"/>
        <v>72.940601613196193</v>
      </c>
      <c r="AA1189">
        <f t="shared" si="61"/>
        <v>190194.15941518964</v>
      </c>
    </row>
    <row r="1190" spans="25:27" x14ac:dyDescent="0.3">
      <c r="Y1190">
        <f t="shared" si="59"/>
        <v>3994</v>
      </c>
      <c r="Z1190" s="20">
        <f t="shared" si="60"/>
        <v>72.844383536967982</v>
      </c>
      <c r="AA1190">
        <f t="shared" si="61"/>
        <v>190267.0037987266</v>
      </c>
    </row>
    <row r="1191" spans="25:27" x14ac:dyDescent="0.3">
      <c r="Y1191">
        <f t="shared" si="59"/>
        <v>3996</v>
      </c>
      <c r="Z1191" s="20">
        <f t="shared" si="60"/>
        <v>72.748292384812018</v>
      </c>
      <c r="AA1191">
        <f t="shared" si="61"/>
        <v>190339.75209111141</v>
      </c>
    </row>
    <row r="1192" spans="25:27" x14ac:dyDescent="0.3">
      <c r="Y1192">
        <f t="shared" si="59"/>
        <v>3998</v>
      </c>
      <c r="Z1192" s="20">
        <f t="shared" si="60"/>
        <v>72.652327989299138</v>
      </c>
      <c r="AA1192">
        <f t="shared" si="61"/>
        <v>190412.4044191007</v>
      </c>
    </row>
    <row r="1193" spans="25:27" x14ac:dyDescent="0.3">
      <c r="Y1193">
        <f t="shared" si="59"/>
        <v>4000</v>
      </c>
      <c r="Z1193" s="20">
        <f t="shared" si="60"/>
        <v>72.556490183220916</v>
      </c>
      <c r="AA1193">
        <f t="shared" si="61"/>
        <v>190484.96090928392</v>
      </c>
    </row>
    <row r="1194" spans="25:27" x14ac:dyDescent="0.3">
      <c r="Y1194">
        <f t="shared" si="59"/>
        <v>4002</v>
      </c>
      <c r="Z1194" s="20">
        <f t="shared" si="60"/>
        <v>72.460778799589562</v>
      </c>
      <c r="AA1194">
        <f t="shared" si="61"/>
        <v>190557.4216880835</v>
      </c>
    </row>
    <row r="1195" spans="25:27" x14ac:dyDescent="0.3">
      <c r="Y1195">
        <f t="shared" si="59"/>
        <v>4004</v>
      </c>
      <c r="Z1195" s="20">
        <f t="shared" si="60"/>
        <v>72.365193671637499</v>
      </c>
      <c r="AA1195">
        <f t="shared" si="61"/>
        <v>190629.78688175514</v>
      </c>
    </row>
    <row r="1196" spans="25:27" x14ac:dyDescent="0.3">
      <c r="Y1196">
        <f t="shared" si="59"/>
        <v>4006</v>
      </c>
      <c r="Z1196" s="20">
        <f t="shared" si="60"/>
        <v>72.269734632817233</v>
      </c>
      <c r="AA1196">
        <f t="shared" si="61"/>
        <v>190702.05661638794</v>
      </c>
    </row>
    <row r="1197" spans="25:27" x14ac:dyDescent="0.3">
      <c r="Y1197">
        <f t="shared" si="59"/>
        <v>4008</v>
      </c>
      <c r="Z1197" s="20">
        <f t="shared" si="60"/>
        <v>72.174401516800842</v>
      </c>
      <c r="AA1197">
        <f t="shared" si="61"/>
        <v>190774.23101790473</v>
      </c>
    </row>
    <row r="1198" spans="25:27" x14ac:dyDescent="0.3">
      <c r="Y1198">
        <f t="shared" si="59"/>
        <v>4010</v>
      </c>
      <c r="Z1198" s="20">
        <f t="shared" si="60"/>
        <v>72.079194157479932</v>
      </c>
      <c r="AA1198">
        <f t="shared" si="61"/>
        <v>190846.31021206221</v>
      </c>
    </row>
    <row r="1199" spans="25:27" x14ac:dyDescent="0.3">
      <c r="Y1199">
        <f t="shared" si="59"/>
        <v>4012</v>
      </c>
      <c r="Z1199" s="20">
        <f t="shared" si="60"/>
        <v>71.984112388965158</v>
      </c>
      <c r="AA1199">
        <f t="shared" si="61"/>
        <v>190918.29432445118</v>
      </c>
    </row>
    <row r="1200" spans="25:27" x14ac:dyDescent="0.3">
      <c r="Y1200">
        <f t="shared" si="59"/>
        <v>4014</v>
      </c>
      <c r="Z1200" s="20">
        <f t="shared" si="60"/>
        <v>71.88915604558602</v>
      </c>
      <c r="AA1200">
        <f t="shared" si="61"/>
        <v>190990.18348049678</v>
      </c>
    </row>
    <row r="1201" spans="25:27" x14ac:dyDescent="0.3">
      <c r="Y1201">
        <f t="shared" si="59"/>
        <v>4016</v>
      </c>
      <c r="Z1201" s="20">
        <f t="shared" si="60"/>
        <v>71.794324961890553</v>
      </c>
      <c r="AA1201">
        <f t="shared" si="61"/>
        <v>191061.97780545868</v>
      </c>
    </row>
    <row r="1202" spans="25:27" x14ac:dyDescent="0.3">
      <c r="Y1202">
        <f t="shared" si="59"/>
        <v>4018</v>
      </c>
      <c r="Z1202" s="20">
        <f t="shared" si="60"/>
        <v>71.699618972645084</v>
      </c>
      <c r="AA1202">
        <f t="shared" si="61"/>
        <v>191133.67742443131</v>
      </c>
    </row>
    <row r="1203" spans="25:27" x14ac:dyDescent="0.3">
      <c r="Y1203">
        <f t="shared" si="59"/>
        <v>4020</v>
      </c>
      <c r="Z1203" s="20">
        <f t="shared" si="60"/>
        <v>71.605037912833808</v>
      </c>
      <c r="AA1203">
        <f t="shared" si="61"/>
        <v>191205.28246234416</v>
      </c>
    </row>
    <row r="1204" spans="25:27" x14ac:dyDescent="0.3">
      <c r="Y1204">
        <f t="shared" si="59"/>
        <v>4022</v>
      </c>
      <c r="Z1204" s="20">
        <f t="shared" si="60"/>
        <v>71.510581617658758</v>
      </c>
      <c r="AA1204">
        <f t="shared" si="61"/>
        <v>191276.79304396181</v>
      </c>
    </row>
    <row r="1205" spans="25:27" x14ac:dyDescent="0.3">
      <c r="Y1205">
        <f t="shared" si="59"/>
        <v>4024</v>
      </c>
      <c r="Z1205" s="20">
        <f t="shared" si="60"/>
        <v>71.41624992253918</v>
      </c>
      <c r="AA1205">
        <f t="shared" si="61"/>
        <v>191348.20929388434</v>
      </c>
    </row>
    <row r="1206" spans="25:27" x14ac:dyDescent="0.3">
      <c r="Y1206">
        <f t="shared" si="59"/>
        <v>4026</v>
      </c>
      <c r="Z1206" s="20">
        <f t="shared" si="60"/>
        <v>71.322042663111517</v>
      </c>
      <c r="AA1206">
        <f t="shared" si="61"/>
        <v>191419.53133654746</v>
      </c>
    </row>
    <row r="1207" spans="25:27" x14ac:dyDescent="0.3">
      <c r="Y1207">
        <f t="shared" si="59"/>
        <v>4028</v>
      </c>
      <c r="Z1207" s="20">
        <f t="shared" si="60"/>
        <v>71.227959675229087</v>
      </c>
      <c r="AA1207">
        <f t="shared" si="61"/>
        <v>191490.75929622268</v>
      </c>
    </row>
    <row r="1208" spans="25:27" x14ac:dyDescent="0.3">
      <c r="Y1208">
        <f t="shared" si="59"/>
        <v>4030</v>
      </c>
      <c r="Z1208" s="20">
        <f t="shared" si="60"/>
        <v>71.13400079496158</v>
      </c>
      <c r="AA1208">
        <f t="shared" si="61"/>
        <v>191561.89329701764</v>
      </c>
    </row>
    <row r="1209" spans="25:27" x14ac:dyDescent="0.3">
      <c r="Y1209">
        <f t="shared" si="59"/>
        <v>4032</v>
      </c>
      <c r="Z1209" s="20">
        <f t="shared" si="60"/>
        <v>71.040165858595074</v>
      </c>
      <c r="AA1209">
        <f t="shared" si="61"/>
        <v>191632.93346287624</v>
      </c>
    </row>
    <row r="1210" spans="25:27" x14ac:dyDescent="0.3">
      <c r="Y1210">
        <f t="shared" si="59"/>
        <v>4034</v>
      </c>
      <c r="Z1210" s="20">
        <f t="shared" si="60"/>
        <v>70.946454702631513</v>
      </c>
      <c r="AA1210">
        <f t="shared" si="61"/>
        <v>191703.87991757889</v>
      </c>
    </row>
    <row r="1211" spans="25:27" x14ac:dyDescent="0.3">
      <c r="Y1211">
        <f t="shared" si="59"/>
        <v>4036</v>
      </c>
      <c r="Z1211" s="20">
        <f t="shared" si="60"/>
        <v>70.852867163788602</v>
      </c>
      <c r="AA1211">
        <f t="shared" si="61"/>
        <v>191774.73278474266</v>
      </c>
    </row>
    <row r="1212" spans="25:27" x14ac:dyDescent="0.3">
      <c r="Y1212">
        <f t="shared" si="59"/>
        <v>4038</v>
      </c>
      <c r="Z1212" s="20">
        <f t="shared" si="60"/>
        <v>70.759403078999327</v>
      </c>
      <c r="AA1212">
        <f t="shared" si="61"/>
        <v>191845.49218782166</v>
      </c>
    </row>
    <row r="1213" spans="25:27" x14ac:dyDescent="0.3">
      <c r="Y1213">
        <f t="shared" si="59"/>
        <v>4040</v>
      </c>
      <c r="Z1213" s="20">
        <f t="shared" si="60"/>
        <v>70.666062285411911</v>
      </c>
      <c r="AA1213">
        <f t="shared" si="61"/>
        <v>191916.15825010708</v>
      </c>
    </row>
    <row r="1214" spans="25:27" x14ac:dyDescent="0.3">
      <c r="Y1214">
        <f t="shared" ref="Y1214:Y1277" si="62">Y1213+2</f>
        <v>4042</v>
      </c>
      <c r="Z1214" s="20">
        <f t="shared" si="60"/>
        <v>70.57284462038929</v>
      </c>
      <c r="AA1214">
        <f t="shared" si="61"/>
        <v>191986.73109472747</v>
      </c>
    </row>
    <row r="1215" spans="25:27" x14ac:dyDescent="0.3">
      <c r="Y1215">
        <f t="shared" si="62"/>
        <v>4044</v>
      </c>
      <c r="Z1215" s="20">
        <f t="shared" si="60"/>
        <v>70.479749921508997</v>
      </c>
      <c r="AA1215">
        <f t="shared" si="61"/>
        <v>192057.21084464897</v>
      </c>
    </row>
    <row r="1216" spans="25:27" x14ac:dyDescent="0.3">
      <c r="Y1216">
        <f t="shared" si="62"/>
        <v>4046</v>
      </c>
      <c r="Z1216" s="20">
        <f t="shared" si="60"/>
        <v>70.386778026562766</v>
      </c>
      <c r="AA1216">
        <f t="shared" si="61"/>
        <v>192127.59762267553</v>
      </c>
    </row>
    <row r="1217" spans="25:27" x14ac:dyDescent="0.3">
      <c r="Y1217">
        <f t="shared" si="62"/>
        <v>4048</v>
      </c>
      <c r="Z1217" s="20">
        <f t="shared" si="60"/>
        <v>70.293928773556416</v>
      </c>
      <c r="AA1217">
        <f t="shared" si="61"/>
        <v>192197.89155144908</v>
      </c>
    </row>
    <row r="1218" spans="25:27" x14ac:dyDescent="0.3">
      <c r="Y1218">
        <f t="shared" si="62"/>
        <v>4050</v>
      </c>
      <c r="Z1218" s="20">
        <f t="shared" si="60"/>
        <v>70.201202000709316</v>
      </c>
      <c r="AA1218">
        <f t="shared" si="61"/>
        <v>192268.09275344978</v>
      </c>
    </row>
    <row r="1219" spans="25:27" x14ac:dyDescent="0.3">
      <c r="Y1219">
        <f t="shared" si="62"/>
        <v>4052</v>
      </c>
      <c r="Z1219" s="20">
        <f t="shared" si="60"/>
        <v>70.108597546454362</v>
      </c>
      <c r="AA1219">
        <f t="shared" si="61"/>
        <v>192338.20135099624</v>
      </c>
    </row>
    <row r="1220" spans="25:27" x14ac:dyDescent="0.3">
      <c r="Y1220">
        <f t="shared" si="62"/>
        <v>4054</v>
      </c>
      <c r="Z1220" s="20">
        <f t="shared" ref="Z1220:Z1283" si="63">1016.74887*EXP(-0.00066*Y1220)</f>
        <v>70.01611524943749</v>
      </c>
      <c r="AA1220">
        <f t="shared" si="61"/>
        <v>192408.21746624567</v>
      </c>
    </row>
    <row r="1221" spans="25:27" x14ac:dyDescent="0.3">
      <c r="Y1221">
        <f t="shared" si="62"/>
        <v>4056</v>
      </c>
      <c r="Z1221" s="20">
        <f t="shared" si="63"/>
        <v>69.923754948517583</v>
      </c>
      <c r="AA1221">
        <f t="shared" ref="AA1221:AA1284" si="64">AA1220+Z1221</f>
        <v>192478.14122119418</v>
      </c>
    </row>
    <row r="1222" spans="25:27" x14ac:dyDescent="0.3">
      <c r="Y1222">
        <f t="shared" si="62"/>
        <v>4058</v>
      </c>
      <c r="Z1222" s="20">
        <f t="shared" si="63"/>
        <v>69.831516482765934</v>
      </c>
      <c r="AA1222">
        <f t="shared" si="64"/>
        <v>192547.97273767696</v>
      </c>
    </row>
    <row r="1223" spans="25:27" x14ac:dyDescent="0.3">
      <c r="Y1223">
        <f t="shared" si="62"/>
        <v>4060</v>
      </c>
      <c r="Z1223" s="20">
        <f t="shared" si="63"/>
        <v>69.739399691466289</v>
      </c>
      <c r="AA1223">
        <f t="shared" si="64"/>
        <v>192617.71213736842</v>
      </c>
    </row>
    <row r="1224" spans="25:27" x14ac:dyDescent="0.3">
      <c r="Y1224">
        <f t="shared" si="62"/>
        <v>4062</v>
      </c>
      <c r="Z1224" s="20">
        <f t="shared" si="63"/>
        <v>69.647404414114348</v>
      </c>
      <c r="AA1224">
        <f t="shared" si="64"/>
        <v>192687.35954178253</v>
      </c>
    </row>
    <row r="1225" spans="25:27" x14ac:dyDescent="0.3">
      <c r="Y1225">
        <f t="shared" si="62"/>
        <v>4064</v>
      </c>
      <c r="Z1225" s="20">
        <f t="shared" si="63"/>
        <v>69.555530490417425</v>
      </c>
      <c r="AA1225">
        <f t="shared" si="64"/>
        <v>192756.91507227294</v>
      </c>
    </row>
    <row r="1226" spans="25:27" x14ac:dyDescent="0.3">
      <c r="Y1226">
        <f t="shared" si="62"/>
        <v>4066</v>
      </c>
      <c r="Z1226" s="20">
        <f t="shared" si="63"/>
        <v>69.463777760294462</v>
      </c>
      <c r="AA1226">
        <f t="shared" si="64"/>
        <v>192826.37885003324</v>
      </c>
    </row>
    <row r="1227" spans="25:27" x14ac:dyDescent="0.3">
      <c r="Y1227">
        <f t="shared" si="62"/>
        <v>4068</v>
      </c>
      <c r="Z1227" s="20">
        <f t="shared" si="63"/>
        <v>69.372146063875419</v>
      </c>
      <c r="AA1227">
        <f t="shared" si="64"/>
        <v>192895.75099609711</v>
      </c>
    </row>
    <row r="1228" spans="25:27" x14ac:dyDescent="0.3">
      <c r="Y1228">
        <f t="shared" si="62"/>
        <v>4070</v>
      </c>
      <c r="Z1228" s="20">
        <f t="shared" si="63"/>
        <v>69.280635241501258</v>
      </c>
      <c r="AA1228">
        <f t="shared" si="64"/>
        <v>192965.03163133861</v>
      </c>
    </row>
    <row r="1229" spans="25:27" x14ac:dyDescent="0.3">
      <c r="Y1229">
        <f t="shared" si="62"/>
        <v>4072</v>
      </c>
      <c r="Z1229" s="20">
        <f t="shared" si="63"/>
        <v>69.189245133723432</v>
      </c>
      <c r="AA1229">
        <f t="shared" si="64"/>
        <v>193034.22087647233</v>
      </c>
    </row>
    <row r="1230" spans="25:27" x14ac:dyDescent="0.3">
      <c r="Y1230">
        <f t="shared" si="62"/>
        <v>4074</v>
      </c>
      <c r="Z1230" s="20">
        <f t="shared" si="63"/>
        <v>69.097975581303871</v>
      </c>
      <c r="AA1230">
        <f t="shared" si="64"/>
        <v>193103.31885205364</v>
      </c>
    </row>
    <row r="1231" spans="25:27" x14ac:dyDescent="0.3">
      <c r="Y1231">
        <f t="shared" si="62"/>
        <v>4076</v>
      </c>
      <c r="Z1231" s="20">
        <f t="shared" si="63"/>
        <v>69.006826425214427</v>
      </c>
      <c r="AA1231">
        <f t="shared" si="64"/>
        <v>193172.32567847884</v>
      </c>
    </row>
    <row r="1232" spans="25:27" x14ac:dyDescent="0.3">
      <c r="Y1232">
        <f t="shared" si="62"/>
        <v>4078</v>
      </c>
      <c r="Z1232" s="20">
        <f t="shared" si="63"/>
        <v>68.915797506636821</v>
      </c>
      <c r="AA1232">
        <f t="shared" si="64"/>
        <v>193241.24147598547</v>
      </c>
    </row>
    <row r="1233" spans="25:27" x14ac:dyDescent="0.3">
      <c r="Y1233">
        <f t="shared" si="62"/>
        <v>4080</v>
      </c>
      <c r="Z1233" s="20">
        <f t="shared" si="63"/>
        <v>68.824888666962195</v>
      </c>
      <c r="AA1233">
        <f t="shared" si="64"/>
        <v>193310.06636465245</v>
      </c>
    </row>
    <row r="1234" spans="25:27" x14ac:dyDescent="0.3">
      <c r="Y1234">
        <f t="shared" si="62"/>
        <v>4082</v>
      </c>
      <c r="Z1234" s="20">
        <f t="shared" si="63"/>
        <v>68.734099747791021</v>
      </c>
      <c r="AA1234">
        <f t="shared" si="64"/>
        <v>193378.80046440024</v>
      </c>
    </row>
    <row r="1235" spans="25:27" x14ac:dyDescent="0.3">
      <c r="Y1235">
        <f t="shared" si="62"/>
        <v>4084</v>
      </c>
      <c r="Z1235" s="20">
        <f t="shared" si="63"/>
        <v>68.643430590932596</v>
      </c>
      <c r="AA1235">
        <f t="shared" si="64"/>
        <v>193447.44389499116</v>
      </c>
    </row>
    <row r="1236" spans="25:27" x14ac:dyDescent="0.3">
      <c r="Y1236">
        <f t="shared" si="62"/>
        <v>4086</v>
      </c>
      <c r="Z1236" s="20">
        <f t="shared" si="63"/>
        <v>68.552881038405062</v>
      </c>
      <c r="AA1236">
        <f t="shared" si="64"/>
        <v>193515.99677602955</v>
      </c>
    </row>
    <row r="1237" spans="25:27" x14ac:dyDescent="0.3">
      <c r="Y1237">
        <f t="shared" si="62"/>
        <v>4088</v>
      </c>
      <c r="Z1237" s="20">
        <f t="shared" si="63"/>
        <v>68.462450932434734</v>
      </c>
      <c r="AA1237">
        <f t="shared" si="64"/>
        <v>193584.45922696198</v>
      </c>
    </row>
    <row r="1238" spans="25:27" x14ac:dyDescent="0.3">
      <c r="Y1238">
        <f t="shared" si="62"/>
        <v>4090</v>
      </c>
      <c r="Z1238" s="20">
        <f t="shared" si="63"/>
        <v>68.372140115456276</v>
      </c>
      <c r="AA1238">
        <f t="shared" si="64"/>
        <v>193652.83136707742</v>
      </c>
    </row>
    <row r="1239" spans="25:27" x14ac:dyDescent="0.3">
      <c r="Y1239">
        <f t="shared" si="62"/>
        <v>4092</v>
      </c>
      <c r="Z1239" s="20">
        <f t="shared" si="63"/>
        <v>68.281948430112024</v>
      </c>
      <c r="AA1239">
        <f t="shared" si="64"/>
        <v>193721.11331550754</v>
      </c>
    </row>
    <row r="1240" spans="25:27" x14ac:dyDescent="0.3">
      <c r="Y1240">
        <f t="shared" si="62"/>
        <v>4094</v>
      </c>
      <c r="Z1240" s="20">
        <f t="shared" si="63"/>
        <v>68.19187571925201</v>
      </c>
      <c r="AA1240">
        <f t="shared" si="64"/>
        <v>193789.3051912268</v>
      </c>
    </row>
    <row r="1241" spans="25:27" x14ac:dyDescent="0.3">
      <c r="Y1241">
        <f t="shared" si="62"/>
        <v>4096</v>
      </c>
      <c r="Z1241" s="20">
        <f t="shared" si="63"/>
        <v>68.101921825933488</v>
      </c>
      <c r="AA1241">
        <f t="shared" si="64"/>
        <v>193857.40711305273</v>
      </c>
    </row>
    <row r="1242" spans="25:27" x14ac:dyDescent="0.3">
      <c r="Y1242">
        <f t="shared" si="62"/>
        <v>4098</v>
      </c>
      <c r="Z1242" s="20">
        <f t="shared" si="63"/>
        <v>68.012086593420761</v>
      </c>
      <c r="AA1242">
        <f t="shared" si="64"/>
        <v>193925.41919964616</v>
      </c>
    </row>
    <row r="1243" spans="25:27" x14ac:dyDescent="0.3">
      <c r="Y1243">
        <f t="shared" si="62"/>
        <v>4100</v>
      </c>
      <c r="Z1243" s="20">
        <f t="shared" si="63"/>
        <v>67.922369865184962</v>
      </c>
      <c r="AA1243">
        <f t="shared" si="64"/>
        <v>193993.34156951134</v>
      </c>
    </row>
    <row r="1244" spans="25:27" x14ac:dyDescent="0.3">
      <c r="Y1244">
        <f t="shared" si="62"/>
        <v>4102</v>
      </c>
      <c r="Z1244" s="20">
        <f t="shared" si="63"/>
        <v>67.832771484903589</v>
      </c>
      <c r="AA1244">
        <f t="shared" si="64"/>
        <v>194061.17434099625</v>
      </c>
    </row>
    <row r="1245" spans="25:27" x14ac:dyDescent="0.3">
      <c r="Y1245">
        <f t="shared" si="62"/>
        <v>4104</v>
      </c>
      <c r="Z1245" s="20">
        <f t="shared" si="63"/>
        <v>67.743291296460413</v>
      </c>
      <c r="AA1245">
        <f t="shared" si="64"/>
        <v>194128.91763229272</v>
      </c>
    </row>
    <row r="1246" spans="25:27" x14ac:dyDescent="0.3">
      <c r="Y1246">
        <f t="shared" si="62"/>
        <v>4106</v>
      </c>
      <c r="Z1246" s="20">
        <f t="shared" si="63"/>
        <v>67.65392914394512</v>
      </c>
      <c r="AA1246">
        <f t="shared" si="64"/>
        <v>194196.57156143666</v>
      </c>
    </row>
    <row r="1247" spans="25:27" x14ac:dyDescent="0.3">
      <c r="Y1247">
        <f t="shared" si="62"/>
        <v>4108</v>
      </c>
      <c r="Z1247" s="20">
        <f t="shared" si="63"/>
        <v>67.564684871653114</v>
      </c>
      <c r="AA1247">
        <f t="shared" si="64"/>
        <v>194264.13624630831</v>
      </c>
    </row>
    <row r="1248" spans="25:27" x14ac:dyDescent="0.3">
      <c r="Y1248">
        <f t="shared" si="62"/>
        <v>4110</v>
      </c>
      <c r="Z1248" s="20">
        <f t="shared" si="63"/>
        <v>67.475558324085085</v>
      </c>
      <c r="AA1248">
        <f t="shared" si="64"/>
        <v>194331.61180463238</v>
      </c>
    </row>
    <row r="1249" spans="25:27" x14ac:dyDescent="0.3">
      <c r="Y1249">
        <f t="shared" si="62"/>
        <v>4112</v>
      </c>
      <c r="Z1249" s="20">
        <f t="shared" si="63"/>
        <v>67.386549345946989</v>
      </c>
      <c r="AA1249">
        <f t="shared" si="64"/>
        <v>194398.99835397833</v>
      </c>
    </row>
    <row r="1250" spans="25:27" x14ac:dyDescent="0.3">
      <c r="Y1250">
        <f t="shared" si="62"/>
        <v>4114</v>
      </c>
      <c r="Z1250" s="20">
        <f t="shared" si="63"/>
        <v>67.297657782149471</v>
      </c>
      <c r="AA1250">
        <f t="shared" si="64"/>
        <v>194466.29601176048</v>
      </c>
    </row>
    <row r="1251" spans="25:27" x14ac:dyDescent="0.3">
      <c r="Y1251">
        <f t="shared" si="62"/>
        <v>4116</v>
      </c>
      <c r="Z1251" s="20">
        <f t="shared" si="63"/>
        <v>67.208883477807944</v>
      </c>
      <c r="AA1251">
        <f t="shared" si="64"/>
        <v>194533.50489523829</v>
      </c>
    </row>
    <row r="1252" spans="25:27" x14ac:dyDescent="0.3">
      <c r="Y1252">
        <f t="shared" si="62"/>
        <v>4118</v>
      </c>
      <c r="Z1252" s="20">
        <f t="shared" si="63"/>
        <v>67.120226278241972</v>
      </c>
      <c r="AA1252">
        <f t="shared" si="64"/>
        <v>194600.62512151652</v>
      </c>
    </row>
    <row r="1253" spans="25:27" x14ac:dyDescent="0.3">
      <c r="Y1253">
        <f t="shared" si="62"/>
        <v>4120</v>
      </c>
      <c r="Z1253" s="20">
        <f t="shared" si="63"/>
        <v>67.031686028975273</v>
      </c>
      <c r="AA1253">
        <f t="shared" si="64"/>
        <v>194667.65680754551</v>
      </c>
    </row>
    <row r="1254" spans="25:27" x14ac:dyDescent="0.3">
      <c r="Y1254">
        <f t="shared" si="62"/>
        <v>4122</v>
      </c>
      <c r="Z1254" s="20">
        <f t="shared" si="63"/>
        <v>66.943262575735218</v>
      </c>
      <c r="AA1254">
        <f t="shared" si="64"/>
        <v>194734.60007012126</v>
      </c>
    </row>
    <row r="1255" spans="25:27" x14ac:dyDescent="0.3">
      <c r="Y1255">
        <f t="shared" si="62"/>
        <v>4124</v>
      </c>
      <c r="Z1255" s="20">
        <f t="shared" si="63"/>
        <v>66.854955764452868</v>
      </c>
      <c r="AA1255">
        <f t="shared" si="64"/>
        <v>194801.45502588572</v>
      </c>
    </row>
    <row r="1256" spans="25:27" x14ac:dyDescent="0.3">
      <c r="Y1256">
        <f t="shared" si="62"/>
        <v>4126</v>
      </c>
      <c r="Z1256" s="20">
        <f t="shared" si="63"/>
        <v>66.766765441262308</v>
      </c>
      <c r="AA1256">
        <f t="shared" si="64"/>
        <v>194868.22179132697</v>
      </c>
    </row>
    <row r="1257" spans="25:27" x14ac:dyDescent="0.3">
      <c r="Y1257">
        <f t="shared" si="62"/>
        <v>4128</v>
      </c>
      <c r="Z1257" s="20">
        <f t="shared" si="63"/>
        <v>66.678691452500786</v>
      </c>
      <c r="AA1257">
        <f t="shared" si="64"/>
        <v>194934.90048277949</v>
      </c>
    </row>
    <row r="1258" spans="25:27" x14ac:dyDescent="0.3">
      <c r="Y1258">
        <f t="shared" si="62"/>
        <v>4130</v>
      </c>
      <c r="Z1258" s="20">
        <f t="shared" si="63"/>
        <v>66.590733644708081</v>
      </c>
      <c r="AA1258">
        <f t="shared" si="64"/>
        <v>195001.49121642418</v>
      </c>
    </row>
    <row r="1259" spans="25:27" x14ac:dyDescent="0.3">
      <c r="Y1259">
        <f t="shared" si="62"/>
        <v>4132</v>
      </c>
      <c r="Z1259" s="20">
        <f t="shared" si="63"/>
        <v>66.502891864626577</v>
      </c>
      <c r="AA1259">
        <f t="shared" si="64"/>
        <v>195067.99410828881</v>
      </c>
    </row>
    <row r="1260" spans="25:27" x14ac:dyDescent="0.3">
      <c r="Y1260">
        <f t="shared" si="62"/>
        <v>4134</v>
      </c>
      <c r="Z1260" s="20">
        <f t="shared" si="63"/>
        <v>66.415165959200635</v>
      </c>
      <c r="AA1260">
        <f t="shared" si="64"/>
        <v>195134.409274248</v>
      </c>
    </row>
    <row r="1261" spans="25:27" x14ac:dyDescent="0.3">
      <c r="Y1261">
        <f t="shared" si="62"/>
        <v>4136</v>
      </c>
      <c r="Z1261" s="20">
        <f t="shared" si="63"/>
        <v>66.32755577557667</v>
      </c>
      <c r="AA1261">
        <f t="shared" si="64"/>
        <v>195200.73683002358</v>
      </c>
    </row>
    <row r="1262" spans="25:27" x14ac:dyDescent="0.3">
      <c r="Y1262">
        <f t="shared" si="62"/>
        <v>4138</v>
      </c>
      <c r="Z1262" s="20">
        <f t="shared" si="63"/>
        <v>66.240061161102687</v>
      </c>
      <c r="AA1262">
        <f t="shared" si="64"/>
        <v>195266.97689118469</v>
      </c>
    </row>
    <row r="1263" spans="25:27" x14ac:dyDescent="0.3">
      <c r="Y1263">
        <f t="shared" si="62"/>
        <v>4140</v>
      </c>
      <c r="Z1263" s="20">
        <f t="shared" si="63"/>
        <v>66.152681963328007</v>
      </c>
      <c r="AA1263">
        <f t="shared" si="64"/>
        <v>195333.12957314801</v>
      </c>
    </row>
    <row r="1264" spans="25:27" x14ac:dyDescent="0.3">
      <c r="Y1264">
        <f t="shared" si="62"/>
        <v>4142</v>
      </c>
      <c r="Z1264" s="20">
        <f t="shared" si="63"/>
        <v>66.065418030003158</v>
      </c>
      <c r="AA1264">
        <f t="shared" si="64"/>
        <v>195399.194991178</v>
      </c>
    </row>
    <row r="1265" spans="25:27" x14ac:dyDescent="0.3">
      <c r="Y1265">
        <f t="shared" si="62"/>
        <v>4144</v>
      </c>
      <c r="Z1265" s="20">
        <f t="shared" si="63"/>
        <v>65.978269209079357</v>
      </c>
      <c r="AA1265">
        <f t="shared" si="64"/>
        <v>195465.17326038706</v>
      </c>
    </row>
    <row r="1266" spans="25:27" x14ac:dyDescent="0.3">
      <c r="Y1266">
        <f t="shared" si="62"/>
        <v>4146</v>
      </c>
      <c r="Z1266" s="20">
        <f t="shared" si="63"/>
        <v>65.891235348708534</v>
      </c>
      <c r="AA1266">
        <f t="shared" si="64"/>
        <v>195531.06449573577</v>
      </c>
    </row>
    <row r="1267" spans="25:27" x14ac:dyDescent="0.3">
      <c r="Y1267">
        <f t="shared" si="62"/>
        <v>4148</v>
      </c>
      <c r="Z1267" s="20">
        <f t="shared" si="63"/>
        <v>65.804316297242849</v>
      </c>
      <c r="AA1267">
        <f t="shared" si="64"/>
        <v>195596.868812033</v>
      </c>
    </row>
    <row r="1268" spans="25:27" x14ac:dyDescent="0.3">
      <c r="Y1268">
        <f t="shared" si="62"/>
        <v>4150</v>
      </c>
      <c r="Z1268" s="20">
        <f t="shared" si="63"/>
        <v>65.717511903234552</v>
      </c>
      <c r="AA1268">
        <f t="shared" si="64"/>
        <v>195662.58632393624</v>
      </c>
    </row>
    <row r="1269" spans="25:27" x14ac:dyDescent="0.3">
      <c r="Y1269">
        <f t="shared" si="62"/>
        <v>4152</v>
      </c>
      <c r="Z1269" s="20">
        <f t="shared" si="63"/>
        <v>65.630822015435584</v>
      </c>
      <c r="AA1269">
        <f t="shared" si="64"/>
        <v>195728.21714595167</v>
      </c>
    </row>
    <row r="1270" spans="25:27" x14ac:dyDescent="0.3">
      <c r="Y1270">
        <f t="shared" si="62"/>
        <v>4154</v>
      </c>
      <c r="Z1270" s="20">
        <f t="shared" si="63"/>
        <v>65.544246482797533</v>
      </c>
      <c r="AA1270">
        <f t="shared" si="64"/>
        <v>195793.76139243448</v>
      </c>
    </row>
    <row r="1271" spans="25:27" x14ac:dyDescent="0.3">
      <c r="Y1271">
        <f t="shared" si="62"/>
        <v>4156</v>
      </c>
      <c r="Z1271" s="20">
        <f t="shared" si="63"/>
        <v>65.457785154471097</v>
      </c>
      <c r="AA1271">
        <f t="shared" si="64"/>
        <v>195859.21917758894</v>
      </c>
    </row>
    <row r="1272" spans="25:27" x14ac:dyDescent="0.3">
      <c r="Y1272">
        <f t="shared" si="62"/>
        <v>4158</v>
      </c>
      <c r="Z1272" s="20">
        <f t="shared" si="63"/>
        <v>65.371437879806123</v>
      </c>
      <c r="AA1272">
        <f t="shared" si="64"/>
        <v>195924.59061546874</v>
      </c>
    </row>
    <row r="1273" spans="25:27" x14ac:dyDescent="0.3">
      <c r="Y1273">
        <f t="shared" si="62"/>
        <v>4160</v>
      </c>
      <c r="Z1273" s="20">
        <f t="shared" si="63"/>
        <v>65.285204508351001</v>
      </c>
      <c r="AA1273">
        <f t="shared" si="64"/>
        <v>195989.87581997708</v>
      </c>
    </row>
    <row r="1274" spans="25:27" x14ac:dyDescent="0.3">
      <c r="Y1274">
        <f t="shared" si="62"/>
        <v>4162</v>
      </c>
      <c r="Z1274" s="20">
        <f t="shared" si="63"/>
        <v>65.19908488985277</v>
      </c>
      <c r="AA1274">
        <f t="shared" si="64"/>
        <v>196055.07490486692</v>
      </c>
    </row>
    <row r="1275" spans="25:27" x14ac:dyDescent="0.3">
      <c r="Y1275">
        <f t="shared" si="62"/>
        <v>4164</v>
      </c>
      <c r="Z1275" s="20">
        <f t="shared" si="63"/>
        <v>65.113078874256516</v>
      </c>
      <c r="AA1275">
        <f t="shared" si="64"/>
        <v>196120.18798374117</v>
      </c>
    </row>
    <row r="1276" spans="25:27" x14ac:dyDescent="0.3">
      <c r="Y1276">
        <f t="shared" si="62"/>
        <v>4166</v>
      </c>
      <c r="Z1276" s="20">
        <f t="shared" si="63"/>
        <v>65.027186311705393</v>
      </c>
      <c r="AA1276">
        <f t="shared" si="64"/>
        <v>196185.21517005286</v>
      </c>
    </row>
    <row r="1277" spans="25:27" x14ac:dyDescent="0.3">
      <c r="Y1277">
        <f t="shared" si="62"/>
        <v>4168</v>
      </c>
      <c r="Z1277" s="20">
        <f t="shared" si="63"/>
        <v>64.941407052540143</v>
      </c>
      <c r="AA1277">
        <f t="shared" si="64"/>
        <v>196250.1565771054</v>
      </c>
    </row>
    <row r="1278" spans="25:27" x14ac:dyDescent="0.3">
      <c r="Y1278">
        <f t="shared" ref="Y1278:Y1341" si="65">Y1277+2</f>
        <v>4170</v>
      </c>
      <c r="Z1278" s="20">
        <f t="shared" si="63"/>
        <v>64.855740947298955</v>
      </c>
      <c r="AA1278">
        <f t="shared" si="64"/>
        <v>196315.0123180527</v>
      </c>
    </row>
    <row r="1279" spans="25:27" x14ac:dyDescent="0.3">
      <c r="Y1279">
        <f t="shared" si="65"/>
        <v>4172</v>
      </c>
      <c r="Z1279" s="20">
        <f t="shared" si="63"/>
        <v>64.770187846717221</v>
      </c>
      <c r="AA1279">
        <f t="shared" si="64"/>
        <v>196379.78250589941</v>
      </c>
    </row>
    <row r="1280" spans="25:27" x14ac:dyDescent="0.3">
      <c r="Y1280">
        <f t="shared" si="65"/>
        <v>4174</v>
      </c>
      <c r="Z1280" s="20">
        <f t="shared" si="63"/>
        <v>64.684747601727153</v>
      </c>
      <c r="AA1280">
        <f t="shared" si="64"/>
        <v>196444.46725350112</v>
      </c>
    </row>
    <row r="1281" spans="25:27" x14ac:dyDescent="0.3">
      <c r="Y1281">
        <f t="shared" si="65"/>
        <v>4176</v>
      </c>
      <c r="Z1281" s="20">
        <f t="shared" si="63"/>
        <v>64.5994200634577</v>
      </c>
      <c r="AA1281">
        <f t="shared" si="64"/>
        <v>196509.06667356458</v>
      </c>
    </row>
    <row r="1282" spans="25:27" x14ac:dyDescent="0.3">
      <c r="Y1282">
        <f t="shared" si="65"/>
        <v>4178</v>
      </c>
      <c r="Z1282" s="20">
        <f t="shared" si="63"/>
        <v>64.514205083234089</v>
      </c>
      <c r="AA1282">
        <f t="shared" si="64"/>
        <v>196573.5808786478</v>
      </c>
    </row>
    <row r="1283" spans="25:27" x14ac:dyDescent="0.3">
      <c r="Y1283">
        <f t="shared" si="65"/>
        <v>4180</v>
      </c>
      <c r="Z1283" s="20">
        <f t="shared" si="63"/>
        <v>64.429102512577771</v>
      </c>
      <c r="AA1283">
        <f t="shared" si="64"/>
        <v>196638.00998116037</v>
      </c>
    </row>
    <row r="1284" spans="25:27" x14ac:dyDescent="0.3">
      <c r="Y1284">
        <f t="shared" si="65"/>
        <v>4182</v>
      </c>
      <c r="Z1284" s="20">
        <f t="shared" ref="Z1284:Z1347" si="66">1016.74887*EXP(-0.00066*Y1284)</f>
        <v>64.344112203205924</v>
      </c>
      <c r="AA1284">
        <f t="shared" si="64"/>
        <v>196702.35409336357</v>
      </c>
    </row>
    <row r="1285" spans="25:27" x14ac:dyDescent="0.3">
      <c r="Y1285">
        <f t="shared" si="65"/>
        <v>4184</v>
      </c>
      <c r="Z1285" s="20">
        <f t="shared" si="66"/>
        <v>64.259234007031495</v>
      </c>
      <c r="AA1285">
        <f t="shared" ref="AA1285:AA1348" si="67">AA1284+Z1285</f>
        <v>196766.61332737061</v>
      </c>
    </row>
    <row r="1286" spans="25:27" x14ac:dyDescent="0.3">
      <c r="Y1286">
        <f t="shared" si="65"/>
        <v>4186</v>
      </c>
      <c r="Z1286" s="20">
        <f t="shared" si="66"/>
        <v>64.174467776162629</v>
      </c>
      <c r="AA1286">
        <f t="shared" si="67"/>
        <v>196830.78779514678</v>
      </c>
    </row>
    <row r="1287" spans="25:27" x14ac:dyDescent="0.3">
      <c r="Y1287">
        <f t="shared" si="65"/>
        <v>4188</v>
      </c>
      <c r="Z1287" s="20">
        <f t="shared" si="66"/>
        <v>64.089813362902674</v>
      </c>
      <c r="AA1287">
        <f t="shared" si="67"/>
        <v>196894.87760850968</v>
      </c>
    </row>
    <row r="1288" spans="25:27" x14ac:dyDescent="0.3">
      <c r="Y1288">
        <f t="shared" si="65"/>
        <v>4190</v>
      </c>
      <c r="Z1288" s="20">
        <f t="shared" si="66"/>
        <v>64.005270619749737</v>
      </c>
      <c r="AA1288">
        <f t="shared" si="67"/>
        <v>196958.88287912944</v>
      </c>
    </row>
    <row r="1289" spans="25:27" x14ac:dyDescent="0.3">
      <c r="Y1289">
        <f t="shared" si="65"/>
        <v>4192</v>
      </c>
      <c r="Z1289" s="20">
        <f t="shared" si="66"/>
        <v>63.920839399396513</v>
      </c>
      <c r="AA1289">
        <f t="shared" si="67"/>
        <v>197022.80371852883</v>
      </c>
    </row>
    <row r="1290" spans="25:27" x14ac:dyDescent="0.3">
      <c r="Y1290">
        <f t="shared" si="65"/>
        <v>4194</v>
      </c>
      <c r="Z1290" s="20">
        <f t="shared" si="66"/>
        <v>63.836519554730032</v>
      </c>
      <c r="AA1290">
        <f t="shared" si="67"/>
        <v>197086.64023808355</v>
      </c>
    </row>
    <row r="1291" spans="25:27" x14ac:dyDescent="0.3">
      <c r="Y1291">
        <f t="shared" si="65"/>
        <v>4196</v>
      </c>
      <c r="Z1291" s="20">
        <f t="shared" si="66"/>
        <v>63.752310938831386</v>
      </c>
      <c r="AA1291">
        <f t="shared" si="67"/>
        <v>197150.39254902239</v>
      </c>
    </row>
    <row r="1292" spans="25:27" x14ac:dyDescent="0.3">
      <c r="Y1292">
        <f t="shared" si="65"/>
        <v>4198</v>
      </c>
      <c r="Z1292" s="20">
        <f t="shared" si="66"/>
        <v>63.668213404975418</v>
      </c>
      <c r="AA1292">
        <f t="shared" si="67"/>
        <v>197214.06076242737</v>
      </c>
    </row>
    <row r="1293" spans="25:27" x14ac:dyDescent="0.3">
      <c r="Y1293">
        <f t="shared" si="65"/>
        <v>4200</v>
      </c>
      <c r="Z1293" s="20">
        <f t="shared" si="66"/>
        <v>63.584226806630632</v>
      </c>
      <c r="AA1293">
        <f t="shared" si="67"/>
        <v>197277.64498923399</v>
      </c>
    </row>
    <row r="1294" spans="25:27" x14ac:dyDescent="0.3">
      <c r="Y1294">
        <f t="shared" si="65"/>
        <v>4202</v>
      </c>
      <c r="Z1294" s="20">
        <f t="shared" si="66"/>
        <v>63.500350997458675</v>
      </c>
      <c r="AA1294">
        <f t="shared" si="67"/>
        <v>197341.14534023145</v>
      </c>
    </row>
    <row r="1295" spans="25:27" x14ac:dyDescent="0.3">
      <c r="Y1295">
        <f t="shared" si="65"/>
        <v>4204</v>
      </c>
      <c r="Z1295" s="20">
        <f t="shared" si="66"/>
        <v>63.416585831314407</v>
      </c>
      <c r="AA1295">
        <f t="shared" si="67"/>
        <v>197404.56192606277</v>
      </c>
    </row>
    <row r="1296" spans="25:27" x14ac:dyDescent="0.3">
      <c r="Y1296">
        <f t="shared" si="65"/>
        <v>4206</v>
      </c>
      <c r="Z1296" s="20">
        <f t="shared" si="66"/>
        <v>63.332931162245302</v>
      </c>
      <c r="AA1296">
        <f t="shared" si="67"/>
        <v>197467.89485722501</v>
      </c>
    </row>
    <row r="1297" spans="25:27" x14ac:dyDescent="0.3">
      <c r="Y1297">
        <f t="shared" si="65"/>
        <v>4208</v>
      </c>
      <c r="Z1297" s="20">
        <f t="shared" si="66"/>
        <v>63.249386844491468</v>
      </c>
      <c r="AA1297">
        <f t="shared" si="67"/>
        <v>197531.1442440695</v>
      </c>
    </row>
    <row r="1298" spans="25:27" x14ac:dyDescent="0.3">
      <c r="Y1298">
        <f t="shared" si="65"/>
        <v>4210</v>
      </c>
      <c r="Z1298" s="20">
        <f t="shared" si="66"/>
        <v>63.165952732485316</v>
      </c>
      <c r="AA1298">
        <f t="shared" si="67"/>
        <v>197594.31019680199</v>
      </c>
    </row>
    <row r="1299" spans="25:27" x14ac:dyDescent="0.3">
      <c r="Y1299">
        <f t="shared" si="65"/>
        <v>4212</v>
      </c>
      <c r="Z1299" s="20">
        <f t="shared" si="66"/>
        <v>63.082628680851151</v>
      </c>
      <c r="AA1299">
        <f t="shared" si="67"/>
        <v>197657.39282548285</v>
      </c>
    </row>
    <row r="1300" spans="25:27" x14ac:dyDescent="0.3">
      <c r="Y1300">
        <f t="shared" si="65"/>
        <v>4214</v>
      </c>
      <c r="Z1300" s="20">
        <f t="shared" si="66"/>
        <v>62.999414544405191</v>
      </c>
      <c r="AA1300">
        <f t="shared" si="67"/>
        <v>197720.39224002726</v>
      </c>
    </row>
    <row r="1301" spans="25:27" x14ac:dyDescent="0.3">
      <c r="Y1301">
        <f t="shared" si="65"/>
        <v>4216</v>
      </c>
      <c r="Z1301" s="20">
        <f t="shared" si="66"/>
        <v>62.916310178155044</v>
      </c>
      <c r="AA1301">
        <f t="shared" si="67"/>
        <v>197783.3085502054</v>
      </c>
    </row>
    <row r="1302" spans="25:27" x14ac:dyDescent="0.3">
      <c r="Y1302">
        <f t="shared" si="65"/>
        <v>4218</v>
      </c>
      <c r="Z1302" s="20">
        <f t="shared" si="66"/>
        <v>62.833315437299689</v>
      </c>
      <c r="AA1302">
        <f t="shared" si="67"/>
        <v>197846.14186564271</v>
      </c>
    </row>
    <row r="1303" spans="25:27" x14ac:dyDescent="0.3">
      <c r="Y1303">
        <f t="shared" si="65"/>
        <v>4220</v>
      </c>
      <c r="Z1303" s="20">
        <f t="shared" si="66"/>
        <v>62.750430177229028</v>
      </c>
      <c r="AA1303">
        <f t="shared" si="67"/>
        <v>197908.89229581994</v>
      </c>
    </row>
    <row r="1304" spans="25:27" x14ac:dyDescent="0.3">
      <c r="Y1304">
        <f t="shared" si="65"/>
        <v>4222</v>
      </c>
      <c r="Z1304" s="20">
        <f t="shared" si="66"/>
        <v>62.667654253523814</v>
      </c>
      <c r="AA1304">
        <f t="shared" si="67"/>
        <v>197971.55995007345</v>
      </c>
    </row>
    <row r="1305" spans="25:27" x14ac:dyDescent="0.3">
      <c r="Y1305">
        <f t="shared" si="65"/>
        <v>4224</v>
      </c>
      <c r="Z1305" s="20">
        <f t="shared" si="66"/>
        <v>62.584987521955192</v>
      </c>
      <c r="AA1305">
        <f t="shared" si="67"/>
        <v>198034.14493759541</v>
      </c>
    </row>
    <row r="1306" spans="25:27" x14ac:dyDescent="0.3">
      <c r="Y1306">
        <f t="shared" si="65"/>
        <v>4226</v>
      </c>
      <c r="Z1306" s="20">
        <f t="shared" si="66"/>
        <v>62.502429838484694</v>
      </c>
      <c r="AA1306">
        <f t="shared" si="67"/>
        <v>198096.64736743391</v>
      </c>
    </row>
    <row r="1307" spans="25:27" x14ac:dyDescent="0.3">
      <c r="Y1307">
        <f t="shared" si="65"/>
        <v>4228</v>
      </c>
      <c r="Z1307" s="20">
        <f t="shared" si="66"/>
        <v>62.419981059263726</v>
      </c>
      <c r="AA1307">
        <f t="shared" si="67"/>
        <v>198159.06734849318</v>
      </c>
    </row>
    <row r="1308" spans="25:27" x14ac:dyDescent="0.3">
      <c r="Y1308">
        <f t="shared" si="65"/>
        <v>4230</v>
      </c>
      <c r="Z1308" s="20">
        <f t="shared" si="66"/>
        <v>62.337641040633578</v>
      </c>
      <c r="AA1308">
        <f t="shared" si="67"/>
        <v>198221.4049895338</v>
      </c>
    </row>
    <row r="1309" spans="25:27" x14ac:dyDescent="0.3">
      <c r="Y1309">
        <f t="shared" si="65"/>
        <v>4232</v>
      </c>
      <c r="Z1309" s="20">
        <f t="shared" si="66"/>
        <v>62.255409639124927</v>
      </c>
      <c r="AA1309">
        <f t="shared" si="67"/>
        <v>198283.66039917292</v>
      </c>
    </row>
    <row r="1310" spans="25:27" x14ac:dyDescent="0.3">
      <c r="Y1310">
        <f t="shared" si="65"/>
        <v>4234</v>
      </c>
      <c r="Z1310" s="20">
        <f t="shared" si="66"/>
        <v>62.173286711457799</v>
      </c>
      <c r="AA1310">
        <f t="shared" si="67"/>
        <v>198345.83368588437</v>
      </c>
    </row>
    <row r="1311" spans="25:27" x14ac:dyDescent="0.3">
      <c r="Y1311">
        <f t="shared" si="65"/>
        <v>4236</v>
      </c>
      <c r="Z1311" s="20">
        <f t="shared" si="66"/>
        <v>62.091272114541148</v>
      </c>
      <c r="AA1311">
        <f t="shared" si="67"/>
        <v>198407.92495799891</v>
      </c>
    </row>
    <row r="1312" spans="25:27" x14ac:dyDescent="0.3">
      <c r="Y1312">
        <f t="shared" si="65"/>
        <v>4238</v>
      </c>
      <c r="Z1312" s="20">
        <f t="shared" si="66"/>
        <v>62.009365705472767</v>
      </c>
      <c r="AA1312">
        <f t="shared" si="67"/>
        <v>198469.93432370439</v>
      </c>
    </row>
    <row r="1313" spans="25:27" x14ac:dyDescent="0.3">
      <c r="Y1313">
        <f t="shared" si="65"/>
        <v>4240</v>
      </c>
      <c r="Z1313" s="20">
        <f t="shared" si="66"/>
        <v>61.927567341538847</v>
      </c>
      <c r="AA1313">
        <f t="shared" si="67"/>
        <v>198531.86189104593</v>
      </c>
    </row>
    <row r="1314" spans="25:27" x14ac:dyDescent="0.3">
      <c r="Y1314">
        <f t="shared" si="65"/>
        <v>4242</v>
      </c>
      <c r="Z1314" s="20">
        <f t="shared" si="66"/>
        <v>61.845876880213957</v>
      </c>
      <c r="AA1314">
        <f t="shared" si="67"/>
        <v>198593.70776792616</v>
      </c>
    </row>
    <row r="1315" spans="25:27" x14ac:dyDescent="0.3">
      <c r="Y1315">
        <f t="shared" si="65"/>
        <v>4244</v>
      </c>
      <c r="Z1315" s="20">
        <f t="shared" si="66"/>
        <v>61.764294179160565</v>
      </c>
      <c r="AA1315">
        <f t="shared" si="67"/>
        <v>198655.47206210531</v>
      </c>
    </row>
    <row r="1316" spans="25:27" x14ac:dyDescent="0.3">
      <c r="Y1316">
        <f t="shared" si="65"/>
        <v>4246</v>
      </c>
      <c r="Z1316" s="20">
        <f t="shared" si="66"/>
        <v>61.682819096228975</v>
      </c>
      <c r="AA1316">
        <f t="shared" si="67"/>
        <v>198717.15488120154</v>
      </c>
    </row>
    <row r="1317" spans="25:27" x14ac:dyDescent="0.3">
      <c r="Y1317">
        <f t="shared" si="65"/>
        <v>4248</v>
      </c>
      <c r="Z1317" s="20">
        <f t="shared" si="66"/>
        <v>61.601451489457013</v>
      </c>
      <c r="AA1317">
        <f t="shared" si="67"/>
        <v>198778.756332691</v>
      </c>
    </row>
    <row r="1318" spans="25:27" x14ac:dyDescent="0.3">
      <c r="Y1318">
        <f t="shared" si="65"/>
        <v>4250</v>
      </c>
      <c r="Z1318" s="20">
        <f t="shared" si="66"/>
        <v>61.520191217069687</v>
      </c>
      <c r="AA1318">
        <f t="shared" si="67"/>
        <v>198840.27652390808</v>
      </c>
    </row>
    <row r="1319" spans="25:27" x14ac:dyDescent="0.3">
      <c r="Y1319">
        <f t="shared" si="65"/>
        <v>4252</v>
      </c>
      <c r="Z1319" s="20">
        <f t="shared" si="66"/>
        <v>61.439038137479123</v>
      </c>
      <c r="AA1319">
        <f t="shared" si="67"/>
        <v>198901.71556204555</v>
      </c>
    </row>
    <row r="1320" spans="25:27" x14ac:dyDescent="0.3">
      <c r="Y1320">
        <f t="shared" si="65"/>
        <v>4254</v>
      </c>
      <c r="Z1320" s="20">
        <f t="shared" si="66"/>
        <v>61.357992109284133</v>
      </c>
      <c r="AA1320">
        <f t="shared" si="67"/>
        <v>198963.07355415483</v>
      </c>
    </row>
    <row r="1321" spans="25:27" x14ac:dyDescent="0.3">
      <c r="Y1321">
        <f t="shared" si="65"/>
        <v>4256</v>
      </c>
      <c r="Z1321" s="20">
        <f t="shared" si="66"/>
        <v>61.277052991270139</v>
      </c>
      <c r="AA1321">
        <f t="shared" si="67"/>
        <v>199024.3506071461</v>
      </c>
    </row>
    <row r="1322" spans="25:27" x14ac:dyDescent="0.3">
      <c r="Y1322">
        <f t="shared" si="65"/>
        <v>4258</v>
      </c>
      <c r="Z1322" s="20">
        <f t="shared" si="66"/>
        <v>61.196220642408754</v>
      </c>
      <c r="AA1322">
        <f t="shared" si="67"/>
        <v>199085.54682778852</v>
      </c>
    </row>
    <row r="1323" spans="25:27" x14ac:dyDescent="0.3">
      <c r="Y1323">
        <f t="shared" si="65"/>
        <v>4260</v>
      </c>
      <c r="Z1323" s="20">
        <f t="shared" si="66"/>
        <v>61.115494921857724</v>
      </c>
      <c r="AA1323">
        <f t="shared" si="67"/>
        <v>199146.66232271038</v>
      </c>
    </row>
    <row r="1324" spans="25:27" x14ac:dyDescent="0.3">
      <c r="Y1324">
        <f t="shared" si="65"/>
        <v>4262</v>
      </c>
      <c r="Z1324" s="20">
        <f t="shared" si="66"/>
        <v>61.03487568896049</v>
      </c>
      <c r="AA1324">
        <f t="shared" si="67"/>
        <v>199207.69719839934</v>
      </c>
    </row>
    <row r="1325" spans="25:27" x14ac:dyDescent="0.3">
      <c r="Y1325">
        <f t="shared" si="65"/>
        <v>4264</v>
      </c>
      <c r="Z1325" s="20">
        <f t="shared" si="66"/>
        <v>60.954362803246113</v>
      </c>
      <c r="AA1325">
        <f t="shared" si="67"/>
        <v>199268.6515612026</v>
      </c>
    </row>
    <row r="1326" spans="25:27" x14ac:dyDescent="0.3">
      <c r="Y1326">
        <f t="shared" si="65"/>
        <v>4266</v>
      </c>
      <c r="Z1326" s="20">
        <f t="shared" si="66"/>
        <v>60.873956124428886</v>
      </c>
      <c r="AA1326">
        <f t="shared" si="67"/>
        <v>199329.52551732701</v>
      </c>
    </row>
    <row r="1327" spans="25:27" x14ac:dyDescent="0.3">
      <c r="Y1327">
        <f t="shared" si="65"/>
        <v>4268</v>
      </c>
      <c r="Z1327" s="20">
        <f t="shared" si="66"/>
        <v>60.793655512408236</v>
      </c>
      <c r="AA1327">
        <f t="shared" si="67"/>
        <v>199390.31917283943</v>
      </c>
    </row>
    <row r="1328" spans="25:27" x14ac:dyDescent="0.3">
      <c r="Y1328">
        <f t="shared" si="65"/>
        <v>4270</v>
      </c>
      <c r="Z1328" s="20">
        <f t="shared" si="66"/>
        <v>60.713460827268307</v>
      </c>
      <c r="AA1328">
        <f t="shared" si="67"/>
        <v>199451.03263366671</v>
      </c>
    </row>
    <row r="1329" spans="25:27" x14ac:dyDescent="0.3">
      <c r="Y1329">
        <f t="shared" si="65"/>
        <v>4272</v>
      </c>
      <c r="Z1329" s="20">
        <f t="shared" si="66"/>
        <v>60.633371929277907</v>
      </c>
      <c r="AA1329">
        <f t="shared" si="67"/>
        <v>199511.66600559599</v>
      </c>
    </row>
    <row r="1330" spans="25:27" x14ac:dyDescent="0.3">
      <c r="Y1330">
        <f t="shared" si="65"/>
        <v>4274</v>
      </c>
      <c r="Z1330" s="20">
        <f t="shared" si="66"/>
        <v>60.553388678890073</v>
      </c>
      <c r="AA1330">
        <f t="shared" si="67"/>
        <v>199572.21939427487</v>
      </c>
    </row>
    <row r="1331" spans="25:27" x14ac:dyDescent="0.3">
      <c r="Y1331">
        <f t="shared" si="65"/>
        <v>4276</v>
      </c>
      <c r="Z1331" s="20">
        <f t="shared" si="66"/>
        <v>60.473510936742016</v>
      </c>
      <c r="AA1331">
        <f t="shared" si="67"/>
        <v>199632.69290521162</v>
      </c>
    </row>
    <row r="1332" spans="25:27" x14ac:dyDescent="0.3">
      <c r="Y1332">
        <f t="shared" si="65"/>
        <v>4278</v>
      </c>
      <c r="Z1332" s="20">
        <f t="shared" si="66"/>
        <v>60.393738563654694</v>
      </c>
      <c r="AA1332">
        <f t="shared" si="67"/>
        <v>199693.08664377528</v>
      </c>
    </row>
    <row r="1333" spans="25:27" x14ac:dyDescent="0.3">
      <c r="Y1333">
        <f t="shared" si="65"/>
        <v>4280</v>
      </c>
      <c r="Z1333" s="20">
        <f t="shared" si="66"/>
        <v>60.314071420632715</v>
      </c>
      <c r="AA1333">
        <f t="shared" si="67"/>
        <v>199753.40071519592</v>
      </c>
    </row>
    <row r="1334" spans="25:27" x14ac:dyDescent="0.3">
      <c r="Y1334">
        <f t="shared" si="65"/>
        <v>4282</v>
      </c>
      <c r="Z1334" s="20">
        <f t="shared" si="66"/>
        <v>60.234509368864067</v>
      </c>
      <c r="AA1334">
        <f t="shared" si="67"/>
        <v>199813.63522456479</v>
      </c>
    </row>
    <row r="1335" spans="25:27" x14ac:dyDescent="0.3">
      <c r="Y1335">
        <f t="shared" si="65"/>
        <v>4284</v>
      </c>
      <c r="Z1335" s="20">
        <f t="shared" si="66"/>
        <v>60.155052269719761</v>
      </c>
      <c r="AA1335">
        <f t="shared" si="67"/>
        <v>199873.79027683451</v>
      </c>
    </row>
    <row r="1336" spans="25:27" x14ac:dyDescent="0.3">
      <c r="Y1336">
        <f t="shared" si="65"/>
        <v>4286</v>
      </c>
      <c r="Z1336" s="20">
        <f t="shared" si="66"/>
        <v>60.075699984753783</v>
      </c>
      <c r="AA1336">
        <f t="shared" si="67"/>
        <v>199933.86597681927</v>
      </c>
    </row>
    <row r="1337" spans="25:27" x14ac:dyDescent="0.3">
      <c r="Y1337">
        <f t="shared" si="65"/>
        <v>4288</v>
      </c>
      <c r="Z1337" s="20">
        <f t="shared" si="66"/>
        <v>59.996452375702617</v>
      </c>
      <c r="AA1337">
        <f t="shared" si="67"/>
        <v>199993.86242919497</v>
      </c>
    </row>
    <row r="1338" spans="25:27" x14ac:dyDescent="0.3">
      <c r="Y1338">
        <f t="shared" si="65"/>
        <v>4290</v>
      </c>
      <c r="Z1338" s="20">
        <f t="shared" si="66"/>
        <v>59.917309304485279</v>
      </c>
      <c r="AA1338">
        <f t="shared" si="67"/>
        <v>200053.77973849946</v>
      </c>
    </row>
    <row r="1339" spans="25:27" x14ac:dyDescent="0.3">
      <c r="Y1339">
        <f t="shared" si="65"/>
        <v>4292</v>
      </c>
      <c r="Z1339" s="20">
        <f t="shared" si="66"/>
        <v>59.838270633202804</v>
      </c>
      <c r="AA1339">
        <f t="shared" si="67"/>
        <v>200113.61800913265</v>
      </c>
    </row>
    <row r="1340" spans="25:27" x14ac:dyDescent="0.3">
      <c r="Y1340">
        <f t="shared" si="65"/>
        <v>4294</v>
      </c>
      <c r="Z1340" s="20">
        <f t="shared" si="66"/>
        <v>59.759336224138252</v>
      </c>
      <c r="AA1340">
        <f t="shared" si="67"/>
        <v>200173.3773453568</v>
      </c>
    </row>
    <row r="1341" spans="25:27" x14ac:dyDescent="0.3">
      <c r="Y1341">
        <f t="shared" si="65"/>
        <v>4296</v>
      </c>
      <c r="Z1341" s="20">
        <f t="shared" si="66"/>
        <v>59.68050593975623</v>
      </c>
      <c r="AA1341">
        <f t="shared" si="67"/>
        <v>200233.05785129656</v>
      </c>
    </row>
    <row r="1342" spans="25:27" x14ac:dyDescent="0.3">
      <c r="Y1342">
        <f t="shared" ref="Y1342:Y1405" si="68">Y1341+2</f>
        <v>4298</v>
      </c>
      <c r="Z1342" s="20">
        <f t="shared" si="66"/>
        <v>59.601779642702873</v>
      </c>
      <c r="AA1342">
        <f t="shared" si="67"/>
        <v>200292.65963093925</v>
      </c>
    </row>
    <row r="1343" spans="25:27" x14ac:dyDescent="0.3">
      <c r="Y1343">
        <f t="shared" si="68"/>
        <v>4300</v>
      </c>
      <c r="Z1343" s="20">
        <f t="shared" si="66"/>
        <v>59.523157195805425</v>
      </c>
      <c r="AA1343">
        <f t="shared" si="67"/>
        <v>200352.18278813505</v>
      </c>
    </row>
    <row r="1344" spans="25:27" x14ac:dyDescent="0.3">
      <c r="Y1344">
        <f t="shared" si="68"/>
        <v>4302</v>
      </c>
      <c r="Z1344" s="20">
        <f t="shared" si="66"/>
        <v>59.444638462072163</v>
      </c>
      <c r="AA1344">
        <f t="shared" si="67"/>
        <v>200411.62742659712</v>
      </c>
    </row>
    <row r="1345" spans="25:27" x14ac:dyDescent="0.3">
      <c r="Y1345">
        <f t="shared" si="68"/>
        <v>4304</v>
      </c>
      <c r="Z1345" s="20">
        <f t="shared" si="66"/>
        <v>59.366223304691971</v>
      </c>
      <c r="AA1345">
        <f t="shared" si="67"/>
        <v>200470.99364990179</v>
      </c>
    </row>
    <row r="1346" spans="25:27" x14ac:dyDescent="0.3">
      <c r="Y1346">
        <f t="shared" si="68"/>
        <v>4306</v>
      </c>
      <c r="Z1346" s="20">
        <f t="shared" si="66"/>
        <v>59.287911587034301</v>
      </c>
      <c r="AA1346">
        <f t="shared" si="67"/>
        <v>200530.28156148884</v>
      </c>
    </row>
    <row r="1347" spans="25:27" x14ac:dyDescent="0.3">
      <c r="Y1347">
        <f t="shared" si="68"/>
        <v>4308</v>
      </c>
      <c r="Z1347" s="20">
        <f t="shared" si="66"/>
        <v>59.209703172648759</v>
      </c>
      <c r="AA1347">
        <f t="shared" si="67"/>
        <v>200589.49126466148</v>
      </c>
    </row>
    <row r="1348" spans="25:27" x14ac:dyDescent="0.3">
      <c r="Y1348">
        <f t="shared" si="68"/>
        <v>4310</v>
      </c>
      <c r="Z1348" s="20">
        <f t="shared" ref="Z1348:Z1411" si="69">1016.74887*EXP(-0.00066*Y1348)</f>
        <v>59.131597925265034</v>
      </c>
      <c r="AA1348">
        <f t="shared" si="67"/>
        <v>200648.62286258675</v>
      </c>
    </row>
    <row r="1349" spans="25:27" x14ac:dyDescent="0.3">
      <c r="Y1349">
        <f t="shared" si="68"/>
        <v>4312</v>
      </c>
      <c r="Z1349" s="20">
        <f t="shared" si="69"/>
        <v>59.053595708792464</v>
      </c>
      <c r="AA1349">
        <f t="shared" ref="AA1349:AA1412" si="70">AA1348+Z1349</f>
        <v>200707.67645829555</v>
      </c>
    </row>
    <row r="1350" spans="25:27" x14ac:dyDescent="0.3">
      <c r="Y1350">
        <f t="shared" si="68"/>
        <v>4314</v>
      </c>
      <c r="Z1350" s="20">
        <f t="shared" si="69"/>
        <v>58.975696387320021</v>
      </c>
      <c r="AA1350">
        <f t="shared" si="70"/>
        <v>200766.65215468287</v>
      </c>
    </row>
    <row r="1351" spans="25:27" x14ac:dyDescent="0.3">
      <c r="Y1351">
        <f t="shared" si="68"/>
        <v>4316</v>
      </c>
      <c r="Z1351" s="20">
        <f t="shared" si="69"/>
        <v>58.897899825115864</v>
      </c>
      <c r="AA1351">
        <f t="shared" si="70"/>
        <v>200825.550054508</v>
      </c>
    </row>
    <row r="1352" spans="25:27" x14ac:dyDescent="0.3">
      <c r="Y1352">
        <f t="shared" si="68"/>
        <v>4318</v>
      </c>
      <c r="Z1352" s="20">
        <f t="shared" si="69"/>
        <v>58.820205886627257</v>
      </c>
      <c r="AA1352">
        <f t="shared" si="70"/>
        <v>200884.37026039461</v>
      </c>
    </row>
    <row r="1353" spans="25:27" x14ac:dyDescent="0.3">
      <c r="Y1353">
        <f t="shared" si="68"/>
        <v>4320</v>
      </c>
      <c r="Z1353" s="20">
        <f t="shared" si="69"/>
        <v>58.742614436480302</v>
      </c>
      <c r="AA1353">
        <f t="shared" si="70"/>
        <v>200943.1128748311</v>
      </c>
    </row>
    <row r="1354" spans="25:27" x14ac:dyDescent="0.3">
      <c r="Y1354">
        <f t="shared" si="68"/>
        <v>4322</v>
      </c>
      <c r="Z1354" s="20">
        <f t="shared" si="69"/>
        <v>58.665125339479573</v>
      </c>
      <c r="AA1354">
        <f t="shared" si="70"/>
        <v>201001.77800017057</v>
      </c>
    </row>
    <row r="1355" spans="25:27" x14ac:dyDescent="0.3">
      <c r="Y1355">
        <f t="shared" si="68"/>
        <v>4324</v>
      </c>
      <c r="Z1355" s="20">
        <f t="shared" si="69"/>
        <v>58.587738460608101</v>
      </c>
      <c r="AA1355">
        <f t="shared" si="70"/>
        <v>201060.36573863117</v>
      </c>
    </row>
    <row r="1356" spans="25:27" x14ac:dyDescent="0.3">
      <c r="Y1356">
        <f t="shared" si="68"/>
        <v>4326</v>
      </c>
      <c r="Z1356" s="20">
        <f t="shared" si="69"/>
        <v>58.510453665026922</v>
      </c>
      <c r="AA1356">
        <f t="shared" si="70"/>
        <v>201118.87619229619</v>
      </c>
    </row>
    <row r="1357" spans="25:27" x14ac:dyDescent="0.3">
      <c r="Y1357">
        <f t="shared" si="68"/>
        <v>4328</v>
      </c>
      <c r="Z1357" s="20">
        <f t="shared" si="69"/>
        <v>58.433270818075037</v>
      </c>
      <c r="AA1357">
        <f t="shared" si="70"/>
        <v>201177.30946311427</v>
      </c>
    </row>
    <row r="1358" spans="25:27" x14ac:dyDescent="0.3">
      <c r="Y1358">
        <f t="shared" si="68"/>
        <v>4330</v>
      </c>
      <c r="Z1358" s="20">
        <f t="shared" si="69"/>
        <v>58.356189785268988</v>
      </c>
      <c r="AA1358">
        <f t="shared" si="70"/>
        <v>201235.66565289954</v>
      </c>
    </row>
    <row r="1359" spans="25:27" x14ac:dyDescent="0.3">
      <c r="Y1359">
        <f t="shared" si="68"/>
        <v>4332</v>
      </c>
      <c r="Z1359" s="20">
        <f t="shared" si="69"/>
        <v>58.279210432302797</v>
      </c>
      <c r="AA1359">
        <f t="shared" si="70"/>
        <v>201293.94486333185</v>
      </c>
    </row>
    <row r="1360" spans="25:27" x14ac:dyDescent="0.3">
      <c r="Y1360">
        <f t="shared" si="68"/>
        <v>4334</v>
      </c>
      <c r="Z1360" s="20">
        <f t="shared" si="69"/>
        <v>58.202332625047596</v>
      </c>
      <c r="AA1360">
        <f t="shared" si="70"/>
        <v>201352.1471959569</v>
      </c>
    </row>
    <row r="1361" spans="25:27" x14ac:dyDescent="0.3">
      <c r="Y1361">
        <f t="shared" si="68"/>
        <v>4336</v>
      </c>
      <c r="Z1361" s="20">
        <f t="shared" si="69"/>
        <v>58.125556229551506</v>
      </c>
      <c r="AA1361">
        <f t="shared" si="70"/>
        <v>201410.27275218646</v>
      </c>
    </row>
    <row r="1362" spans="25:27" x14ac:dyDescent="0.3">
      <c r="Y1362">
        <f t="shared" si="68"/>
        <v>4338</v>
      </c>
      <c r="Z1362" s="20">
        <f t="shared" si="69"/>
        <v>58.048881112039268</v>
      </c>
      <c r="AA1362">
        <f t="shared" si="70"/>
        <v>201468.3216332985</v>
      </c>
    </row>
    <row r="1363" spans="25:27" x14ac:dyDescent="0.3">
      <c r="Y1363">
        <f t="shared" si="68"/>
        <v>4340</v>
      </c>
      <c r="Z1363" s="20">
        <f t="shared" si="69"/>
        <v>57.9723071389122</v>
      </c>
      <c r="AA1363">
        <f t="shared" si="70"/>
        <v>201526.2939404374</v>
      </c>
    </row>
    <row r="1364" spans="25:27" x14ac:dyDescent="0.3">
      <c r="Y1364">
        <f t="shared" si="68"/>
        <v>4342</v>
      </c>
      <c r="Z1364" s="20">
        <f t="shared" si="69"/>
        <v>57.895834176747719</v>
      </c>
      <c r="AA1364">
        <f t="shared" si="70"/>
        <v>201584.18977461415</v>
      </c>
    </row>
    <row r="1365" spans="25:27" x14ac:dyDescent="0.3">
      <c r="Y1365">
        <f t="shared" si="68"/>
        <v>4344</v>
      </c>
      <c r="Z1365" s="20">
        <f t="shared" si="69"/>
        <v>57.819462092299396</v>
      </c>
      <c r="AA1365">
        <f t="shared" si="70"/>
        <v>201642.00923670645</v>
      </c>
    </row>
    <row r="1366" spans="25:27" x14ac:dyDescent="0.3">
      <c r="Y1366">
        <f t="shared" si="68"/>
        <v>4346</v>
      </c>
      <c r="Z1366" s="20">
        <f t="shared" si="69"/>
        <v>57.74319075249641</v>
      </c>
      <c r="AA1366">
        <f t="shared" si="70"/>
        <v>201699.75242745894</v>
      </c>
    </row>
    <row r="1367" spans="25:27" x14ac:dyDescent="0.3">
      <c r="Y1367">
        <f t="shared" si="68"/>
        <v>4348</v>
      </c>
      <c r="Z1367" s="20">
        <f t="shared" si="69"/>
        <v>57.667020024443637</v>
      </c>
      <c r="AA1367">
        <f t="shared" si="70"/>
        <v>201757.41944748338</v>
      </c>
    </row>
    <row r="1368" spans="25:27" x14ac:dyDescent="0.3">
      <c r="Y1368">
        <f t="shared" si="68"/>
        <v>4350</v>
      </c>
      <c r="Z1368" s="20">
        <f t="shared" si="69"/>
        <v>57.590949775421116</v>
      </c>
      <c r="AA1368">
        <f t="shared" si="70"/>
        <v>201815.0103972588</v>
      </c>
    </row>
    <row r="1369" spans="25:27" x14ac:dyDescent="0.3">
      <c r="Y1369">
        <f t="shared" si="68"/>
        <v>4352</v>
      </c>
      <c r="Z1369" s="20">
        <f t="shared" si="69"/>
        <v>57.514979872884048</v>
      </c>
      <c r="AA1369">
        <f t="shared" si="70"/>
        <v>201872.52537713168</v>
      </c>
    </row>
    <row r="1370" spans="25:27" x14ac:dyDescent="0.3">
      <c r="Y1370">
        <f t="shared" si="68"/>
        <v>4354</v>
      </c>
      <c r="Z1370" s="20">
        <f t="shared" si="69"/>
        <v>57.439110184462493</v>
      </c>
      <c r="AA1370">
        <f t="shared" si="70"/>
        <v>201929.96448731615</v>
      </c>
    </row>
    <row r="1371" spans="25:27" x14ac:dyDescent="0.3">
      <c r="Y1371">
        <f t="shared" si="68"/>
        <v>4356</v>
      </c>
      <c r="Z1371" s="20">
        <f t="shared" si="69"/>
        <v>57.363340577961026</v>
      </c>
      <c r="AA1371">
        <f t="shared" si="70"/>
        <v>201987.3278278941</v>
      </c>
    </row>
    <row r="1372" spans="25:27" x14ac:dyDescent="0.3">
      <c r="Y1372">
        <f t="shared" si="68"/>
        <v>4358</v>
      </c>
      <c r="Z1372" s="20">
        <f t="shared" si="69"/>
        <v>57.287670921358725</v>
      </c>
      <c r="AA1372">
        <f t="shared" si="70"/>
        <v>202044.61549881546</v>
      </c>
    </row>
    <row r="1373" spans="25:27" x14ac:dyDescent="0.3">
      <c r="Y1373">
        <f t="shared" si="68"/>
        <v>4360</v>
      </c>
      <c r="Z1373" s="20">
        <f t="shared" si="69"/>
        <v>57.212101082808701</v>
      </c>
      <c r="AA1373">
        <f t="shared" si="70"/>
        <v>202101.82759989827</v>
      </c>
    </row>
    <row r="1374" spans="25:27" x14ac:dyDescent="0.3">
      <c r="Y1374">
        <f t="shared" si="68"/>
        <v>4362</v>
      </c>
      <c r="Z1374" s="20">
        <f t="shared" si="69"/>
        <v>57.136630930638105</v>
      </c>
      <c r="AA1374">
        <f t="shared" si="70"/>
        <v>202158.96423082892</v>
      </c>
    </row>
    <row r="1375" spans="25:27" x14ac:dyDescent="0.3">
      <c r="Y1375">
        <f t="shared" si="68"/>
        <v>4364</v>
      </c>
      <c r="Z1375" s="20">
        <f t="shared" si="69"/>
        <v>57.061260333347676</v>
      </c>
      <c r="AA1375">
        <f t="shared" si="70"/>
        <v>202216.02549116226</v>
      </c>
    </row>
    <row r="1376" spans="25:27" x14ac:dyDescent="0.3">
      <c r="Y1376">
        <f t="shared" si="68"/>
        <v>4366</v>
      </c>
      <c r="Z1376" s="20">
        <f t="shared" si="69"/>
        <v>56.985989159611712</v>
      </c>
      <c r="AA1376">
        <f t="shared" si="70"/>
        <v>202273.01148032187</v>
      </c>
    </row>
    <row r="1377" spans="25:27" x14ac:dyDescent="0.3">
      <c r="Y1377">
        <f t="shared" si="68"/>
        <v>4368</v>
      </c>
      <c r="Z1377" s="20">
        <f t="shared" si="69"/>
        <v>56.910817278277648</v>
      </c>
      <c r="AA1377">
        <f t="shared" si="70"/>
        <v>202329.92229760016</v>
      </c>
    </row>
    <row r="1378" spans="25:27" x14ac:dyDescent="0.3">
      <c r="Y1378">
        <f t="shared" si="68"/>
        <v>4370</v>
      </c>
      <c r="Z1378" s="20">
        <f t="shared" si="69"/>
        <v>56.835744558366031</v>
      </c>
      <c r="AA1378">
        <f t="shared" si="70"/>
        <v>202386.75804215853</v>
      </c>
    </row>
    <row r="1379" spans="25:27" x14ac:dyDescent="0.3">
      <c r="Y1379">
        <f t="shared" si="68"/>
        <v>4372</v>
      </c>
      <c r="Z1379" s="20">
        <f t="shared" si="69"/>
        <v>56.760770869070093</v>
      </c>
      <c r="AA1379">
        <f t="shared" si="70"/>
        <v>202443.51881302759</v>
      </c>
    </row>
    <row r="1380" spans="25:27" x14ac:dyDescent="0.3">
      <c r="Y1380">
        <f t="shared" si="68"/>
        <v>4374</v>
      </c>
      <c r="Z1380" s="20">
        <f t="shared" si="69"/>
        <v>56.685896079755693</v>
      </c>
      <c r="AA1380">
        <f t="shared" si="70"/>
        <v>202500.20470910735</v>
      </c>
    </row>
    <row r="1381" spans="25:27" x14ac:dyDescent="0.3">
      <c r="Y1381">
        <f t="shared" si="68"/>
        <v>4376</v>
      </c>
      <c r="Z1381" s="20">
        <f t="shared" si="69"/>
        <v>56.611120059960953</v>
      </c>
      <c r="AA1381">
        <f t="shared" si="70"/>
        <v>202556.81582916732</v>
      </c>
    </row>
    <row r="1382" spans="25:27" x14ac:dyDescent="0.3">
      <c r="Y1382">
        <f t="shared" si="68"/>
        <v>4378</v>
      </c>
      <c r="Z1382" s="20">
        <f t="shared" si="69"/>
        <v>56.536442679396146</v>
      </c>
      <c r="AA1382">
        <f t="shared" si="70"/>
        <v>202613.3522718467</v>
      </c>
    </row>
    <row r="1383" spans="25:27" x14ac:dyDescent="0.3">
      <c r="Y1383">
        <f t="shared" si="68"/>
        <v>4380</v>
      </c>
      <c r="Z1383" s="20">
        <f t="shared" si="69"/>
        <v>56.461863807943345</v>
      </c>
      <c r="AA1383">
        <f t="shared" si="70"/>
        <v>202669.81413565465</v>
      </c>
    </row>
    <row r="1384" spans="25:27" x14ac:dyDescent="0.3">
      <c r="Y1384">
        <f t="shared" si="68"/>
        <v>4382</v>
      </c>
      <c r="Z1384" s="20">
        <f t="shared" si="69"/>
        <v>56.387383315656344</v>
      </c>
      <c r="AA1384">
        <f t="shared" si="70"/>
        <v>202726.20151897031</v>
      </c>
    </row>
    <row r="1385" spans="25:27" x14ac:dyDescent="0.3">
      <c r="Y1385">
        <f t="shared" si="68"/>
        <v>4384</v>
      </c>
      <c r="Z1385" s="20">
        <f t="shared" si="69"/>
        <v>56.313001072760279</v>
      </c>
      <c r="AA1385">
        <f t="shared" si="70"/>
        <v>202782.51452004307</v>
      </c>
    </row>
    <row r="1386" spans="25:27" x14ac:dyDescent="0.3">
      <c r="Y1386">
        <f t="shared" si="68"/>
        <v>4386</v>
      </c>
      <c r="Z1386" s="20">
        <f t="shared" si="69"/>
        <v>56.238716949651561</v>
      </c>
      <c r="AA1386">
        <f t="shared" si="70"/>
        <v>202838.75323699272</v>
      </c>
    </row>
    <row r="1387" spans="25:27" x14ac:dyDescent="0.3">
      <c r="Y1387">
        <f t="shared" si="68"/>
        <v>4388</v>
      </c>
      <c r="Z1387" s="20">
        <f t="shared" si="69"/>
        <v>56.164530816897447</v>
      </c>
      <c r="AA1387">
        <f t="shared" si="70"/>
        <v>202894.91776780962</v>
      </c>
    </row>
    <row r="1388" spans="25:27" x14ac:dyDescent="0.3">
      <c r="Y1388">
        <f t="shared" si="68"/>
        <v>4390</v>
      </c>
      <c r="Z1388" s="20">
        <f t="shared" si="69"/>
        <v>56.090442545236044</v>
      </c>
      <c r="AA1388">
        <f t="shared" si="70"/>
        <v>202951.00821035486</v>
      </c>
    </row>
    <row r="1389" spans="25:27" x14ac:dyDescent="0.3">
      <c r="Y1389">
        <f t="shared" si="68"/>
        <v>4392</v>
      </c>
      <c r="Z1389" s="20">
        <f t="shared" si="69"/>
        <v>56.01645200557595</v>
      </c>
      <c r="AA1389">
        <f t="shared" si="70"/>
        <v>203007.02466236043</v>
      </c>
    </row>
    <row r="1390" spans="25:27" x14ac:dyDescent="0.3">
      <c r="Y1390">
        <f t="shared" si="68"/>
        <v>4394</v>
      </c>
      <c r="Z1390" s="20">
        <f t="shared" si="69"/>
        <v>55.942559068995969</v>
      </c>
      <c r="AA1390">
        <f t="shared" si="70"/>
        <v>203062.96722142943</v>
      </c>
    </row>
    <row r="1391" spans="25:27" x14ac:dyDescent="0.3">
      <c r="Y1391">
        <f t="shared" si="68"/>
        <v>4396</v>
      </c>
      <c r="Z1391" s="20">
        <f t="shared" si="69"/>
        <v>55.868763606745098</v>
      </c>
      <c r="AA1391">
        <f t="shared" si="70"/>
        <v>203118.83598503616</v>
      </c>
    </row>
    <row r="1392" spans="25:27" x14ac:dyDescent="0.3">
      <c r="Y1392">
        <f t="shared" si="68"/>
        <v>4398</v>
      </c>
      <c r="Z1392" s="20">
        <f t="shared" si="69"/>
        <v>55.795065490242038</v>
      </c>
      <c r="AA1392">
        <f t="shared" si="70"/>
        <v>203174.6310505264</v>
      </c>
    </row>
    <row r="1393" spans="25:27" x14ac:dyDescent="0.3">
      <c r="Y1393">
        <f t="shared" si="68"/>
        <v>4400</v>
      </c>
      <c r="Z1393" s="20">
        <f t="shared" si="69"/>
        <v>55.721464591075232</v>
      </c>
      <c r="AA1393">
        <f t="shared" si="70"/>
        <v>203230.35251511747</v>
      </c>
    </row>
    <row r="1394" spans="25:27" x14ac:dyDescent="0.3">
      <c r="Y1394">
        <f t="shared" si="68"/>
        <v>4402</v>
      </c>
      <c r="Z1394" s="20">
        <f t="shared" si="69"/>
        <v>55.647960781002404</v>
      </c>
      <c r="AA1394">
        <f t="shared" si="70"/>
        <v>203286.00047589847</v>
      </c>
    </row>
    <row r="1395" spans="25:27" x14ac:dyDescent="0.3">
      <c r="Y1395">
        <f t="shared" si="68"/>
        <v>4404</v>
      </c>
      <c r="Z1395" s="20">
        <f t="shared" si="69"/>
        <v>55.574553931950547</v>
      </c>
      <c r="AA1395">
        <f t="shared" si="70"/>
        <v>203341.57502983042</v>
      </c>
    </row>
    <row r="1396" spans="25:27" x14ac:dyDescent="0.3">
      <c r="Y1396">
        <f t="shared" si="68"/>
        <v>4406</v>
      </c>
      <c r="Z1396" s="20">
        <f t="shared" si="69"/>
        <v>55.50124391601549</v>
      </c>
      <c r="AA1396">
        <f t="shared" si="70"/>
        <v>203397.07627374644</v>
      </c>
    </row>
    <row r="1397" spans="25:27" x14ac:dyDescent="0.3">
      <c r="Y1397">
        <f t="shared" si="68"/>
        <v>4408</v>
      </c>
      <c r="Z1397" s="20">
        <f t="shared" si="69"/>
        <v>55.428030605461899</v>
      </c>
      <c r="AA1397">
        <f t="shared" si="70"/>
        <v>203452.5043043519</v>
      </c>
    </row>
    <row r="1398" spans="25:27" x14ac:dyDescent="0.3">
      <c r="Y1398">
        <f t="shared" si="68"/>
        <v>4410</v>
      </c>
      <c r="Z1398" s="20">
        <f t="shared" si="69"/>
        <v>55.354913872722832</v>
      </c>
      <c r="AA1398">
        <f t="shared" si="70"/>
        <v>203507.85921822462</v>
      </c>
    </row>
    <row r="1399" spans="25:27" x14ac:dyDescent="0.3">
      <c r="Y1399">
        <f t="shared" si="68"/>
        <v>4412</v>
      </c>
      <c r="Z1399" s="20">
        <f t="shared" si="69"/>
        <v>55.281893590399726</v>
      </c>
      <c r="AA1399">
        <f t="shared" si="70"/>
        <v>203563.14111181503</v>
      </c>
    </row>
    <row r="1400" spans="25:27" x14ac:dyDescent="0.3">
      <c r="Y1400">
        <f t="shared" si="68"/>
        <v>4414</v>
      </c>
      <c r="Z1400" s="20">
        <f t="shared" si="69"/>
        <v>55.208969631261979</v>
      </c>
      <c r="AA1400">
        <f t="shared" si="70"/>
        <v>203618.35008144629</v>
      </c>
    </row>
    <row r="1401" spans="25:27" x14ac:dyDescent="0.3">
      <c r="Y1401">
        <f t="shared" si="68"/>
        <v>4416</v>
      </c>
      <c r="Z1401" s="20">
        <f t="shared" si="69"/>
        <v>55.136141868246909</v>
      </c>
      <c r="AA1401">
        <f t="shared" si="70"/>
        <v>203673.48622331454</v>
      </c>
    </row>
    <row r="1402" spans="25:27" x14ac:dyDescent="0.3">
      <c r="Y1402">
        <f t="shared" si="68"/>
        <v>4418</v>
      </c>
      <c r="Z1402" s="20">
        <f t="shared" si="69"/>
        <v>55.063410174459356</v>
      </c>
      <c r="AA1402">
        <f t="shared" si="70"/>
        <v>203728.54963348899</v>
      </c>
    </row>
    <row r="1403" spans="25:27" x14ac:dyDescent="0.3">
      <c r="Y1403">
        <f t="shared" si="68"/>
        <v>4420</v>
      </c>
      <c r="Z1403" s="20">
        <f t="shared" si="69"/>
        <v>54.990774423171644</v>
      </c>
      <c r="AA1403">
        <f t="shared" si="70"/>
        <v>203783.54040791217</v>
      </c>
    </row>
    <row r="1404" spans="25:27" x14ac:dyDescent="0.3">
      <c r="Y1404">
        <f t="shared" si="68"/>
        <v>4422</v>
      </c>
      <c r="Z1404" s="20">
        <f t="shared" si="69"/>
        <v>54.91823448782317</v>
      </c>
      <c r="AA1404">
        <f t="shared" si="70"/>
        <v>203838.45864239999</v>
      </c>
    </row>
    <row r="1405" spans="25:27" x14ac:dyDescent="0.3">
      <c r="Y1405">
        <f t="shared" si="68"/>
        <v>4424</v>
      </c>
      <c r="Z1405" s="20">
        <f t="shared" si="69"/>
        <v>54.845790242020392</v>
      </c>
      <c r="AA1405">
        <f t="shared" si="70"/>
        <v>203893.30443264201</v>
      </c>
    </row>
    <row r="1406" spans="25:27" x14ac:dyDescent="0.3">
      <c r="Y1406">
        <f t="shared" ref="Y1406:Y1469" si="71">Y1405+2</f>
        <v>4426</v>
      </c>
      <c r="Z1406" s="20">
        <f t="shared" si="69"/>
        <v>54.77344155953638</v>
      </c>
      <c r="AA1406">
        <f t="shared" si="70"/>
        <v>203948.07787420155</v>
      </c>
    </row>
    <row r="1407" spans="25:27" x14ac:dyDescent="0.3">
      <c r="Y1407">
        <f t="shared" si="71"/>
        <v>4428</v>
      </c>
      <c r="Z1407" s="20">
        <f t="shared" si="69"/>
        <v>54.701188314310805</v>
      </c>
      <c r="AA1407">
        <f t="shared" si="70"/>
        <v>204002.77906251585</v>
      </c>
    </row>
    <row r="1408" spans="25:27" x14ac:dyDescent="0.3">
      <c r="Y1408">
        <f t="shared" si="71"/>
        <v>4430</v>
      </c>
      <c r="Z1408" s="20">
        <f t="shared" si="69"/>
        <v>54.629030380449606</v>
      </c>
      <c r="AA1408">
        <f t="shared" si="70"/>
        <v>204057.40809289631</v>
      </c>
    </row>
    <row r="1409" spans="25:27" x14ac:dyDescent="0.3">
      <c r="Y1409">
        <f t="shared" si="71"/>
        <v>4432</v>
      </c>
      <c r="Z1409" s="20">
        <f t="shared" si="69"/>
        <v>54.556967632224733</v>
      </c>
      <c r="AA1409">
        <f t="shared" si="70"/>
        <v>204111.96506052854</v>
      </c>
    </row>
    <row r="1410" spans="25:27" x14ac:dyDescent="0.3">
      <c r="Y1410">
        <f t="shared" si="71"/>
        <v>4434</v>
      </c>
      <c r="Z1410" s="20">
        <f t="shared" si="69"/>
        <v>54.484999944074097</v>
      </c>
      <c r="AA1410">
        <f t="shared" si="70"/>
        <v>204166.45006047262</v>
      </c>
    </row>
    <row r="1411" spans="25:27" x14ac:dyDescent="0.3">
      <c r="Y1411">
        <f t="shared" si="71"/>
        <v>4436</v>
      </c>
      <c r="Z1411" s="20">
        <f t="shared" si="69"/>
        <v>54.413127190601124</v>
      </c>
      <c r="AA1411">
        <f t="shared" si="70"/>
        <v>204220.86318766323</v>
      </c>
    </row>
    <row r="1412" spans="25:27" x14ac:dyDescent="0.3">
      <c r="Y1412">
        <f t="shared" si="71"/>
        <v>4438</v>
      </c>
      <c r="Z1412" s="20">
        <f t="shared" ref="Z1412:Z1475" si="72">1016.74887*EXP(-0.00066*Y1412)</f>
        <v>54.341349246574765</v>
      </c>
      <c r="AA1412">
        <f t="shared" si="70"/>
        <v>204275.20453690979</v>
      </c>
    </row>
    <row r="1413" spans="25:27" x14ac:dyDescent="0.3">
      <c r="Y1413">
        <f t="shared" si="71"/>
        <v>4440</v>
      </c>
      <c r="Z1413" s="20">
        <f t="shared" si="72"/>
        <v>54.269665986929049</v>
      </c>
      <c r="AA1413">
        <f t="shared" ref="AA1413:AA1475" si="73">AA1412+Z1413</f>
        <v>204329.47420289673</v>
      </c>
    </row>
    <row r="1414" spans="25:27" x14ac:dyDescent="0.3">
      <c r="Y1414">
        <f t="shared" si="71"/>
        <v>4442</v>
      </c>
      <c r="Z1414" s="20">
        <f t="shared" si="72"/>
        <v>54.198077286763102</v>
      </c>
      <c r="AA1414">
        <f t="shared" si="73"/>
        <v>204383.6722801835</v>
      </c>
    </row>
    <row r="1415" spans="25:27" x14ac:dyDescent="0.3">
      <c r="Y1415">
        <f t="shared" si="71"/>
        <v>4444</v>
      </c>
      <c r="Z1415" s="20">
        <f t="shared" si="72"/>
        <v>54.126583021340714</v>
      </c>
      <c r="AA1415">
        <f t="shared" si="73"/>
        <v>204437.79886320484</v>
      </c>
    </row>
    <row r="1416" spans="25:27" x14ac:dyDescent="0.3">
      <c r="Y1416">
        <f t="shared" si="71"/>
        <v>4446</v>
      </c>
      <c r="Z1416" s="20">
        <f t="shared" si="72"/>
        <v>54.055183066090287</v>
      </c>
      <c r="AA1416">
        <f t="shared" si="73"/>
        <v>204491.85404627092</v>
      </c>
    </row>
    <row r="1417" spans="25:27" x14ac:dyDescent="0.3">
      <c r="Y1417">
        <f t="shared" si="71"/>
        <v>4448</v>
      </c>
      <c r="Z1417" s="20">
        <f t="shared" si="72"/>
        <v>53.983877296604497</v>
      </c>
      <c r="AA1417">
        <f t="shared" si="73"/>
        <v>204545.83792356754</v>
      </c>
    </row>
    <row r="1418" spans="25:27" x14ac:dyDescent="0.3">
      <c r="Y1418">
        <f t="shared" si="71"/>
        <v>4450</v>
      </c>
      <c r="Z1418" s="20">
        <f t="shared" si="72"/>
        <v>53.912665588640188</v>
      </c>
      <c r="AA1418">
        <f t="shared" si="73"/>
        <v>204599.75058915617</v>
      </c>
    </row>
    <row r="1419" spans="25:27" x14ac:dyDescent="0.3">
      <c r="Y1419">
        <f t="shared" si="71"/>
        <v>4452</v>
      </c>
      <c r="Z1419" s="20">
        <f t="shared" si="72"/>
        <v>53.841547818118016</v>
      </c>
      <c r="AA1419">
        <f t="shared" si="73"/>
        <v>204653.5921369743</v>
      </c>
    </row>
    <row r="1420" spans="25:27" x14ac:dyDescent="0.3">
      <c r="Y1420">
        <f t="shared" si="71"/>
        <v>4454</v>
      </c>
      <c r="Z1420" s="20">
        <f t="shared" si="72"/>
        <v>53.770523861122406</v>
      </c>
      <c r="AA1420">
        <f t="shared" si="73"/>
        <v>204707.36266083541</v>
      </c>
    </row>
    <row r="1421" spans="25:27" x14ac:dyDescent="0.3">
      <c r="Y1421">
        <f t="shared" si="71"/>
        <v>4456</v>
      </c>
      <c r="Z1421" s="20">
        <f t="shared" si="72"/>
        <v>53.699593593901156</v>
      </c>
      <c r="AA1421">
        <f t="shared" si="73"/>
        <v>204761.0622544293</v>
      </c>
    </row>
    <row r="1422" spans="25:27" x14ac:dyDescent="0.3">
      <c r="Y1422">
        <f t="shared" si="71"/>
        <v>4458</v>
      </c>
      <c r="Z1422" s="20">
        <f t="shared" si="72"/>
        <v>53.628756892865397</v>
      </c>
      <c r="AA1422">
        <f t="shared" si="73"/>
        <v>204814.69101132217</v>
      </c>
    </row>
    <row r="1423" spans="25:27" x14ac:dyDescent="0.3">
      <c r="Y1423">
        <f t="shared" si="71"/>
        <v>4460</v>
      </c>
      <c r="Z1423" s="20">
        <f t="shared" si="72"/>
        <v>53.55801363458918</v>
      </c>
      <c r="AA1423">
        <f t="shared" si="73"/>
        <v>204868.24902495675</v>
      </c>
    </row>
    <row r="1424" spans="25:27" x14ac:dyDescent="0.3">
      <c r="Y1424">
        <f t="shared" si="71"/>
        <v>4462</v>
      </c>
      <c r="Z1424" s="20">
        <f t="shared" si="72"/>
        <v>53.487363695809478</v>
      </c>
      <c r="AA1424">
        <f t="shared" si="73"/>
        <v>204921.73638865256</v>
      </c>
    </row>
    <row r="1425" spans="25:27" x14ac:dyDescent="0.3">
      <c r="Y1425">
        <f t="shared" si="71"/>
        <v>4464</v>
      </c>
      <c r="Z1425" s="20">
        <f t="shared" si="72"/>
        <v>53.416806953425834</v>
      </c>
      <c r="AA1425">
        <f t="shared" si="73"/>
        <v>204975.15319560599</v>
      </c>
    </row>
    <row r="1426" spans="25:27" x14ac:dyDescent="0.3">
      <c r="Y1426">
        <f t="shared" si="71"/>
        <v>4466</v>
      </c>
      <c r="Z1426" s="20">
        <f t="shared" si="72"/>
        <v>53.346343284500115</v>
      </c>
      <c r="AA1426">
        <f t="shared" si="73"/>
        <v>205028.49953889049</v>
      </c>
    </row>
    <row r="1427" spans="25:27" x14ac:dyDescent="0.3">
      <c r="Y1427">
        <f t="shared" si="71"/>
        <v>4468</v>
      </c>
      <c r="Z1427" s="20">
        <f t="shared" si="72"/>
        <v>53.275972566256456</v>
      </c>
      <c r="AA1427">
        <f t="shared" si="73"/>
        <v>205081.77551145674</v>
      </c>
    </row>
    <row r="1428" spans="25:27" x14ac:dyDescent="0.3">
      <c r="Y1428">
        <f t="shared" si="71"/>
        <v>4470</v>
      </c>
      <c r="Z1428" s="20">
        <f t="shared" si="72"/>
        <v>53.205694676080846</v>
      </c>
      <c r="AA1428">
        <f t="shared" si="73"/>
        <v>205134.98120613283</v>
      </c>
    </row>
    <row r="1429" spans="25:27" x14ac:dyDescent="0.3">
      <c r="Y1429">
        <f t="shared" si="71"/>
        <v>4472</v>
      </c>
      <c r="Z1429" s="20">
        <f t="shared" si="72"/>
        <v>53.135509491521141</v>
      </c>
      <c r="AA1429">
        <f t="shared" si="73"/>
        <v>205188.11671562435</v>
      </c>
    </row>
    <row r="1430" spans="25:27" x14ac:dyDescent="0.3">
      <c r="Y1430">
        <f t="shared" si="71"/>
        <v>4474</v>
      </c>
      <c r="Z1430" s="20">
        <f t="shared" si="72"/>
        <v>53.065416890286578</v>
      </c>
      <c r="AA1430">
        <f t="shared" si="73"/>
        <v>205241.18213251463</v>
      </c>
    </row>
    <row r="1431" spans="25:27" x14ac:dyDescent="0.3">
      <c r="Y1431">
        <f t="shared" si="71"/>
        <v>4476</v>
      </c>
      <c r="Z1431" s="20">
        <f t="shared" si="72"/>
        <v>52.995416750247855</v>
      </c>
      <c r="AA1431">
        <f t="shared" si="73"/>
        <v>205294.17754926489</v>
      </c>
    </row>
    <row r="1432" spans="25:27" x14ac:dyDescent="0.3">
      <c r="Y1432">
        <f t="shared" si="71"/>
        <v>4478</v>
      </c>
      <c r="Z1432" s="20">
        <f t="shared" si="72"/>
        <v>52.925508949436662</v>
      </c>
      <c r="AA1432">
        <f t="shared" si="73"/>
        <v>205347.10305821433</v>
      </c>
    </row>
    <row r="1433" spans="25:27" x14ac:dyDescent="0.3">
      <c r="Y1433">
        <f t="shared" si="71"/>
        <v>4480</v>
      </c>
      <c r="Z1433" s="20">
        <f t="shared" si="72"/>
        <v>52.855693366045685</v>
      </c>
      <c r="AA1433">
        <f t="shared" si="73"/>
        <v>205399.95875158039</v>
      </c>
    </row>
    <row r="1434" spans="25:27" x14ac:dyDescent="0.3">
      <c r="Y1434">
        <f t="shared" si="71"/>
        <v>4482</v>
      </c>
      <c r="Z1434" s="20">
        <f t="shared" si="72"/>
        <v>52.785969878428169</v>
      </c>
      <c r="AA1434">
        <f t="shared" si="73"/>
        <v>205452.74472145882</v>
      </c>
    </row>
    <row r="1435" spans="25:27" x14ac:dyDescent="0.3">
      <c r="Y1435">
        <f t="shared" si="71"/>
        <v>4484</v>
      </c>
      <c r="Z1435" s="20">
        <f t="shared" si="72"/>
        <v>52.716338365097947</v>
      </c>
      <c r="AA1435">
        <f t="shared" si="73"/>
        <v>205505.46105982392</v>
      </c>
    </row>
    <row r="1436" spans="25:27" x14ac:dyDescent="0.3">
      <c r="Y1436">
        <f t="shared" si="71"/>
        <v>4486</v>
      </c>
      <c r="Z1436" s="20">
        <f t="shared" si="72"/>
        <v>52.646798704729015</v>
      </c>
      <c r="AA1436">
        <f t="shared" si="73"/>
        <v>205558.10785852865</v>
      </c>
    </row>
    <row r="1437" spans="25:27" x14ac:dyDescent="0.3">
      <c r="Y1437">
        <f t="shared" si="71"/>
        <v>4488</v>
      </c>
      <c r="Z1437" s="20">
        <f t="shared" si="72"/>
        <v>52.577350776155477</v>
      </c>
      <c r="AA1437">
        <f t="shared" si="73"/>
        <v>205610.68520930479</v>
      </c>
    </row>
    <row r="1438" spans="25:27" x14ac:dyDescent="0.3">
      <c r="Y1438">
        <f t="shared" si="71"/>
        <v>4490</v>
      </c>
      <c r="Z1438" s="20">
        <f t="shared" si="72"/>
        <v>52.507994458371222</v>
      </c>
      <c r="AA1438">
        <f t="shared" si="73"/>
        <v>205663.19320376316</v>
      </c>
    </row>
    <row r="1439" spans="25:27" x14ac:dyDescent="0.3">
      <c r="Y1439">
        <f t="shared" si="71"/>
        <v>4492</v>
      </c>
      <c r="Z1439" s="20">
        <f t="shared" si="72"/>
        <v>52.438729630529807</v>
      </c>
      <c r="AA1439">
        <f t="shared" si="73"/>
        <v>205715.63193339368</v>
      </c>
    </row>
    <row r="1440" spans="25:27" x14ac:dyDescent="0.3">
      <c r="Y1440">
        <f t="shared" si="71"/>
        <v>4494</v>
      </c>
      <c r="Z1440" s="20">
        <f t="shared" si="72"/>
        <v>52.369556171944147</v>
      </c>
      <c r="AA1440">
        <f t="shared" si="73"/>
        <v>205768.00148956562</v>
      </c>
    </row>
    <row r="1441" spans="25:27" x14ac:dyDescent="0.3">
      <c r="Y1441">
        <f t="shared" si="71"/>
        <v>4496</v>
      </c>
      <c r="Z1441" s="20">
        <f t="shared" si="72"/>
        <v>52.300473962086436</v>
      </c>
      <c r="AA1441">
        <f t="shared" si="73"/>
        <v>205820.30196352772</v>
      </c>
    </row>
    <row r="1442" spans="25:27" x14ac:dyDescent="0.3">
      <c r="Y1442">
        <f t="shared" si="71"/>
        <v>4498</v>
      </c>
      <c r="Z1442" s="20">
        <f t="shared" si="72"/>
        <v>52.23148288058777</v>
      </c>
      <c r="AA1442">
        <f t="shared" si="73"/>
        <v>205872.53344640831</v>
      </c>
    </row>
    <row r="1443" spans="25:27" x14ac:dyDescent="0.3">
      <c r="Y1443">
        <f t="shared" si="71"/>
        <v>4500</v>
      </c>
      <c r="Z1443" s="20">
        <f t="shared" si="72"/>
        <v>52.162582807238081</v>
      </c>
      <c r="AA1443">
        <f t="shared" si="73"/>
        <v>205924.69602921556</v>
      </c>
    </row>
    <row r="1444" spans="25:27" x14ac:dyDescent="0.3">
      <c r="Y1444">
        <f t="shared" si="71"/>
        <v>4502</v>
      </c>
      <c r="Z1444" s="20">
        <f t="shared" si="72"/>
        <v>52.093773621985896</v>
      </c>
      <c r="AA1444">
        <f t="shared" si="73"/>
        <v>205976.78980283753</v>
      </c>
    </row>
    <row r="1445" spans="25:27" x14ac:dyDescent="0.3">
      <c r="Y1445">
        <f t="shared" si="71"/>
        <v>4504</v>
      </c>
      <c r="Z1445" s="20">
        <f t="shared" si="72"/>
        <v>52.025055204938027</v>
      </c>
      <c r="AA1445">
        <f t="shared" si="73"/>
        <v>206028.81485804246</v>
      </c>
    </row>
    <row r="1446" spans="25:27" x14ac:dyDescent="0.3">
      <c r="Y1446">
        <f t="shared" si="71"/>
        <v>4506</v>
      </c>
      <c r="Z1446" s="20">
        <f t="shared" si="72"/>
        <v>51.95642743635954</v>
      </c>
      <c r="AA1446">
        <f t="shared" si="73"/>
        <v>206080.77128547881</v>
      </c>
    </row>
    <row r="1447" spans="25:27" x14ac:dyDescent="0.3">
      <c r="Y1447">
        <f t="shared" si="71"/>
        <v>4508</v>
      </c>
      <c r="Z1447" s="20">
        <f t="shared" si="72"/>
        <v>51.887890196673332</v>
      </c>
      <c r="AA1447">
        <f t="shared" si="73"/>
        <v>206132.65917567548</v>
      </c>
    </row>
    <row r="1448" spans="25:27" x14ac:dyDescent="0.3">
      <c r="Y1448">
        <f t="shared" si="71"/>
        <v>4510</v>
      </c>
      <c r="Z1448" s="20">
        <f t="shared" si="72"/>
        <v>51.819443366460156</v>
      </c>
      <c r="AA1448">
        <f t="shared" si="73"/>
        <v>206184.47861904194</v>
      </c>
    </row>
    <row r="1449" spans="25:27" x14ac:dyDescent="0.3">
      <c r="Y1449">
        <f t="shared" si="71"/>
        <v>4512</v>
      </c>
      <c r="Z1449" s="20">
        <f t="shared" si="72"/>
        <v>51.751086826458184</v>
      </c>
      <c r="AA1449">
        <f t="shared" si="73"/>
        <v>206236.22970586841</v>
      </c>
    </row>
    <row r="1450" spans="25:27" x14ac:dyDescent="0.3">
      <c r="Y1450">
        <f t="shared" si="71"/>
        <v>4514</v>
      </c>
      <c r="Z1450" s="20">
        <f t="shared" si="72"/>
        <v>51.682820457563025</v>
      </c>
      <c r="AA1450">
        <f t="shared" si="73"/>
        <v>206287.91252632596</v>
      </c>
    </row>
    <row r="1451" spans="25:27" x14ac:dyDescent="0.3">
      <c r="Y1451">
        <f t="shared" si="71"/>
        <v>4516</v>
      </c>
      <c r="Z1451" s="20">
        <f t="shared" si="72"/>
        <v>51.614644140827274</v>
      </c>
      <c r="AA1451">
        <f t="shared" si="73"/>
        <v>206339.52717046678</v>
      </c>
    </row>
    <row r="1452" spans="25:27" x14ac:dyDescent="0.3">
      <c r="Y1452">
        <f t="shared" si="71"/>
        <v>4518</v>
      </c>
      <c r="Z1452" s="20">
        <f t="shared" si="72"/>
        <v>51.546557757460562</v>
      </c>
      <c r="AA1452">
        <f t="shared" si="73"/>
        <v>206391.07372822423</v>
      </c>
    </row>
    <row r="1453" spans="25:27" x14ac:dyDescent="0.3">
      <c r="Y1453">
        <f t="shared" si="71"/>
        <v>4520</v>
      </c>
      <c r="Z1453" s="20">
        <f t="shared" si="72"/>
        <v>51.478561188829097</v>
      </c>
      <c r="AA1453">
        <f t="shared" si="73"/>
        <v>206442.55228941306</v>
      </c>
    </row>
    <row r="1454" spans="25:27" x14ac:dyDescent="0.3">
      <c r="Y1454">
        <f t="shared" si="71"/>
        <v>4522</v>
      </c>
      <c r="Z1454" s="20">
        <f t="shared" si="72"/>
        <v>51.410654316455705</v>
      </c>
      <c r="AA1454">
        <f t="shared" si="73"/>
        <v>206493.96294372951</v>
      </c>
    </row>
    <row r="1455" spans="25:27" x14ac:dyDescent="0.3">
      <c r="Y1455">
        <f t="shared" si="71"/>
        <v>4524</v>
      </c>
      <c r="Z1455" s="20">
        <f t="shared" si="72"/>
        <v>51.342837022019374</v>
      </c>
      <c r="AA1455">
        <f t="shared" si="73"/>
        <v>206545.30578075151</v>
      </c>
    </row>
    <row r="1456" spans="25:27" x14ac:dyDescent="0.3">
      <c r="Y1456">
        <f t="shared" si="71"/>
        <v>4526</v>
      </c>
      <c r="Z1456" s="20">
        <f t="shared" si="72"/>
        <v>51.275109187355277</v>
      </c>
      <c r="AA1456">
        <f t="shared" si="73"/>
        <v>206596.58088993886</v>
      </c>
    </row>
    <row r="1457" spans="25:27" x14ac:dyDescent="0.3">
      <c r="Y1457">
        <f t="shared" si="71"/>
        <v>4528</v>
      </c>
      <c r="Z1457" s="20">
        <f t="shared" si="72"/>
        <v>51.207470694454379</v>
      </c>
      <c r="AA1457">
        <f t="shared" si="73"/>
        <v>206647.78836063331</v>
      </c>
    </row>
    <row r="1458" spans="25:27" x14ac:dyDescent="0.3">
      <c r="Y1458">
        <f t="shared" si="71"/>
        <v>4530</v>
      </c>
      <c r="Z1458" s="20">
        <f t="shared" si="72"/>
        <v>51.139921425463399</v>
      </c>
      <c r="AA1458">
        <f t="shared" si="73"/>
        <v>206698.92828205877</v>
      </c>
    </row>
    <row r="1459" spans="25:27" x14ac:dyDescent="0.3">
      <c r="Y1459">
        <f t="shared" si="71"/>
        <v>4532</v>
      </c>
      <c r="Z1459" s="20">
        <f t="shared" si="72"/>
        <v>51.072461262684428</v>
      </c>
      <c r="AA1459">
        <f t="shared" si="73"/>
        <v>206750.00074332146</v>
      </c>
    </row>
    <row r="1460" spans="25:27" x14ac:dyDescent="0.3">
      <c r="Y1460">
        <f t="shared" si="71"/>
        <v>4534</v>
      </c>
      <c r="Z1460" s="20">
        <f t="shared" si="72"/>
        <v>51.005090088574903</v>
      </c>
      <c r="AA1460">
        <f t="shared" si="73"/>
        <v>206801.00583341005</v>
      </c>
    </row>
    <row r="1461" spans="25:27" x14ac:dyDescent="0.3">
      <c r="Y1461">
        <f t="shared" si="71"/>
        <v>4536</v>
      </c>
      <c r="Z1461" s="20">
        <f t="shared" si="72"/>
        <v>50.937807785747225</v>
      </c>
      <c r="AA1461">
        <f t="shared" si="73"/>
        <v>206851.9436411958</v>
      </c>
    </row>
    <row r="1462" spans="25:27" x14ac:dyDescent="0.3">
      <c r="Y1462">
        <f t="shared" si="71"/>
        <v>4538</v>
      </c>
      <c r="Z1462" s="20">
        <f t="shared" si="72"/>
        <v>50.870614236968727</v>
      </c>
      <c r="AA1462">
        <f t="shared" si="73"/>
        <v>206902.81425543278</v>
      </c>
    </row>
    <row r="1463" spans="25:27" x14ac:dyDescent="0.3">
      <c r="Y1463">
        <f t="shared" si="71"/>
        <v>4540</v>
      </c>
      <c r="Z1463" s="20">
        <f t="shared" si="72"/>
        <v>50.803509325161365</v>
      </c>
      <c r="AA1463">
        <f t="shared" si="73"/>
        <v>206953.61776475795</v>
      </c>
    </row>
    <row r="1464" spans="25:27" x14ac:dyDescent="0.3">
      <c r="Y1464">
        <f t="shared" si="71"/>
        <v>4542</v>
      </c>
      <c r="Z1464" s="20">
        <f t="shared" si="72"/>
        <v>50.736492933401479</v>
      </c>
      <c r="AA1464">
        <f t="shared" si="73"/>
        <v>207004.35425769136</v>
      </c>
    </row>
    <row r="1465" spans="25:27" x14ac:dyDescent="0.3">
      <c r="Y1465">
        <f t="shared" si="71"/>
        <v>4544</v>
      </c>
      <c r="Z1465" s="20">
        <f t="shared" si="72"/>
        <v>50.669564944919749</v>
      </c>
      <c r="AA1465">
        <f t="shared" si="73"/>
        <v>207055.02382263629</v>
      </c>
    </row>
    <row r="1466" spans="25:27" x14ac:dyDescent="0.3">
      <c r="Y1466">
        <f t="shared" si="71"/>
        <v>4546</v>
      </c>
      <c r="Z1466" s="20">
        <f t="shared" si="72"/>
        <v>50.602725243100771</v>
      </c>
      <c r="AA1466">
        <f t="shared" si="73"/>
        <v>207105.62654787939</v>
      </c>
    </row>
    <row r="1467" spans="25:27" x14ac:dyDescent="0.3">
      <c r="Y1467">
        <f t="shared" si="71"/>
        <v>4548</v>
      </c>
      <c r="Z1467" s="20">
        <f t="shared" si="72"/>
        <v>50.535973711483074</v>
      </c>
      <c r="AA1467">
        <f t="shared" si="73"/>
        <v>207156.16252159089</v>
      </c>
    </row>
    <row r="1468" spans="25:27" x14ac:dyDescent="0.3">
      <c r="Y1468">
        <f t="shared" si="71"/>
        <v>4550</v>
      </c>
      <c r="Z1468" s="20">
        <f t="shared" si="72"/>
        <v>50.469310233758748</v>
      </c>
      <c r="AA1468">
        <f t="shared" si="73"/>
        <v>207206.63183182463</v>
      </c>
    </row>
    <row r="1469" spans="25:27" x14ac:dyDescent="0.3">
      <c r="Y1469">
        <f t="shared" si="71"/>
        <v>4552</v>
      </c>
      <c r="Z1469" s="20">
        <f t="shared" si="72"/>
        <v>50.402734693773354</v>
      </c>
      <c r="AA1469">
        <f t="shared" si="73"/>
        <v>207257.03456651841</v>
      </c>
    </row>
    <row r="1470" spans="25:27" x14ac:dyDescent="0.3">
      <c r="Y1470">
        <f t="shared" ref="Y1470:Y1475" si="74">Y1469+2</f>
        <v>4554</v>
      </c>
      <c r="Z1470" s="20">
        <f t="shared" si="72"/>
        <v>50.336246975525626</v>
      </c>
      <c r="AA1470">
        <f t="shared" si="73"/>
        <v>207307.37081349394</v>
      </c>
    </row>
    <row r="1471" spans="25:27" x14ac:dyDescent="0.3">
      <c r="Y1471">
        <f t="shared" si="74"/>
        <v>4556</v>
      </c>
      <c r="Z1471" s="20">
        <f t="shared" si="72"/>
        <v>50.269846963167375</v>
      </c>
      <c r="AA1471">
        <f t="shared" si="73"/>
        <v>207357.64066045711</v>
      </c>
    </row>
    <row r="1472" spans="25:27" x14ac:dyDescent="0.3">
      <c r="Y1472">
        <f t="shared" si="74"/>
        <v>4558</v>
      </c>
      <c r="Z1472" s="20">
        <f t="shared" si="72"/>
        <v>50.203534541003179</v>
      </c>
      <c r="AA1472">
        <f t="shared" si="73"/>
        <v>207407.84419499812</v>
      </c>
    </row>
    <row r="1473" spans="25:27" x14ac:dyDescent="0.3">
      <c r="Y1473">
        <f t="shared" si="74"/>
        <v>4560</v>
      </c>
      <c r="Z1473" s="20">
        <f t="shared" si="72"/>
        <v>50.137309593490286</v>
      </c>
      <c r="AA1473">
        <f t="shared" si="73"/>
        <v>207457.98150459162</v>
      </c>
    </row>
    <row r="1474" spans="25:27" x14ac:dyDescent="0.3">
      <c r="Y1474">
        <f t="shared" si="74"/>
        <v>4562</v>
      </c>
      <c r="Z1474" s="20">
        <f t="shared" si="72"/>
        <v>50.071172005238289</v>
      </c>
      <c r="AA1474">
        <f t="shared" si="73"/>
        <v>207508.05267659685</v>
      </c>
    </row>
    <row r="1475" spans="25:27" x14ac:dyDescent="0.3">
      <c r="Y1475" s="26">
        <f t="shared" si="74"/>
        <v>4564</v>
      </c>
      <c r="Z1475" s="37">
        <f t="shared" si="72"/>
        <v>50.005121661009092</v>
      </c>
      <c r="AA1475" s="26">
        <f t="shared" si="73"/>
        <v>207558.05779825785</v>
      </c>
    </row>
    <row r="1476" spans="25:27" x14ac:dyDescent="0.3">
      <c r="Y1476" s="29" t="s">
        <v>42</v>
      </c>
      <c r="Z1476" s="38" t="s">
        <v>54</v>
      </c>
      <c r="AA1476" s="29" t="s">
        <v>33</v>
      </c>
    </row>
    <row r="1477" spans="25:27" x14ac:dyDescent="0.3">
      <c r="Y1477" t="s">
        <v>52</v>
      </c>
      <c r="Z1477" s="20"/>
    </row>
    <row r="1478" spans="25:27" x14ac:dyDescent="0.3">
      <c r="Y1478">
        <f>Y1475/30</f>
        <v>152.13333333333333</v>
      </c>
      <c r="Z1478" s="20"/>
    </row>
    <row r="1479" spans="25:27" x14ac:dyDescent="0.3">
      <c r="Y1479" s="24" t="s">
        <v>55</v>
      </c>
      <c r="Z1479" s="20"/>
    </row>
    <row r="1480" spans="25:27" x14ac:dyDescent="0.3">
      <c r="Z1480" s="20"/>
    </row>
    <row r="1481" spans="25:27" x14ac:dyDescent="0.3">
      <c r="Z1481" s="20"/>
    </row>
    <row r="1482" spans="25:27" x14ac:dyDescent="0.3">
      <c r="Z1482" s="20"/>
    </row>
    <row r="1483" spans="25:27" x14ac:dyDescent="0.3">
      <c r="Z1483" s="20"/>
    </row>
    <row r="1484" spans="25:27" x14ac:dyDescent="0.3">
      <c r="Z1484" s="20"/>
    </row>
    <row r="1485" spans="25:27" x14ac:dyDescent="0.3">
      <c r="Z1485" s="20"/>
    </row>
    <row r="1486" spans="25:27" x14ac:dyDescent="0.3">
      <c r="Z1486" s="20"/>
    </row>
    <row r="1487" spans="25:27" x14ac:dyDescent="0.3">
      <c r="Z1487" s="20"/>
    </row>
    <row r="1488" spans="25:27" x14ac:dyDescent="0.3">
      <c r="Z1488" s="20"/>
    </row>
    <row r="1489" spans="26:26" x14ac:dyDescent="0.3">
      <c r="Z1489" s="20"/>
    </row>
    <row r="1490" spans="26:26" x14ac:dyDescent="0.3">
      <c r="Z1490" s="20"/>
    </row>
    <row r="1491" spans="26:26" x14ac:dyDescent="0.3">
      <c r="Z1491" s="20"/>
    </row>
    <row r="1492" spans="26:26" x14ac:dyDescent="0.3">
      <c r="Z1492" s="20"/>
    </row>
    <row r="1493" spans="26:26" x14ac:dyDescent="0.3">
      <c r="Z1493" s="20"/>
    </row>
    <row r="1494" spans="26:26" x14ac:dyDescent="0.3">
      <c r="Z1494" s="20"/>
    </row>
    <row r="1495" spans="26:26" x14ac:dyDescent="0.3">
      <c r="Z1495" s="20"/>
    </row>
    <row r="1496" spans="26:26" x14ac:dyDescent="0.3">
      <c r="Z1496" s="20"/>
    </row>
    <row r="1497" spans="26:26" x14ac:dyDescent="0.3">
      <c r="Z1497" s="20"/>
    </row>
    <row r="1498" spans="26:26" x14ac:dyDescent="0.3">
      <c r="Z1498" s="20"/>
    </row>
    <row r="1499" spans="26:26" x14ac:dyDescent="0.3">
      <c r="Z1499" s="20"/>
    </row>
    <row r="1500" spans="26:26" x14ac:dyDescent="0.3">
      <c r="Z1500" s="20"/>
    </row>
    <row r="1501" spans="26:26" x14ac:dyDescent="0.3">
      <c r="Z1501" s="20"/>
    </row>
    <row r="1502" spans="26:26" x14ac:dyDescent="0.3">
      <c r="Z1502" s="20"/>
    </row>
    <row r="1503" spans="26:26" x14ac:dyDescent="0.3">
      <c r="Z1503" s="20"/>
    </row>
    <row r="1504" spans="26:26" x14ac:dyDescent="0.3">
      <c r="Z1504" s="20"/>
    </row>
    <row r="1505" spans="26:26" x14ac:dyDescent="0.3">
      <c r="Z1505" s="20"/>
    </row>
    <row r="1506" spans="26:26" x14ac:dyDescent="0.3">
      <c r="Z1506" s="20"/>
    </row>
    <row r="1507" spans="26:26" x14ac:dyDescent="0.3">
      <c r="Z1507" s="20"/>
    </row>
    <row r="1508" spans="26:26" x14ac:dyDescent="0.3">
      <c r="Z1508" s="20"/>
    </row>
    <row r="1509" spans="26:26" x14ac:dyDescent="0.3">
      <c r="Z1509" s="20"/>
    </row>
    <row r="1510" spans="26:26" x14ac:dyDescent="0.3">
      <c r="Z1510" s="20"/>
    </row>
    <row r="1511" spans="26:26" x14ac:dyDescent="0.3">
      <c r="Z1511" s="20"/>
    </row>
    <row r="1512" spans="26:26" x14ac:dyDescent="0.3">
      <c r="Z1512" s="20"/>
    </row>
    <row r="1513" spans="26:26" x14ac:dyDescent="0.3">
      <c r="Z1513" s="20"/>
    </row>
    <row r="1514" spans="26:26" x14ac:dyDescent="0.3">
      <c r="Z1514" s="20"/>
    </row>
    <row r="1515" spans="26:26" x14ac:dyDescent="0.3">
      <c r="Z1515" s="20"/>
    </row>
    <row r="1516" spans="26:26" x14ac:dyDescent="0.3">
      <c r="Z1516" s="20"/>
    </row>
    <row r="1517" spans="26:26" x14ac:dyDescent="0.3">
      <c r="Z1517" s="20"/>
    </row>
    <row r="1518" spans="26:26" x14ac:dyDescent="0.3">
      <c r="Z1518" s="20"/>
    </row>
    <row r="1519" spans="26:26" x14ac:dyDescent="0.3">
      <c r="Z1519" s="20"/>
    </row>
    <row r="1520" spans="26:26" x14ac:dyDescent="0.3">
      <c r="Z1520" s="20"/>
    </row>
    <row r="1521" spans="26:26" x14ac:dyDescent="0.3">
      <c r="Z1521" s="20"/>
    </row>
    <row r="1522" spans="26:26" x14ac:dyDescent="0.3">
      <c r="Z1522" s="20"/>
    </row>
    <row r="1523" spans="26:26" x14ac:dyDescent="0.3">
      <c r="Z1523" s="20"/>
    </row>
    <row r="1524" spans="26:26" x14ac:dyDescent="0.3">
      <c r="Z1524" s="20"/>
    </row>
    <row r="1525" spans="26:26" x14ac:dyDescent="0.3">
      <c r="Z1525" s="20"/>
    </row>
    <row r="1526" spans="26:26" x14ac:dyDescent="0.3">
      <c r="Z1526" s="20"/>
    </row>
    <row r="1527" spans="26:26" x14ac:dyDescent="0.3">
      <c r="Z1527" s="20"/>
    </row>
    <row r="1528" spans="26:26" x14ac:dyDescent="0.3">
      <c r="Z1528" s="20"/>
    </row>
    <row r="1529" spans="26:26" x14ac:dyDescent="0.3">
      <c r="Z1529" s="20"/>
    </row>
    <row r="1530" spans="26:26" x14ac:dyDescent="0.3">
      <c r="Z1530" s="20"/>
    </row>
    <row r="1531" spans="26:26" x14ac:dyDescent="0.3">
      <c r="Z1531" s="20"/>
    </row>
    <row r="1532" spans="26:26" x14ac:dyDescent="0.3">
      <c r="Z1532" s="20"/>
    </row>
    <row r="1533" spans="26:26" x14ac:dyDescent="0.3">
      <c r="Z1533" s="20"/>
    </row>
    <row r="1534" spans="26:26" x14ac:dyDescent="0.3">
      <c r="Z1534" s="20"/>
    </row>
    <row r="1535" spans="26:26" x14ac:dyDescent="0.3">
      <c r="Z1535" s="20"/>
    </row>
    <row r="1536" spans="26:26" x14ac:dyDescent="0.3">
      <c r="Z1536" s="20"/>
    </row>
    <row r="1537" spans="26:26" x14ac:dyDescent="0.3">
      <c r="Z1537" s="20"/>
    </row>
    <row r="1538" spans="26:26" x14ac:dyDescent="0.3">
      <c r="Z1538" s="20"/>
    </row>
    <row r="1539" spans="26:26" x14ac:dyDescent="0.3">
      <c r="Z1539" s="20"/>
    </row>
    <row r="1540" spans="26:26" x14ac:dyDescent="0.3">
      <c r="Z1540" s="20"/>
    </row>
    <row r="1541" spans="26:26" x14ac:dyDescent="0.3">
      <c r="Z1541" s="20"/>
    </row>
    <row r="1542" spans="26:26" x14ac:dyDescent="0.3">
      <c r="Z1542" s="20"/>
    </row>
    <row r="1543" spans="26:26" x14ac:dyDescent="0.3">
      <c r="Z1543" s="20"/>
    </row>
    <row r="1544" spans="26:26" x14ac:dyDescent="0.3">
      <c r="Z1544" s="20"/>
    </row>
    <row r="1545" spans="26:26" x14ac:dyDescent="0.3">
      <c r="Z1545" s="20"/>
    </row>
    <row r="1546" spans="26:26" x14ac:dyDescent="0.3">
      <c r="Z1546" s="20"/>
    </row>
    <row r="1547" spans="26:26" x14ac:dyDescent="0.3">
      <c r="Z1547" s="20"/>
    </row>
    <row r="1548" spans="26:26" x14ac:dyDescent="0.3">
      <c r="Z1548" s="20"/>
    </row>
    <row r="1549" spans="26:26" x14ac:dyDescent="0.3">
      <c r="Z1549" s="20"/>
    </row>
    <row r="1550" spans="26:26" x14ac:dyDescent="0.3">
      <c r="Z1550" s="20"/>
    </row>
    <row r="1551" spans="26:26" x14ac:dyDescent="0.3">
      <c r="Z1551" s="20"/>
    </row>
    <row r="1552" spans="26:26" x14ac:dyDescent="0.3">
      <c r="Z1552" s="20"/>
    </row>
    <row r="1553" spans="26:26" x14ac:dyDescent="0.3">
      <c r="Z1553" s="20"/>
    </row>
    <row r="1554" spans="26:26" x14ac:dyDescent="0.3">
      <c r="Z1554" s="20"/>
    </row>
    <row r="1555" spans="26:26" x14ac:dyDescent="0.3">
      <c r="Z1555" s="20"/>
    </row>
    <row r="1556" spans="26:26" x14ac:dyDescent="0.3">
      <c r="Z1556" s="20"/>
    </row>
    <row r="1557" spans="26:26" x14ac:dyDescent="0.3">
      <c r="Z1557" s="20"/>
    </row>
    <row r="1558" spans="26:26" x14ac:dyDescent="0.3">
      <c r="Z1558" s="20"/>
    </row>
    <row r="1559" spans="26:26" x14ac:dyDescent="0.3">
      <c r="Z1559" s="20"/>
    </row>
    <row r="1560" spans="26:26" x14ac:dyDescent="0.3">
      <c r="Z1560" s="20"/>
    </row>
    <row r="1561" spans="26:26" x14ac:dyDescent="0.3">
      <c r="Z1561" s="20"/>
    </row>
    <row r="1562" spans="26:26" x14ac:dyDescent="0.3">
      <c r="Z1562" s="20"/>
    </row>
    <row r="1563" spans="26:26" x14ac:dyDescent="0.3">
      <c r="Z1563" s="20"/>
    </row>
    <row r="1564" spans="26:26" x14ac:dyDescent="0.3">
      <c r="Z1564" s="20"/>
    </row>
    <row r="1565" spans="26:26" x14ac:dyDescent="0.3">
      <c r="Z1565" s="20"/>
    </row>
    <row r="1566" spans="26:26" x14ac:dyDescent="0.3">
      <c r="Z1566" s="20"/>
    </row>
    <row r="1567" spans="26:26" x14ac:dyDescent="0.3">
      <c r="Z1567" s="20"/>
    </row>
    <row r="1568" spans="26:26" x14ac:dyDescent="0.3">
      <c r="Z1568" s="20"/>
    </row>
    <row r="1569" spans="26:26" x14ac:dyDescent="0.3">
      <c r="Z1569" s="20"/>
    </row>
    <row r="1570" spans="26:26" x14ac:dyDescent="0.3">
      <c r="Z1570" s="20"/>
    </row>
    <row r="1571" spans="26:26" x14ac:dyDescent="0.3">
      <c r="Z1571" s="20"/>
    </row>
    <row r="1572" spans="26:26" x14ac:dyDescent="0.3">
      <c r="Z1572" s="20"/>
    </row>
    <row r="1573" spans="26:26" x14ac:dyDescent="0.3">
      <c r="Z1573" s="20"/>
    </row>
    <row r="1574" spans="26:26" x14ac:dyDescent="0.3">
      <c r="Z1574" s="20"/>
    </row>
    <row r="1575" spans="26:26" x14ac:dyDescent="0.3">
      <c r="Z1575" s="20"/>
    </row>
    <row r="1576" spans="26:26" x14ac:dyDescent="0.3">
      <c r="Z1576" s="20"/>
    </row>
    <row r="1577" spans="26:26" x14ac:dyDescent="0.3">
      <c r="Z1577" s="20"/>
    </row>
    <row r="1578" spans="26:26" x14ac:dyDescent="0.3">
      <c r="Z1578" s="20"/>
    </row>
    <row r="1579" spans="26:26" x14ac:dyDescent="0.3">
      <c r="Z1579" s="20"/>
    </row>
    <row r="1580" spans="26:26" x14ac:dyDescent="0.3">
      <c r="Z1580" s="20"/>
    </row>
    <row r="1581" spans="26:26" x14ac:dyDescent="0.3">
      <c r="Z1581" s="20"/>
    </row>
    <row r="1582" spans="26:26" x14ac:dyDescent="0.3">
      <c r="Z1582" s="20"/>
    </row>
    <row r="1583" spans="26:26" x14ac:dyDescent="0.3">
      <c r="Z1583" s="20"/>
    </row>
    <row r="1584" spans="26:26" x14ac:dyDescent="0.3">
      <c r="Z1584" s="20"/>
    </row>
    <row r="1585" spans="26:26" x14ac:dyDescent="0.3">
      <c r="Z1585" s="20"/>
    </row>
    <row r="1586" spans="26:26" x14ac:dyDescent="0.3">
      <c r="Z1586" s="20"/>
    </row>
    <row r="1587" spans="26:26" x14ac:dyDescent="0.3">
      <c r="Z1587" s="20"/>
    </row>
    <row r="1588" spans="26:26" x14ac:dyDescent="0.3">
      <c r="Z1588" s="20"/>
    </row>
    <row r="1589" spans="26:26" x14ac:dyDescent="0.3">
      <c r="Z1589" s="20"/>
    </row>
    <row r="1590" spans="26:26" x14ac:dyDescent="0.3">
      <c r="Z1590" s="20"/>
    </row>
    <row r="1591" spans="26:26" x14ac:dyDescent="0.3">
      <c r="Z1591" s="20"/>
    </row>
    <row r="1592" spans="26:26" x14ac:dyDescent="0.3">
      <c r="Z1592" s="20"/>
    </row>
    <row r="1593" spans="26:26" x14ac:dyDescent="0.3">
      <c r="Z1593" s="20"/>
    </row>
    <row r="1594" spans="26:26" x14ac:dyDescent="0.3">
      <c r="Z1594" s="20"/>
    </row>
    <row r="1595" spans="26:26" x14ac:dyDescent="0.3">
      <c r="Z1595" s="20"/>
    </row>
    <row r="1596" spans="26:26" x14ac:dyDescent="0.3">
      <c r="Z1596" s="20"/>
    </row>
    <row r="1597" spans="26:26" x14ac:dyDescent="0.3">
      <c r="Z1597" s="20"/>
    </row>
    <row r="1598" spans="26:26" x14ac:dyDescent="0.3">
      <c r="Z1598" s="20"/>
    </row>
    <row r="1599" spans="26:26" x14ac:dyDescent="0.3">
      <c r="Z1599" s="20"/>
    </row>
    <row r="1600" spans="26:26" x14ac:dyDescent="0.3">
      <c r="Z1600" s="20"/>
    </row>
    <row r="1601" spans="26:26" x14ac:dyDescent="0.3">
      <c r="Z1601" s="20"/>
    </row>
    <row r="1602" spans="26:26" x14ac:dyDescent="0.3">
      <c r="Z1602" s="20"/>
    </row>
    <row r="1603" spans="26:26" x14ac:dyDescent="0.3">
      <c r="Z1603" s="20"/>
    </row>
    <row r="1604" spans="26:26" x14ac:dyDescent="0.3">
      <c r="Z1604" s="20"/>
    </row>
    <row r="1605" spans="26:26" x14ac:dyDescent="0.3">
      <c r="Z1605" s="20"/>
    </row>
    <row r="1606" spans="26:26" x14ac:dyDescent="0.3">
      <c r="Z1606" s="20"/>
    </row>
    <row r="1607" spans="26:26" x14ac:dyDescent="0.3">
      <c r="Z1607" s="20"/>
    </row>
    <row r="1608" spans="26:26" x14ac:dyDescent="0.3">
      <c r="Z1608" s="20"/>
    </row>
    <row r="1609" spans="26:26" x14ac:dyDescent="0.3">
      <c r="Z1609" s="20"/>
    </row>
    <row r="1610" spans="26:26" x14ac:dyDescent="0.3">
      <c r="Z1610" s="20"/>
    </row>
    <row r="1611" spans="26:26" x14ac:dyDescent="0.3">
      <c r="Z1611" s="20"/>
    </row>
    <row r="1612" spans="26:26" x14ac:dyDescent="0.3">
      <c r="Z1612" s="20"/>
    </row>
    <row r="1613" spans="26:26" x14ac:dyDescent="0.3">
      <c r="Z1613" s="20"/>
    </row>
    <row r="1614" spans="26:26" x14ac:dyDescent="0.3">
      <c r="Z1614" s="20"/>
    </row>
    <row r="1615" spans="26:26" x14ac:dyDescent="0.3">
      <c r="Z1615" s="20"/>
    </row>
    <row r="1616" spans="26:26" x14ac:dyDescent="0.3">
      <c r="Z1616" s="20"/>
    </row>
    <row r="1617" spans="26:26" x14ac:dyDescent="0.3">
      <c r="Z1617" s="20"/>
    </row>
    <row r="1618" spans="26:26" x14ac:dyDescent="0.3">
      <c r="Z1618" s="20"/>
    </row>
    <row r="1619" spans="26:26" x14ac:dyDescent="0.3">
      <c r="Z1619" s="20"/>
    </row>
    <row r="1620" spans="26:26" x14ac:dyDescent="0.3">
      <c r="Z1620" s="20"/>
    </row>
    <row r="1621" spans="26:26" x14ac:dyDescent="0.3">
      <c r="Z1621" s="20"/>
    </row>
    <row r="1622" spans="26:26" x14ac:dyDescent="0.3">
      <c r="Z1622" s="20"/>
    </row>
    <row r="1623" spans="26:26" x14ac:dyDescent="0.3">
      <c r="Z1623" s="20"/>
    </row>
    <row r="1624" spans="26:26" x14ac:dyDescent="0.3">
      <c r="Z1624" s="20"/>
    </row>
    <row r="1625" spans="26:26" x14ac:dyDescent="0.3">
      <c r="Z1625" s="20"/>
    </row>
    <row r="1626" spans="26:26" x14ac:dyDescent="0.3">
      <c r="Z1626" s="20"/>
    </row>
    <row r="1627" spans="26:26" x14ac:dyDescent="0.3">
      <c r="Z1627" s="20"/>
    </row>
    <row r="1628" spans="26:26" x14ac:dyDescent="0.3">
      <c r="Z1628" s="20"/>
    </row>
    <row r="1629" spans="26:26" x14ac:dyDescent="0.3">
      <c r="Z1629" s="20"/>
    </row>
    <row r="1630" spans="26:26" x14ac:dyDescent="0.3">
      <c r="Z1630" s="20"/>
    </row>
    <row r="1631" spans="26:26" x14ac:dyDescent="0.3">
      <c r="Z1631" s="20"/>
    </row>
    <row r="1632" spans="26:26" x14ac:dyDescent="0.3">
      <c r="Z1632" s="20"/>
    </row>
    <row r="1633" spans="26:26" x14ac:dyDescent="0.3">
      <c r="Z1633" s="20"/>
    </row>
    <row r="1634" spans="26:26" x14ac:dyDescent="0.3">
      <c r="Z1634" s="20"/>
    </row>
    <row r="1635" spans="26:26" x14ac:dyDescent="0.3">
      <c r="Z1635" s="20"/>
    </row>
    <row r="1636" spans="26:26" x14ac:dyDescent="0.3">
      <c r="Z1636" s="20"/>
    </row>
    <row r="1637" spans="26:26" x14ac:dyDescent="0.3">
      <c r="Z1637" s="20"/>
    </row>
    <row r="1638" spans="26:26" x14ac:dyDescent="0.3">
      <c r="Z1638" s="20"/>
    </row>
    <row r="1639" spans="26:26" x14ac:dyDescent="0.3">
      <c r="Z1639" s="20"/>
    </row>
    <row r="1640" spans="26:26" x14ac:dyDescent="0.3">
      <c r="Z1640" s="20"/>
    </row>
    <row r="1641" spans="26:26" x14ac:dyDescent="0.3">
      <c r="Z1641" s="20"/>
    </row>
    <row r="1642" spans="26:26" x14ac:dyDescent="0.3">
      <c r="Z1642" s="20"/>
    </row>
    <row r="1643" spans="26:26" x14ac:dyDescent="0.3">
      <c r="Z1643" s="20"/>
    </row>
    <row r="1644" spans="26:26" x14ac:dyDescent="0.3">
      <c r="Z1644" s="20"/>
    </row>
    <row r="1645" spans="26:26" x14ac:dyDescent="0.3">
      <c r="Z1645" s="20"/>
    </row>
    <row r="1646" spans="26:26" x14ac:dyDescent="0.3">
      <c r="Z1646" s="20"/>
    </row>
    <row r="1647" spans="26:26" x14ac:dyDescent="0.3">
      <c r="Z1647" s="20"/>
    </row>
    <row r="1648" spans="26:26" x14ac:dyDescent="0.3">
      <c r="Z1648" s="20"/>
    </row>
    <row r="1649" spans="26:26" x14ac:dyDescent="0.3">
      <c r="Z1649" s="20"/>
    </row>
    <row r="1650" spans="26:26" x14ac:dyDescent="0.3">
      <c r="Z1650" s="20"/>
    </row>
    <row r="1651" spans="26:26" x14ac:dyDescent="0.3">
      <c r="Z1651" s="20"/>
    </row>
    <row r="1652" spans="26:26" x14ac:dyDescent="0.3">
      <c r="Z1652" s="20"/>
    </row>
    <row r="1653" spans="26:26" x14ac:dyDescent="0.3">
      <c r="Z1653" s="20"/>
    </row>
    <row r="1654" spans="26:26" x14ac:dyDescent="0.3">
      <c r="Z1654" s="20"/>
    </row>
    <row r="1655" spans="26:26" x14ac:dyDescent="0.3">
      <c r="Z1655" s="20"/>
    </row>
    <row r="1656" spans="26:26" x14ac:dyDescent="0.3">
      <c r="Z1656" s="20"/>
    </row>
    <row r="1657" spans="26:26" x14ac:dyDescent="0.3">
      <c r="Z1657" s="20"/>
    </row>
    <row r="1658" spans="26:26" x14ac:dyDescent="0.3">
      <c r="Z1658" s="20"/>
    </row>
    <row r="1659" spans="26:26" x14ac:dyDescent="0.3">
      <c r="Z1659" s="20"/>
    </row>
    <row r="1660" spans="26:26" x14ac:dyDescent="0.3">
      <c r="Z1660" s="20"/>
    </row>
    <row r="1661" spans="26:26" x14ac:dyDescent="0.3">
      <c r="Z1661" s="20"/>
    </row>
    <row r="1662" spans="26:26" x14ac:dyDescent="0.3">
      <c r="Z1662" s="20"/>
    </row>
    <row r="1663" spans="26:26" x14ac:dyDescent="0.3">
      <c r="Z1663" s="20"/>
    </row>
    <row r="1664" spans="26:26" x14ac:dyDescent="0.3">
      <c r="Z1664" s="20"/>
    </row>
    <row r="1665" spans="26:26" x14ac:dyDescent="0.3">
      <c r="Z1665" s="20"/>
    </row>
    <row r="1666" spans="26:26" x14ac:dyDescent="0.3">
      <c r="Z1666" s="20"/>
    </row>
    <row r="1667" spans="26:26" x14ac:dyDescent="0.3">
      <c r="Z1667" s="20"/>
    </row>
    <row r="1668" spans="26:26" x14ac:dyDescent="0.3">
      <c r="Z1668" s="20"/>
    </row>
    <row r="1669" spans="26:26" x14ac:dyDescent="0.3">
      <c r="Z1669" s="20"/>
    </row>
    <row r="1670" spans="26:26" x14ac:dyDescent="0.3">
      <c r="Z1670" s="20"/>
    </row>
    <row r="1671" spans="26:26" x14ac:dyDescent="0.3">
      <c r="Z1671" s="20"/>
    </row>
    <row r="1672" spans="26:26" x14ac:dyDescent="0.3">
      <c r="Z1672" s="20"/>
    </row>
    <row r="1673" spans="26:26" x14ac:dyDescent="0.3">
      <c r="Z1673" s="20"/>
    </row>
    <row r="1674" spans="26:26" x14ac:dyDescent="0.3">
      <c r="Z1674" s="20"/>
    </row>
    <row r="1675" spans="26:26" x14ac:dyDescent="0.3">
      <c r="Z1675" s="20"/>
    </row>
    <row r="1676" spans="26:26" x14ac:dyDescent="0.3">
      <c r="Z1676" s="20"/>
    </row>
    <row r="1677" spans="26:26" x14ac:dyDescent="0.3">
      <c r="Z1677" s="20"/>
    </row>
    <row r="1678" spans="26:26" x14ac:dyDescent="0.3">
      <c r="Z1678" s="20"/>
    </row>
    <row r="1679" spans="26:26" x14ac:dyDescent="0.3">
      <c r="Z1679" s="20"/>
    </row>
    <row r="1680" spans="26:26" x14ac:dyDescent="0.3">
      <c r="Z1680" s="20"/>
    </row>
    <row r="1681" spans="26:26" x14ac:dyDescent="0.3">
      <c r="Z1681" s="20"/>
    </row>
    <row r="1682" spans="26:26" x14ac:dyDescent="0.3">
      <c r="Z1682" s="20"/>
    </row>
    <row r="1683" spans="26:26" x14ac:dyDescent="0.3">
      <c r="Z1683" s="20"/>
    </row>
    <row r="1684" spans="26:26" x14ac:dyDescent="0.3">
      <c r="Z1684" s="20"/>
    </row>
    <row r="1685" spans="26:26" x14ac:dyDescent="0.3">
      <c r="Z1685" s="20"/>
    </row>
    <row r="1686" spans="26:26" x14ac:dyDescent="0.3">
      <c r="Z1686" s="20"/>
    </row>
    <row r="1687" spans="26:26" x14ac:dyDescent="0.3">
      <c r="Z1687" s="20"/>
    </row>
    <row r="1688" spans="26:26" x14ac:dyDescent="0.3">
      <c r="Z1688" s="20"/>
    </row>
    <row r="1689" spans="26:26" x14ac:dyDescent="0.3">
      <c r="Z1689" s="20"/>
    </row>
    <row r="1690" spans="26:26" x14ac:dyDescent="0.3">
      <c r="Z1690" s="20"/>
    </row>
    <row r="1691" spans="26:26" x14ac:dyDescent="0.3">
      <c r="Z1691" s="20"/>
    </row>
    <row r="1692" spans="26:26" x14ac:dyDescent="0.3">
      <c r="Z1692" s="20"/>
    </row>
    <row r="1693" spans="26:26" x14ac:dyDescent="0.3">
      <c r="Z1693" s="20"/>
    </row>
    <row r="1694" spans="26:26" x14ac:dyDescent="0.3">
      <c r="Z1694" s="20"/>
    </row>
    <row r="1695" spans="26:26" x14ac:dyDescent="0.3">
      <c r="Z1695" s="20"/>
    </row>
    <row r="1696" spans="26:26" x14ac:dyDescent="0.3">
      <c r="Z1696" s="20"/>
    </row>
    <row r="1697" spans="26:26" x14ac:dyDescent="0.3">
      <c r="Z1697" s="20"/>
    </row>
    <row r="1698" spans="26:26" x14ac:dyDescent="0.3">
      <c r="Z1698" s="20"/>
    </row>
    <row r="1699" spans="26:26" x14ac:dyDescent="0.3">
      <c r="Z1699" s="20"/>
    </row>
    <row r="1700" spans="26:26" x14ac:dyDescent="0.3">
      <c r="Z1700" s="20"/>
    </row>
    <row r="1701" spans="26:26" x14ac:dyDescent="0.3">
      <c r="Z1701" s="20"/>
    </row>
    <row r="1702" spans="26:26" x14ac:dyDescent="0.3">
      <c r="Z1702" s="20"/>
    </row>
    <row r="1703" spans="26:26" x14ac:dyDescent="0.3">
      <c r="Z1703" s="20"/>
    </row>
    <row r="1704" spans="26:26" x14ac:dyDescent="0.3">
      <c r="Z1704" s="20"/>
    </row>
    <row r="1705" spans="26:26" x14ac:dyDescent="0.3">
      <c r="Z1705" s="20"/>
    </row>
    <row r="1706" spans="26:26" x14ac:dyDescent="0.3">
      <c r="Z1706" s="20"/>
    </row>
    <row r="1707" spans="26:26" x14ac:dyDescent="0.3">
      <c r="Z1707" s="20"/>
    </row>
    <row r="1708" spans="26:26" x14ac:dyDescent="0.3">
      <c r="Z1708" s="20"/>
    </row>
    <row r="1709" spans="26:26" x14ac:dyDescent="0.3">
      <c r="Z1709" s="20"/>
    </row>
    <row r="1710" spans="26:26" x14ac:dyDescent="0.3">
      <c r="Z1710" s="20"/>
    </row>
    <row r="1711" spans="26:26" x14ac:dyDescent="0.3">
      <c r="Z1711" s="20"/>
    </row>
    <row r="1712" spans="26:26" x14ac:dyDescent="0.3">
      <c r="Z1712" s="20"/>
    </row>
    <row r="1713" spans="26:26" x14ac:dyDescent="0.3">
      <c r="Z1713" s="20"/>
    </row>
    <row r="1714" spans="26:26" x14ac:dyDescent="0.3">
      <c r="Z1714" s="20"/>
    </row>
    <row r="1715" spans="26:26" x14ac:dyDescent="0.3">
      <c r="Z1715" s="20"/>
    </row>
    <row r="1716" spans="26:26" x14ac:dyDescent="0.3">
      <c r="Z1716" s="20"/>
    </row>
    <row r="1717" spans="26:26" x14ac:dyDescent="0.3">
      <c r="Z1717" s="20"/>
    </row>
    <row r="1718" spans="26:26" x14ac:dyDescent="0.3">
      <c r="Z1718" s="20"/>
    </row>
    <row r="1719" spans="26:26" x14ac:dyDescent="0.3">
      <c r="Z1719" s="20"/>
    </row>
    <row r="1720" spans="26:26" x14ac:dyDescent="0.3">
      <c r="Z1720" s="20"/>
    </row>
    <row r="1721" spans="26:26" x14ac:dyDescent="0.3">
      <c r="Z1721" s="20"/>
    </row>
    <row r="1722" spans="26:26" x14ac:dyDescent="0.3">
      <c r="Z1722" s="20"/>
    </row>
    <row r="1723" spans="26:26" x14ac:dyDescent="0.3">
      <c r="Z1723" s="20"/>
    </row>
    <row r="1724" spans="26:26" x14ac:dyDescent="0.3">
      <c r="Z1724" s="20"/>
    </row>
    <row r="1725" spans="26:26" x14ac:dyDescent="0.3">
      <c r="Z1725" s="20"/>
    </row>
    <row r="1726" spans="26:26" x14ac:dyDescent="0.3">
      <c r="Z1726" s="20"/>
    </row>
    <row r="1727" spans="26:26" x14ac:dyDescent="0.3">
      <c r="Z1727" s="20"/>
    </row>
    <row r="1728" spans="26:26" x14ac:dyDescent="0.3">
      <c r="Z1728" s="20"/>
    </row>
    <row r="1729" spans="26:26" x14ac:dyDescent="0.3">
      <c r="Z1729" s="20"/>
    </row>
    <row r="1730" spans="26:26" x14ac:dyDescent="0.3">
      <c r="Z1730" s="20"/>
    </row>
    <row r="1731" spans="26:26" x14ac:dyDescent="0.3">
      <c r="Z1731" s="20"/>
    </row>
    <row r="1732" spans="26:26" x14ac:dyDescent="0.3">
      <c r="Z1732" s="20"/>
    </row>
    <row r="1733" spans="26:26" x14ac:dyDescent="0.3">
      <c r="Z1733" s="20"/>
    </row>
    <row r="1734" spans="26:26" x14ac:dyDescent="0.3">
      <c r="Z1734" s="20"/>
    </row>
    <row r="1735" spans="26:26" x14ac:dyDescent="0.3">
      <c r="Z1735" s="20"/>
    </row>
    <row r="1736" spans="26:26" x14ac:dyDescent="0.3">
      <c r="Z1736" s="20"/>
    </row>
    <row r="1737" spans="26:26" x14ac:dyDescent="0.3">
      <c r="Z1737" s="20"/>
    </row>
    <row r="1738" spans="26:26" x14ac:dyDescent="0.3">
      <c r="Z1738" s="20"/>
    </row>
    <row r="1739" spans="26:26" x14ac:dyDescent="0.3">
      <c r="Z1739" s="20"/>
    </row>
    <row r="1740" spans="26:26" x14ac:dyDescent="0.3">
      <c r="Z1740" s="20"/>
    </row>
    <row r="1741" spans="26:26" x14ac:dyDescent="0.3">
      <c r="Z1741" s="20"/>
    </row>
    <row r="1742" spans="26:26" x14ac:dyDescent="0.3">
      <c r="Z1742" s="20"/>
    </row>
    <row r="1743" spans="26:26" x14ac:dyDescent="0.3">
      <c r="Z1743" s="20"/>
    </row>
    <row r="1744" spans="26:26" x14ac:dyDescent="0.3">
      <c r="Z1744" s="20"/>
    </row>
    <row r="1745" spans="26:26" x14ac:dyDescent="0.3">
      <c r="Z1745" s="20"/>
    </row>
    <row r="1746" spans="26:26" x14ac:dyDescent="0.3">
      <c r="Z1746" s="20"/>
    </row>
    <row r="1747" spans="26:26" x14ac:dyDescent="0.3">
      <c r="Z1747" s="20"/>
    </row>
    <row r="1748" spans="26:26" x14ac:dyDescent="0.3">
      <c r="Z1748" s="20"/>
    </row>
    <row r="1749" spans="26:26" x14ac:dyDescent="0.3">
      <c r="Z1749" s="20"/>
    </row>
    <row r="1750" spans="26:26" x14ac:dyDescent="0.3">
      <c r="Z1750" s="20"/>
    </row>
    <row r="1751" spans="26:26" x14ac:dyDescent="0.3">
      <c r="Z1751" s="20"/>
    </row>
    <row r="1752" spans="26:26" x14ac:dyDescent="0.3">
      <c r="Z1752" s="20"/>
    </row>
    <row r="1753" spans="26:26" x14ac:dyDescent="0.3">
      <c r="Z1753" s="20"/>
    </row>
    <row r="1754" spans="26:26" x14ac:dyDescent="0.3">
      <c r="Z1754" s="20"/>
    </row>
    <row r="1755" spans="26:26" x14ac:dyDescent="0.3">
      <c r="Z1755" s="20"/>
    </row>
    <row r="1756" spans="26:26" x14ac:dyDescent="0.3">
      <c r="Z1756" s="20"/>
    </row>
    <row r="1757" spans="26:26" x14ac:dyDescent="0.3">
      <c r="Z1757" s="20"/>
    </row>
    <row r="1758" spans="26:26" x14ac:dyDescent="0.3">
      <c r="Z1758" s="20"/>
    </row>
    <row r="1759" spans="26:26" x14ac:dyDescent="0.3">
      <c r="Z1759" s="20"/>
    </row>
    <row r="1760" spans="26:26" x14ac:dyDescent="0.3">
      <c r="Z1760" s="20"/>
    </row>
    <row r="1761" spans="26:26" x14ac:dyDescent="0.3">
      <c r="Z1761" s="20"/>
    </row>
    <row r="1762" spans="26:26" x14ac:dyDescent="0.3">
      <c r="Z1762" s="20"/>
    </row>
    <row r="1763" spans="26:26" x14ac:dyDescent="0.3">
      <c r="Z1763" s="20"/>
    </row>
    <row r="1764" spans="26:26" x14ac:dyDescent="0.3">
      <c r="Z1764" s="20"/>
    </row>
    <row r="1765" spans="26:26" x14ac:dyDescent="0.3">
      <c r="Z1765" s="20"/>
    </row>
    <row r="1766" spans="26:26" x14ac:dyDescent="0.3">
      <c r="Z1766" s="20"/>
    </row>
    <row r="1767" spans="26:26" x14ac:dyDescent="0.3">
      <c r="Z1767" s="20"/>
    </row>
    <row r="1768" spans="26:26" x14ac:dyDescent="0.3">
      <c r="Z1768" s="20"/>
    </row>
    <row r="1769" spans="26:26" x14ac:dyDescent="0.3">
      <c r="Z1769" s="20"/>
    </row>
    <row r="1770" spans="26:26" x14ac:dyDescent="0.3">
      <c r="Z1770" s="20"/>
    </row>
    <row r="1771" spans="26:26" x14ac:dyDescent="0.3">
      <c r="Z1771" s="20"/>
    </row>
    <row r="1772" spans="26:26" x14ac:dyDescent="0.3">
      <c r="Z1772" s="20"/>
    </row>
    <row r="1773" spans="26:26" x14ac:dyDescent="0.3">
      <c r="Z1773" s="20"/>
    </row>
    <row r="1774" spans="26:26" x14ac:dyDescent="0.3">
      <c r="Z1774" s="20"/>
    </row>
    <row r="1775" spans="26:26" x14ac:dyDescent="0.3">
      <c r="Z1775" s="20"/>
    </row>
    <row r="1776" spans="26:26" x14ac:dyDescent="0.3">
      <c r="Z1776" s="20"/>
    </row>
    <row r="1777" spans="26:26" x14ac:dyDescent="0.3">
      <c r="Z1777" s="20"/>
    </row>
    <row r="1778" spans="26:26" x14ac:dyDescent="0.3">
      <c r="Z1778" s="20"/>
    </row>
    <row r="1779" spans="26:26" x14ac:dyDescent="0.3">
      <c r="Z1779" s="20"/>
    </row>
    <row r="1780" spans="26:26" x14ac:dyDescent="0.3">
      <c r="Z1780" s="20"/>
    </row>
    <row r="1781" spans="26:26" x14ac:dyDescent="0.3">
      <c r="Z1781" s="20"/>
    </row>
    <row r="1782" spans="26:26" x14ac:dyDescent="0.3">
      <c r="Z1782" s="20"/>
    </row>
    <row r="1783" spans="26:26" x14ac:dyDescent="0.3">
      <c r="Z1783" s="20"/>
    </row>
    <row r="1784" spans="26:26" x14ac:dyDescent="0.3">
      <c r="Z1784" s="20"/>
    </row>
    <row r="1785" spans="26:26" x14ac:dyDescent="0.3">
      <c r="Z1785" s="20"/>
    </row>
    <row r="1786" spans="26:26" x14ac:dyDescent="0.3">
      <c r="Z1786" s="20"/>
    </row>
    <row r="1787" spans="26:26" x14ac:dyDescent="0.3">
      <c r="Z1787" s="20"/>
    </row>
    <row r="1788" spans="26:26" x14ac:dyDescent="0.3">
      <c r="Z1788" s="20"/>
    </row>
    <row r="1789" spans="26:26" x14ac:dyDescent="0.3">
      <c r="Z1789" s="20"/>
    </row>
    <row r="1790" spans="26:26" x14ac:dyDescent="0.3">
      <c r="Z1790" s="20"/>
    </row>
    <row r="1791" spans="26:26" x14ac:dyDescent="0.3">
      <c r="Z1791" s="20"/>
    </row>
    <row r="1792" spans="26:26" x14ac:dyDescent="0.3">
      <c r="Z1792" s="20"/>
    </row>
    <row r="1793" spans="26:26" x14ac:dyDescent="0.3">
      <c r="Z1793" s="20"/>
    </row>
    <row r="1794" spans="26:26" x14ac:dyDescent="0.3">
      <c r="Z1794" s="20"/>
    </row>
    <row r="1795" spans="26:26" x14ac:dyDescent="0.3">
      <c r="Z1795" s="20"/>
    </row>
    <row r="1796" spans="26:26" x14ac:dyDescent="0.3">
      <c r="Z1796" s="20"/>
    </row>
    <row r="1797" spans="26:26" x14ac:dyDescent="0.3">
      <c r="Z1797" s="20"/>
    </row>
    <row r="1798" spans="26:26" x14ac:dyDescent="0.3">
      <c r="Z1798" s="20"/>
    </row>
    <row r="1799" spans="26:26" x14ac:dyDescent="0.3">
      <c r="Z1799" s="20"/>
    </row>
    <row r="1800" spans="26:26" x14ac:dyDescent="0.3">
      <c r="Z1800" s="20"/>
    </row>
    <row r="1801" spans="26:26" x14ac:dyDescent="0.3">
      <c r="Z1801" s="20"/>
    </row>
    <row r="1802" spans="26:26" x14ac:dyDescent="0.3">
      <c r="Z1802" s="20"/>
    </row>
    <row r="1803" spans="26:26" x14ac:dyDescent="0.3">
      <c r="Z1803" s="20"/>
    </row>
    <row r="1804" spans="26:26" x14ac:dyDescent="0.3">
      <c r="Z1804" s="20"/>
    </row>
    <row r="1805" spans="26:26" x14ac:dyDescent="0.3">
      <c r="Z1805" s="20"/>
    </row>
    <row r="1806" spans="26:26" x14ac:dyDescent="0.3">
      <c r="Z1806" s="20"/>
    </row>
    <row r="1807" spans="26:26" x14ac:dyDescent="0.3">
      <c r="Z1807" s="20"/>
    </row>
    <row r="1808" spans="26:26" x14ac:dyDescent="0.3">
      <c r="Z1808" s="20"/>
    </row>
    <row r="1809" spans="26:26" x14ac:dyDescent="0.3">
      <c r="Z1809" s="20"/>
    </row>
    <row r="1810" spans="26:26" x14ac:dyDescent="0.3">
      <c r="Z1810" s="20"/>
    </row>
    <row r="1811" spans="26:26" x14ac:dyDescent="0.3">
      <c r="Z1811" s="20"/>
    </row>
    <row r="1812" spans="26:26" x14ac:dyDescent="0.3">
      <c r="Z1812" s="20"/>
    </row>
    <row r="1813" spans="26:26" x14ac:dyDescent="0.3">
      <c r="Z1813" s="20"/>
    </row>
    <row r="1814" spans="26:26" x14ac:dyDescent="0.3">
      <c r="Z1814" s="20"/>
    </row>
    <row r="1815" spans="26:26" x14ac:dyDescent="0.3">
      <c r="Z1815" s="20"/>
    </row>
    <row r="1816" spans="26:26" x14ac:dyDescent="0.3">
      <c r="Z1816" s="20"/>
    </row>
    <row r="1817" spans="26:26" x14ac:dyDescent="0.3">
      <c r="Z1817" s="20"/>
    </row>
    <row r="1818" spans="26:26" x14ac:dyDescent="0.3">
      <c r="Z1818" s="20"/>
    </row>
    <row r="1819" spans="26:26" x14ac:dyDescent="0.3">
      <c r="Z1819" s="20"/>
    </row>
    <row r="1820" spans="26:26" x14ac:dyDescent="0.3">
      <c r="Z1820" s="20"/>
    </row>
    <row r="1821" spans="26:26" x14ac:dyDescent="0.3">
      <c r="Z1821" s="20"/>
    </row>
    <row r="1822" spans="26:26" x14ac:dyDescent="0.3">
      <c r="Z1822" s="20"/>
    </row>
    <row r="1823" spans="26:26" x14ac:dyDescent="0.3">
      <c r="Z1823" s="20"/>
    </row>
    <row r="1824" spans="26:26" x14ac:dyDescent="0.3">
      <c r="Z1824" s="20"/>
    </row>
    <row r="1825" spans="26:26" x14ac:dyDescent="0.3">
      <c r="Z1825" s="20"/>
    </row>
    <row r="1826" spans="26:26" x14ac:dyDescent="0.3">
      <c r="Z1826" s="20"/>
    </row>
    <row r="1827" spans="26:26" x14ac:dyDescent="0.3">
      <c r="Z1827" s="20"/>
    </row>
    <row r="1828" spans="26:26" x14ac:dyDescent="0.3">
      <c r="Z1828" s="20"/>
    </row>
  </sheetData>
  <mergeCells count="4">
    <mergeCell ref="P1:P59"/>
    <mergeCell ref="T1:T59"/>
    <mergeCell ref="U1:W1"/>
    <mergeCell ref="Y1:AB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7A08E-832D-4CED-81AF-174BEE77BE4C}">
  <dimension ref="A1:AB58"/>
  <sheetViews>
    <sheetView topLeftCell="O1" zoomScale="73" workbookViewId="0">
      <selection activeCell="Z3" sqref="Z3"/>
    </sheetView>
  </sheetViews>
  <sheetFormatPr defaultColWidth="8.77734375" defaultRowHeight="14.4" x14ac:dyDescent="0.3"/>
  <cols>
    <col min="1" max="6" width="8.77734375" style="4"/>
    <col min="7" max="7" width="11.21875" style="4" bestFit="1" customWidth="1"/>
    <col min="8" max="17" width="8.77734375" style="4"/>
    <col min="18" max="19" width="12" style="4" bestFit="1" customWidth="1"/>
    <col min="20" max="20" width="8.77734375" style="4"/>
    <col min="21" max="21" width="18.77734375" style="4" customWidth="1"/>
    <col min="22" max="22" width="19.77734375" style="4" customWidth="1"/>
    <col min="23" max="23" width="18.33203125" style="4" customWidth="1"/>
    <col min="24" max="24" width="8.77734375" style="4"/>
    <col min="25" max="25" width="16.21875" style="4" customWidth="1"/>
    <col min="26" max="26" width="47.109375" style="4" customWidth="1"/>
    <col min="27" max="27" width="22.21875" style="4" customWidth="1"/>
    <col min="28" max="28" width="21.109375" style="4" customWidth="1"/>
    <col min="29" max="16384" width="8.77734375" style="4"/>
  </cols>
  <sheetData>
    <row r="1" spans="1:28" ht="52.8" x14ac:dyDescent="0.3">
      <c r="A1" s="11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10</v>
      </c>
      <c r="K1" s="5" t="s">
        <v>12</v>
      </c>
      <c r="L1" s="5" t="s">
        <v>13</v>
      </c>
      <c r="M1" s="5" t="s">
        <v>14</v>
      </c>
      <c r="N1" s="5" t="s">
        <v>17</v>
      </c>
      <c r="O1" s="5" t="s">
        <v>18</v>
      </c>
      <c r="P1" s="78" t="s">
        <v>19</v>
      </c>
      <c r="Q1" s="15" t="s">
        <v>20</v>
      </c>
      <c r="R1" s="15" t="s">
        <v>21</v>
      </c>
      <c r="S1" s="15" t="s">
        <v>22</v>
      </c>
      <c r="T1" s="81" t="s">
        <v>23</v>
      </c>
      <c r="U1" s="73" t="s">
        <v>40</v>
      </c>
      <c r="V1" s="74"/>
      <c r="W1" s="75"/>
      <c r="Y1" s="73" t="s">
        <v>56</v>
      </c>
      <c r="Z1" s="74"/>
      <c r="AA1" s="74"/>
      <c r="AB1" s="75"/>
    </row>
    <row r="2" spans="1:28" x14ac:dyDescent="0.3">
      <c r="A2" s="6">
        <v>44228</v>
      </c>
      <c r="B2" s="2">
        <v>40.87501710714286</v>
      </c>
      <c r="C2" s="2">
        <v>40.872321428571425</v>
      </c>
      <c r="D2" s="2">
        <v>2.6956785714285715E-3</v>
      </c>
      <c r="E2" s="2">
        <v>380.92857142857144</v>
      </c>
      <c r="F2" s="2">
        <v>1144.425</v>
      </c>
      <c r="G2" s="3">
        <v>1.5319691899999999E-4</v>
      </c>
      <c r="H2" s="2">
        <v>10666</v>
      </c>
      <c r="I2" s="2">
        <v>7.5479000000000004E-2</v>
      </c>
      <c r="J2" s="4">
        <v>1</v>
      </c>
      <c r="K2" s="4">
        <v>1</v>
      </c>
      <c r="L2" s="7">
        <v>1.5319691899999999E-4</v>
      </c>
      <c r="M2" s="8">
        <v>1.0666E-2</v>
      </c>
      <c r="N2" s="2">
        <v>6.5949295247083942E-3</v>
      </c>
      <c r="O2" s="2">
        <v>58.620710662559794</v>
      </c>
      <c r="P2" s="79"/>
      <c r="Q2" s="4">
        <f>A2-$A$2</f>
        <v>0</v>
      </c>
      <c r="R2" s="19">
        <f>D2/C2</f>
        <v>6.5953644843480354E-5</v>
      </c>
      <c r="T2" s="82"/>
      <c r="U2" s="17" t="s">
        <v>24</v>
      </c>
      <c r="V2" s="17" t="s">
        <v>28</v>
      </c>
      <c r="W2" s="17" t="s">
        <v>37</v>
      </c>
      <c r="Y2" s="17" t="s">
        <v>24</v>
      </c>
      <c r="Z2" s="17" t="s">
        <v>57</v>
      </c>
      <c r="AA2" s="17" t="s">
        <v>28</v>
      </c>
      <c r="AB2" s="17" t="s">
        <v>37</v>
      </c>
    </row>
    <row r="3" spans="1:28" x14ac:dyDescent="0.3">
      <c r="A3" s="6">
        <v>44256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3">
        <v>0</v>
      </c>
      <c r="H3" s="2">
        <v>0</v>
      </c>
      <c r="I3" s="2">
        <v>0</v>
      </c>
      <c r="J3" s="4">
        <v>1</v>
      </c>
      <c r="K3" s="4">
        <v>1</v>
      </c>
      <c r="L3" s="7">
        <v>1.5319691899999999E-4</v>
      </c>
      <c r="M3" s="8">
        <v>1.0666E-2</v>
      </c>
      <c r="N3" s="2">
        <v>0</v>
      </c>
      <c r="O3" s="2"/>
      <c r="P3" s="79"/>
      <c r="Q3" s="4">
        <f t="shared" ref="Q3:Q28" si="0">A3-$A$2</f>
        <v>28</v>
      </c>
      <c r="R3" s="19"/>
      <c r="T3" s="82"/>
      <c r="U3" s="4">
        <f>Q2</f>
        <v>0</v>
      </c>
      <c r="V3" s="2">
        <f>C2</f>
        <v>40.872321428571425</v>
      </c>
      <c r="Y3" s="4">
        <f>U3</f>
        <v>0</v>
      </c>
    </row>
    <row r="4" spans="1:28" x14ac:dyDescent="0.3">
      <c r="A4" s="6">
        <v>44287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3">
        <v>0</v>
      </c>
      <c r="H4" s="2">
        <v>0</v>
      </c>
      <c r="I4" s="2">
        <v>0</v>
      </c>
      <c r="J4" s="4">
        <v>1</v>
      </c>
      <c r="K4" s="4">
        <v>1</v>
      </c>
      <c r="L4" s="7">
        <v>1.5319691899999999E-4</v>
      </c>
      <c r="M4" s="8">
        <v>1.0666E-2</v>
      </c>
      <c r="N4" s="2">
        <v>0</v>
      </c>
      <c r="O4" s="2"/>
      <c r="P4" s="79"/>
      <c r="Q4" s="4">
        <f t="shared" si="0"/>
        <v>59</v>
      </c>
      <c r="R4" s="19"/>
      <c r="T4" s="82"/>
      <c r="U4" s="4">
        <f t="shared" ref="U4:U29" si="1">Q3</f>
        <v>28</v>
      </c>
      <c r="V4" s="2">
        <f>V3+C3</f>
        <v>40.872321428571425</v>
      </c>
      <c r="Y4" s="4">
        <f t="shared" ref="Y4:Y28" si="2">U4</f>
        <v>28</v>
      </c>
    </row>
    <row r="5" spans="1:28" x14ac:dyDescent="0.3">
      <c r="A5" s="6">
        <v>44317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3">
        <v>0</v>
      </c>
      <c r="H5" s="2">
        <v>0</v>
      </c>
      <c r="I5" s="2">
        <v>0</v>
      </c>
      <c r="J5" s="4">
        <v>1</v>
      </c>
      <c r="K5" s="4">
        <v>1</v>
      </c>
      <c r="L5" s="7">
        <v>1.5319691899999999E-4</v>
      </c>
      <c r="M5" s="8">
        <v>1.0666E-2</v>
      </c>
      <c r="N5" s="2">
        <v>0</v>
      </c>
      <c r="O5" s="2"/>
      <c r="P5" s="79"/>
      <c r="Q5" s="4">
        <f t="shared" si="0"/>
        <v>89</v>
      </c>
      <c r="R5" s="19"/>
      <c r="T5" s="82"/>
      <c r="U5" s="4">
        <f t="shared" si="1"/>
        <v>59</v>
      </c>
      <c r="V5" s="2">
        <f t="shared" ref="V5:V29" si="3">V4+C4</f>
        <v>40.872321428571425</v>
      </c>
      <c r="Y5" s="4">
        <f t="shared" si="2"/>
        <v>59</v>
      </c>
    </row>
    <row r="6" spans="1:28" x14ac:dyDescent="0.3">
      <c r="A6" s="6">
        <v>44348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3">
        <v>0</v>
      </c>
      <c r="H6" s="2">
        <v>0</v>
      </c>
      <c r="I6" s="2">
        <v>0</v>
      </c>
      <c r="J6" s="4">
        <v>1</v>
      </c>
      <c r="K6" s="4">
        <v>1</v>
      </c>
      <c r="L6" s="7">
        <v>1.5319691899999999E-4</v>
      </c>
      <c r="M6" s="8">
        <v>1.0666E-2</v>
      </c>
      <c r="N6" s="2">
        <v>0</v>
      </c>
      <c r="O6" s="2"/>
      <c r="P6" s="79"/>
      <c r="Q6" s="4">
        <f t="shared" si="0"/>
        <v>120</v>
      </c>
      <c r="R6" s="19"/>
      <c r="T6" s="82"/>
      <c r="U6" s="4">
        <f t="shared" si="1"/>
        <v>89</v>
      </c>
      <c r="V6" s="2">
        <f t="shared" si="3"/>
        <v>40.872321428571425</v>
      </c>
      <c r="Y6" s="4">
        <f t="shared" si="2"/>
        <v>89</v>
      </c>
    </row>
    <row r="7" spans="1:28" x14ac:dyDescent="0.3">
      <c r="A7" s="6">
        <v>44378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3">
        <v>0</v>
      </c>
      <c r="H7" s="2">
        <v>0</v>
      </c>
      <c r="I7" s="2">
        <v>0</v>
      </c>
      <c r="J7" s="4">
        <v>1</v>
      </c>
      <c r="K7" s="4">
        <v>1</v>
      </c>
      <c r="L7" s="7">
        <v>1.5319691899999999E-4</v>
      </c>
      <c r="M7" s="8">
        <v>1.0666E-2</v>
      </c>
      <c r="N7" s="2">
        <v>0</v>
      </c>
      <c r="O7" s="2"/>
      <c r="P7" s="79"/>
      <c r="Q7" s="4">
        <f t="shared" si="0"/>
        <v>150</v>
      </c>
      <c r="R7" s="19"/>
      <c r="T7" s="82"/>
      <c r="U7" s="4">
        <f t="shared" si="1"/>
        <v>120</v>
      </c>
      <c r="V7" s="2">
        <f t="shared" si="3"/>
        <v>40.872321428571425</v>
      </c>
      <c r="Y7" s="4">
        <f t="shared" si="2"/>
        <v>120</v>
      </c>
    </row>
    <row r="8" spans="1:28" x14ac:dyDescent="0.3">
      <c r="A8" s="6">
        <v>44409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3">
        <v>0</v>
      </c>
      <c r="H8" s="2">
        <v>0</v>
      </c>
      <c r="I8" s="2">
        <v>0</v>
      </c>
      <c r="J8" s="4">
        <v>1</v>
      </c>
      <c r="K8" s="4">
        <v>1</v>
      </c>
      <c r="L8" s="7">
        <v>1.5319691899999999E-4</v>
      </c>
      <c r="M8" s="8">
        <v>1.0666E-2</v>
      </c>
      <c r="N8" s="2">
        <v>0</v>
      </c>
      <c r="O8" s="2"/>
      <c r="P8" s="79"/>
      <c r="Q8" s="4">
        <f t="shared" si="0"/>
        <v>181</v>
      </c>
      <c r="R8" s="19"/>
      <c r="T8" s="82"/>
      <c r="U8" s="4">
        <f t="shared" si="1"/>
        <v>150</v>
      </c>
      <c r="V8" s="2">
        <f t="shared" si="3"/>
        <v>40.872321428571425</v>
      </c>
      <c r="Y8" s="4">
        <f t="shared" si="2"/>
        <v>150</v>
      </c>
    </row>
    <row r="9" spans="1:28" x14ac:dyDescent="0.3">
      <c r="A9" s="6">
        <v>44440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3">
        <v>0</v>
      </c>
      <c r="H9" s="2">
        <v>0</v>
      </c>
      <c r="I9" s="2">
        <v>0</v>
      </c>
      <c r="J9" s="4">
        <v>1</v>
      </c>
      <c r="K9" s="4">
        <v>1</v>
      </c>
      <c r="L9" s="7">
        <v>1.5319691899999999E-4</v>
      </c>
      <c r="M9" s="8">
        <v>1.0666E-2</v>
      </c>
      <c r="N9" s="2">
        <v>0</v>
      </c>
      <c r="O9" s="2"/>
      <c r="P9" s="79"/>
      <c r="Q9" s="4">
        <f t="shared" si="0"/>
        <v>212</v>
      </c>
      <c r="R9" s="19"/>
      <c r="T9" s="82"/>
      <c r="U9" s="4">
        <f t="shared" si="1"/>
        <v>181</v>
      </c>
      <c r="V9" s="2">
        <f t="shared" si="3"/>
        <v>40.872321428571425</v>
      </c>
      <c r="Y9" s="4">
        <f t="shared" si="2"/>
        <v>181</v>
      </c>
    </row>
    <row r="10" spans="1:28" x14ac:dyDescent="0.3">
      <c r="A10" s="6">
        <v>44470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3">
        <v>0</v>
      </c>
      <c r="H10" s="2">
        <v>0</v>
      </c>
      <c r="I10" s="2">
        <v>0</v>
      </c>
      <c r="J10" s="4">
        <v>1</v>
      </c>
      <c r="K10" s="4">
        <v>1</v>
      </c>
      <c r="L10" s="7">
        <v>1.5319691899999999E-4</v>
      </c>
      <c r="M10" s="8">
        <v>1.0666E-2</v>
      </c>
      <c r="N10" s="2">
        <v>0</v>
      </c>
      <c r="O10" s="2"/>
      <c r="P10" s="79"/>
      <c r="Q10" s="4">
        <f t="shared" si="0"/>
        <v>242</v>
      </c>
      <c r="R10" s="19"/>
      <c r="T10" s="82"/>
      <c r="U10" s="4">
        <f t="shared" si="1"/>
        <v>212</v>
      </c>
      <c r="V10" s="2">
        <f t="shared" si="3"/>
        <v>40.872321428571425</v>
      </c>
      <c r="Y10" s="4">
        <f t="shared" si="2"/>
        <v>212</v>
      </c>
    </row>
    <row r="11" spans="1:28" x14ac:dyDescent="0.3">
      <c r="A11" s="6">
        <v>44501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3">
        <v>0</v>
      </c>
      <c r="H11" s="2">
        <v>0</v>
      </c>
      <c r="I11" s="2">
        <v>0</v>
      </c>
      <c r="J11" s="4">
        <v>1</v>
      </c>
      <c r="K11" s="4">
        <v>1</v>
      </c>
      <c r="L11" s="7">
        <v>1.5319691899999999E-4</v>
      </c>
      <c r="M11" s="8">
        <v>1.0666E-2</v>
      </c>
      <c r="N11" s="2">
        <v>0</v>
      </c>
      <c r="O11" s="2"/>
      <c r="P11" s="79"/>
      <c r="Q11" s="4">
        <f t="shared" si="0"/>
        <v>273</v>
      </c>
      <c r="R11" s="19"/>
      <c r="T11" s="82"/>
      <c r="U11" s="4">
        <f t="shared" si="1"/>
        <v>242</v>
      </c>
      <c r="V11" s="2">
        <f t="shared" si="3"/>
        <v>40.872321428571425</v>
      </c>
      <c r="Y11" s="4">
        <f t="shared" si="2"/>
        <v>242</v>
      </c>
    </row>
    <row r="12" spans="1:28" x14ac:dyDescent="0.3">
      <c r="A12" s="6">
        <v>44531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3">
        <v>0</v>
      </c>
      <c r="H12" s="2">
        <v>0</v>
      </c>
      <c r="I12" s="2">
        <v>0</v>
      </c>
      <c r="J12" s="4">
        <v>1</v>
      </c>
      <c r="K12" s="4">
        <v>1</v>
      </c>
      <c r="L12" s="7">
        <v>1.5319691899999999E-4</v>
      </c>
      <c r="M12" s="8">
        <v>1.0666E-2</v>
      </c>
      <c r="N12" s="2">
        <v>0</v>
      </c>
      <c r="O12" s="2"/>
      <c r="P12" s="79"/>
      <c r="Q12" s="4">
        <f t="shared" si="0"/>
        <v>303</v>
      </c>
      <c r="R12" s="19"/>
      <c r="T12" s="82"/>
      <c r="U12" s="4">
        <f t="shared" si="1"/>
        <v>273</v>
      </c>
      <c r="V12" s="2">
        <f t="shared" si="3"/>
        <v>40.872321428571425</v>
      </c>
      <c r="Y12" s="4">
        <f t="shared" si="2"/>
        <v>273</v>
      </c>
    </row>
    <row r="13" spans="1:28" x14ac:dyDescent="0.3">
      <c r="A13" s="6">
        <v>44562</v>
      </c>
      <c r="B13" s="2">
        <v>46.972196774193556</v>
      </c>
      <c r="C13" s="2">
        <v>46.960225806451618</v>
      </c>
      <c r="D13" s="2">
        <v>1.1970967741935483E-2</v>
      </c>
      <c r="E13" s="2">
        <v>420.32258064516128</v>
      </c>
      <c r="F13" s="2">
        <v>1455.7670000000001</v>
      </c>
      <c r="G13" s="3">
        <v>1.9478176699999999E-4</v>
      </c>
      <c r="H13" s="2">
        <v>13030</v>
      </c>
      <c r="I13" s="2">
        <v>0.37109999999999999</v>
      </c>
      <c r="J13" s="4">
        <v>1</v>
      </c>
      <c r="K13" s="4">
        <v>1</v>
      </c>
      <c r="L13" s="7">
        <v>3.4797868599999995E-4</v>
      </c>
      <c r="M13" s="8">
        <v>2.3696000000000002E-2</v>
      </c>
      <c r="N13" s="2">
        <v>2.5485220117514949E-2</v>
      </c>
      <c r="O13" s="2">
        <v>56.297535251176861</v>
      </c>
      <c r="P13" s="79"/>
      <c r="Q13" s="4">
        <f t="shared" si="0"/>
        <v>334</v>
      </c>
      <c r="R13" s="19">
        <f t="shared" ref="R13:R28" si="4">D13/C13</f>
        <v>2.5491716737637265E-4</v>
      </c>
      <c r="S13" s="4">
        <f>(R14-R2)/(Q14-Q2)</f>
        <v>1.7782131243081507E-5</v>
      </c>
      <c r="T13" s="82"/>
      <c r="U13" s="4">
        <f t="shared" si="1"/>
        <v>303</v>
      </c>
      <c r="V13" s="2">
        <f t="shared" si="3"/>
        <v>40.872321428571425</v>
      </c>
      <c r="Y13" s="4">
        <f t="shared" si="2"/>
        <v>303</v>
      </c>
    </row>
    <row r="14" spans="1:28" x14ac:dyDescent="0.3">
      <c r="A14" s="6">
        <v>44593</v>
      </c>
      <c r="B14" s="2">
        <v>160.39681642857141</v>
      </c>
      <c r="C14" s="2">
        <v>159.35203571428571</v>
      </c>
      <c r="D14" s="2">
        <v>1.0447807142857142</v>
      </c>
      <c r="E14" s="2">
        <v>1684.8928571428571</v>
      </c>
      <c r="F14" s="2">
        <v>4461.857</v>
      </c>
      <c r="G14" s="3">
        <v>5.9699690100000001E-4</v>
      </c>
      <c r="H14" s="2">
        <v>47177</v>
      </c>
      <c r="I14" s="2">
        <v>29.25386</v>
      </c>
      <c r="J14" s="4">
        <v>1</v>
      </c>
      <c r="K14" s="4">
        <v>1</v>
      </c>
      <c r="L14" s="7">
        <v>9.4497558699999996E-4</v>
      </c>
      <c r="M14" s="7">
        <v>7.0872999999999992E-2</v>
      </c>
      <c r="N14" s="2">
        <v>0.65137247580657587</v>
      </c>
      <c r="O14" s="2">
        <v>66.504573006261737</v>
      </c>
      <c r="P14" s="79"/>
      <c r="Q14" s="4">
        <f t="shared" si="0"/>
        <v>365</v>
      </c>
      <c r="R14" s="19">
        <f t="shared" si="4"/>
        <v>6.5564315485682305E-3</v>
      </c>
      <c r="S14" s="4">
        <f>(R15-R13)/(Q15-Q13)</f>
        <v>5.2630162543838052E-4</v>
      </c>
      <c r="T14" s="82"/>
      <c r="U14" s="4">
        <f t="shared" si="1"/>
        <v>334</v>
      </c>
      <c r="V14" s="2">
        <f t="shared" si="3"/>
        <v>87.832547235023043</v>
      </c>
      <c r="Y14" s="4">
        <f t="shared" si="2"/>
        <v>334</v>
      </c>
    </row>
    <row r="15" spans="1:28" x14ac:dyDescent="0.3">
      <c r="A15" s="6">
        <v>44621</v>
      </c>
      <c r="B15" s="2">
        <v>185.79715677419355</v>
      </c>
      <c r="C15" s="2">
        <v>180.15703225806453</v>
      </c>
      <c r="D15" s="2">
        <v>5.6401245161290321</v>
      </c>
      <c r="E15" s="2">
        <v>2167.3870967741937</v>
      </c>
      <c r="F15" s="2">
        <v>5584.8680000000004</v>
      </c>
      <c r="G15" s="3">
        <v>7.47255883E-4</v>
      </c>
      <c r="H15" s="2">
        <v>67189</v>
      </c>
      <c r="I15" s="2">
        <v>174.84386000000001</v>
      </c>
      <c r="J15" s="4">
        <v>1</v>
      </c>
      <c r="K15" s="4">
        <v>1</v>
      </c>
      <c r="L15" s="7">
        <v>1.6922314700000001E-3</v>
      </c>
      <c r="M15" s="7">
        <v>0.13806199999999999</v>
      </c>
      <c r="N15" s="2">
        <v>3.0356355361151692</v>
      </c>
      <c r="O15" s="2">
        <v>75.66971541672963</v>
      </c>
      <c r="P15" s="79"/>
      <c r="Q15" s="4">
        <f t="shared" si="0"/>
        <v>393</v>
      </c>
      <c r="R15" s="19">
        <f t="shared" si="4"/>
        <v>3.1306713068240823E-2</v>
      </c>
      <c r="S15" s="4">
        <f t="shared" ref="S15:S27" si="5">(R16-R14)/(Q16-Q14)</f>
        <v>1.2969397075470001E-3</v>
      </c>
      <c r="T15" s="82"/>
      <c r="U15" s="4">
        <f t="shared" si="1"/>
        <v>365</v>
      </c>
      <c r="V15" s="2">
        <f t="shared" si="3"/>
        <v>247.18458294930875</v>
      </c>
      <c r="Y15" s="4">
        <f t="shared" si="2"/>
        <v>365</v>
      </c>
    </row>
    <row r="16" spans="1:28" x14ac:dyDescent="0.3">
      <c r="A16" s="6">
        <v>44652</v>
      </c>
      <c r="B16" s="2">
        <v>209.67735183333335</v>
      </c>
      <c r="C16" s="2">
        <v>193.59433333333334</v>
      </c>
      <c r="D16" s="2">
        <v>16.083018499999998</v>
      </c>
      <c r="E16" s="2">
        <v>2216.4333333333334</v>
      </c>
      <c r="F16" s="2">
        <v>5807.83</v>
      </c>
      <c r="G16" s="3">
        <v>7.7708822199999998E-4</v>
      </c>
      <c r="H16" s="2">
        <v>66493</v>
      </c>
      <c r="I16" s="2">
        <v>482.49055499999997</v>
      </c>
      <c r="J16" s="4">
        <v>1</v>
      </c>
      <c r="K16" s="4">
        <v>1</v>
      </c>
      <c r="L16" s="7">
        <v>2.469319692E-3</v>
      </c>
      <c r="M16" s="7">
        <v>0.20455499999999999</v>
      </c>
      <c r="N16" s="2">
        <v>7.6703651392850194</v>
      </c>
      <c r="O16" s="2">
        <v>72.011004351022663</v>
      </c>
      <c r="P16" s="79"/>
      <c r="Q16" s="4">
        <f t="shared" si="0"/>
        <v>424</v>
      </c>
      <c r="R16" s="19">
        <f t="shared" si="4"/>
        <v>8.3075874293841237E-2</v>
      </c>
      <c r="S16" s="4">
        <f t="shared" si="5"/>
        <v>2.822610876857421E-3</v>
      </c>
      <c r="T16" s="82"/>
      <c r="U16" s="4">
        <f t="shared" si="1"/>
        <v>393</v>
      </c>
      <c r="V16" s="2">
        <f t="shared" si="3"/>
        <v>427.34161520737325</v>
      </c>
      <c r="Y16" s="4">
        <f t="shared" si="2"/>
        <v>393</v>
      </c>
    </row>
    <row r="17" spans="1:25" x14ac:dyDescent="0.3">
      <c r="A17" s="6">
        <v>44682</v>
      </c>
      <c r="B17" s="2">
        <v>236.77344280645161</v>
      </c>
      <c r="C17" s="2">
        <v>196.73967741935485</v>
      </c>
      <c r="D17" s="2">
        <v>40.033765387096771</v>
      </c>
      <c r="E17" s="2">
        <v>2258.5806451612902</v>
      </c>
      <c r="F17" s="2">
        <v>6098.93</v>
      </c>
      <c r="G17" s="3">
        <v>8.1603742799999995E-4</v>
      </c>
      <c r="H17" s="2">
        <v>70016</v>
      </c>
      <c r="I17" s="2">
        <v>1241.0467269999999</v>
      </c>
      <c r="J17" s="4">
        <v>1</v>
      </c>
      <c r="K17" s="4">
        <v>1</v>
      </c>
      <c r="L17" s="7">
        <v>3.28535712E-3</v>
      </c>
      <c r="M17" s="7">
        <v>0.27457100000000001</v>
      </c>
      <c r="N17" s="2">
        <v>16.908047166346279</v>
      </c>
      <c r="O17" s="2">
        <v>72.207196475447319</v>
      </c>
      <c r="P17" s="79"/>
      <c r="Q17" s="4">
        <f t="shared" si="0"/>
        <v>454</v>
      </c>
      <c r="R17" s="19">
        <f t="shared" si="4"/>
        <v>0.20348597655654349</v>
      </c>
      <c r="S17" s="4">
        <f t="shared" si="5"/>
        <v>3.2729199228083384E-4</v>
      </c>
      <c r="T17" s="82"/>
      <c r="U17" s="4">
        <f t="shared" si="1"/>
        <v>424</v>
      </c>
      <c r="V17" s="2">
        <f t="shared" si="3"/>
        <v>620.93594854070659</v>
      </c>
      <c r="Y17" s="4">
        <f t="shared" si="2"/>
        <v>424</v>
      </c>
    </row>
    <row r="18" spans="1:25" x14ac:dyDescent="0.3">
      <c r="A18" s="6">
        <v>44713</v>
      </c>
      <c r="B18" s="2">
        <v>244.9639741</v>
      </c>
      <c r="C18" s="2">
        <v>222.08063333333334</v>
      </c>
      <c r="D18" s="2">
        <v>22.883340766666667</v>
      </c>
      <c r="E18" s="2">
        <v>2547.0666666666666</v>
      </c>
      <c r="F18" s="2">
        <v>6662.4189999999999</v>
      </c>
      <c r="G18" s="3">
        <v>8.91432311E-4</v>
      </c>
      <c r="H18" s="2">
        <v>76412</v>
      </c>
      <c r="I18" s="2">
        <v>686.50022300000001</v>
      </c>
      <c r="J18" s="4">
        <v>1</v>
      </c>
      <c r="K18" s="4">
        <v>1</v>
      </c>
      <c r="L18" s="7">
        <v>4.1767894309999998E-3</v>
      </c>
      <c r="M18" s="7">
        <v>0.35098299999999999</v>
      </c>
      <c r="N18" s="2">
        <v>9.3415127064052097</v>
      </c>
      <c r="O18" s="2">
        <v>72.138392616855825</v>
      </c>
      <c r="P18" s="79"/>
      <c r="Q18" s="4">
        <f t="shared" si="0"/>
        <v>485</v>
      </c>
      <c r="R18" s="19">
        <f t="shared" si="4"/>
        <v>0.1030406858229721</v>
      </c>
      <c r="S18" s="4">
        <f t="shared" si="5"/>
        <v>-2.991176776411059E-3</v>
      </c>
      <c r="T18" s="82"/>
      <c r="U18" s="4">
        <f t="shared" si="1"/>
        <v>454</v>
      </c>
      <c r="V18" s="2">
        <f t="shared" si="3"/>
        <v>817.67562596006144</v>
      </c>
      <c r="Y18" s="4">
        <f t="shared" si="2"/>
        <v>454</v>
      </c>
    </row>
    <row r="19" spans="1:25" x14ac:dyDescent="0.3">
      <c r="A19" s="6">
        <v>44743</v>
      </c>
      <c r="B19" s="2">
        <v>240.83997716129034</v>
      </c>
      <c r="C19" s="2">
        <v>235.88077419354838</v>
      </c>
      <c r="D19" s="2">
        <v>4.9592029677419349</v>
      </c>
      <c r="E19" s="2">
        <v>2605.7096774193546</v>
      </c>
      <c r="F19" s="2">
        <v>7312.3040000000001</v>
      </c>
      <c r="G19" s="3">
        <v>9.7838699299999986E-4</v>
      </c>
      <c r="H19" s="2">
        <v>80777</v>
      </c>
      <c r="I19" s="2">
        <v>153.73529199999999</v>
      </c>
      <c r="J19" s="4">
        <v>1</v>
      </c>
      <c r="K19" s="4">
        <v>1</v>
      </c>
      <c r="L19" s="7">
        <v>5.1551764239999992E-3</v>
      </c>
      <c r="M19" s="7">
        <v>0.43175999999999998</v>
      </c>
      <c r="N19" s="2">
        <v>2.0591278184770632</v>
      </c>
      <c r="O19" s="2">
        <v>69.481681095315508</v>
      </c>
      <c r="P19" s="79"/>
      <c r="Q19" s="4">
        <f t="shared" si="0"/>
        <v>515</v>
      </c>
      <c r="R19" s="19">
        <f t="shared" si="4"/>
        <v>2.1024193195468895E-2</v>
      </c>
      <c r="S19" s="4">
        <f t="shared" si="5"/>
        <v>-1.2852630863277323E-3</v>
      </c>
      <c r="T19" s="82"/>
      <c r="U19" s="4">
        <f t="shared" si="1"/>
        <v>485</v>
      </c>
      <c r="V19" s="2">
        <f t="shared" si="3"/>
        <v>1039.7562592933948</v>
      </c>
      <c r="Y19" s="4">
        <f t="shared" si="2"/>
        <v>485</v>
      </c>
    </row>
    <row r="20" spans="1:25" x14ac:dyDescent="0.3">
      <c r="A20" s="6">
        <v>44774</v>
      </c>
      <c r="B20" s="2">
        <v>260.07641261290303</v>
      </c>
      <c r="C20" s="2">
        <v>253.82232258064499</v>
      </c>
      <c r="D20" s="2">
        <v>6.2540900322580599</v>
      </c>
      <c r="E20" s="2">
        <v>2767.1290322580599</v>
      </c>
      <c r="F20" s="2">
        <v>7868.4920000000002</v>
      </c>
      <c r="G20" s="3">
        <v>1.052804998E-3</v>
      </c>
      <c r="H20" s="2">
        <v>85781</v>
      </c>
      <c r="I20" s="2">
        <v>193.876791</v>
      </c>
      <c r="J20" s="4">
        <v>1</v>
      </c>
      <c r="K20" s="4">
        <v>1</v>
      </c>
      <c r="L20" s="7">
        <v>6.2079814219999988E-3</v>
      </c>
      <c r="M20" s="7">
        <v>0.51754100000000003</v>
      </c>
      <c r="N20" s="2">
        <v>2.4047125109983076</v>
      </c>
      <c r="O20" s="2">
        <v>68.570360597685038</v>
      </c>
      <c r="P20" s="79"/>
      <c r="Q20" s="4">
        <f t="shared" si="0"/>
        <v>546</v>
      </c>
      <c r="R20" s="19">
        <f t="shared" si="4"/>
        <v>2.4639637556980423E-2</v>
      </c>
      <c r="S20" s="4">
        <f t="shared" si="5"/>
        <v>1.2050093403859808E-3</v>
      </c>
      <c r="T20" s="82"/>
      <c r="U20" s="4">
        <f t="shared" si="1"/>
        <v>515</v>
      </c>
      <c r="V20" s="2">
        <f t="shared" si="3"/>
        <v>1275.6370334869432</v>
      </c>
      <c r="Y20" s="4">
        <f t="shared" si="2"/>
        <v>515</v>
      </c>
    </row>
    <row r="21" spans="1:25" x14ac:dyDescent="0.3">
      <c r="A21" s="6">
        <v>44805</v>
      </c>
      <c r="B21" s="2">
        <v>277.99203899999998</v>
      </c>
      <c r="C21" s="2">
        <v>253.70376666666601</v>
      </c>
      <c r="D21" s="2">
        <v>24.2882723333333</v>
      </c>
      <c r="E21" s="2">
        <v>2066.2333333333299</v>
      </c>
      <c r="F21" s="2">
        <v>7611.1130000000003</v>
      </c>
      <c r="G21" s="3">
        <v>1.018367662E-3</v>
      </c>
      <c r="H21" s="2">
        <v>61987</v>
      </c>
      <c r="I21" s="2">
        <v>728.64817000000005</v>
      </c>
      <c r="J21" s="4">
        <v>1</v>
      </c>
      <c r="K21" s="4">
        <v>1</v>
      </c>
      <c r="L21" s="7">
        <v>7.2263490839999988E-3</v>
      </c>
      <c r="M21" s="7">
        <v>0.57952800000000004</v>
      </c>
      <c r="N21" s="2">
        <v>8.7370388089902598</v>
      </c>
      <c r="O21" s="2">
        <v>51.225863103070466</v>
      </c>
      <c r="P21" s="79"/>
      <c r="Q21" s="4">
        <f t="shared" si="0"/>
        <v>577</v>
      </c>
      <c r="R21" s="19">
        <f t="shared" si="4"/>
        <v>9.5734772299399695E-2</v>
      </c>
      <c r="S21" s="4">
        <f t="shared" si="5"/>
        <v>1.0489554052297704E-3</v>
      </c>
      <c r="T21" s="82"/>
      <c r="U21" s="4">
        <f t="shared" si="1"/>
        <v>546</v>
      </c>
      <c r="V21" s="2">
        <f t="shared" si="3"/>
        <v>1529.4593560675883</v>
      </c>
      <c r="Y21" s="4">
        <f t="shared" si="2"/>
        <v>546</v>
      </c>
    </row>
    <row r="22" spans="1:25" x14ac:dyDescent="0.3">
      <c r="A22" s="6">
        <v>44835</v>
      </c>
      <c r="B22" s="2">
        <v>288.96739190322501</v>
      </c>
      <c r="C22" s="2">
        <v>265.442322580645</v>
      </c>
      <c r="D22" s="2">
        <v>23.525069322580599</v>
      </c>
      <c r="E22" s="2">
        <v>2060.8709677419301</v>
      </c>
      <c r="F22" s="2">
        <v>8228.7119999999995</v>
      </c>
      <c r="G22" s="3">
        <v>1.1010024659999899E-3</v>
      </c>
      <c r="H22" s="2">
        <v>63887</v>
      </c>
      <c r="I22" s="2">
        <v>729.27714900000001</v>
      </c>
      <c r="J22" s="4">
        <v>1</v>
      </c>
      <c r="K22" s="4">
        <v>1</v>
      </c>
      <c r="L22" s="7">
        <v>8.3273515499999885E-3</v>
      </c>
      <c r="M22" s="7">
        <v>0.64341500000000007</v>
      </c>
      <c r="N22" s="2">
        <v>8.1410809599095231</v>
      </c>
      <c r="O22" s="2">
        <v>48.833456876361694</v>
      </c>
      <c r="P22" s="79"/>
      <c r="Q22" s="4">
        <f t="shared" si="0"/>
        <v>607</v>
      </c>
      <c r="R22" s="19">
        <f t="shared" si="4"/>
        <v>8.8625917275996419E-2</v>
      </c>
      <c r="S22" s="4">
        <f t="shared" si="5"/>
        <v>-7.3625129245896888E-4</v>
      </c>
      <c r="T22" s="82"/>
      <c r="U22" s="4">
        <f t="shared" si="1"/>
        <v>577</v>
      </c>
      <c r="V22" s="2">
        <f t="shared" si="3"/>
        <v>1783.1631227342543</v>
      </c>
      <c r="Y22" s="4">
        <f t="shared" si="2"/>
        <v>577</v>
      </c>
    </row>
    <row r="23" spans="1:25" x14ac:dyDescent="0.3">
      <c r="A23" s="6">
        <v>44866</v>
      </c>
      <c r="B23" s="2">
        <v>261.00562853333332</v>
      </c>
      <c r="C23" s="2">
        <v>248.38200000000001</v>
      </c>
      <c r="D23" s="2">
        <v>12.623628533333335</v>
      </c>
      <c r="E23" s="2">
        <v>1965.3</v>
      </c>
      <c r="F23" s="2">
        <v>7451.46</v>
      </c>
      <c r="G23" s="3">
        <v>9.9700607600000006E-4</v>
      </c>
      <c r="H23" s="2">
        <v>58959</v>
      </c>
      <c r="I23" s="2">
        <v>378.70885600000003</v>
      </c>
      <c r="J23" s="4">
        <v>1</v>
      </c>
      <c r="K23" s="4">
        <v>1</v>
      </c>
      <c r="L23" s="7">
        <v>9.3243576259999881E-3</v>
      </c>
      <c r="M23" s="7">
        <v>0.70237400000000005</v>
      </c>
      <c r="N23" s="2">
        <v>4.8365349836588507</v>
      </c>
      <c r="O23" s="2">
        <v>49.767470831219647</v>
      </c>
      <c r="P23" s="79"/>
      <c r="Q23" s="4">
        <f t="shared" si="0"/>
        <v>638</v>
      </c>
      <c r="R23" s="19">
        <f t="shared" si="4"/>
        <v>5.0823443459402595E-2</v>
      </c>
      <c r="S23" s="4">
        <f t="shared" si="5"/>
        <v>-1.304491409993563E-3</v>
      </c>
      <c r="T23" s="82"/>
      <c r="U23" s="4">
        <f t="shared" si="1"/>
        <v>607</v>
      </c>
      <c r="V23" s="2">
        <f t="shared" si="3"/>
        <v>2048.6054453148995</v>
      </c>
      <c r="Y23" s="4">
        <f t="shared" si="2"/>
        <v>607</v>
      </c>
    </row>
    <row r="24" spans="1:25" x14ac:dyDescent="0.3">
      <c r="A24" s="6">
        <v>44896</v>
      </c>
      <c r="B24" s="2">
        <v>229.56885380645159</v>
      </c>
      <c r="C24" s="2">
        <v>227.50945161290321</v>
      </c>
      <c r="D24" s="2">
        <v>2.0594021935483871</v>
      </c>
      <c r="E24" s="2">
        <v>1808.4516129032259</v>
      </c>
      <c r="F24" s="2">
        <v>7052.7929999999997</v>
      </c>
      <c r="G24" s="3">
        <v>9.4366439000000005E-4</v>
      </c>
      <c r="H24" s="2">
        <v>56062</v>
      </c>
      <c r="I24" s="2">
        <v>63.841467999999999</v>
      </c>
      <c r="J24" s="4">
        <v>1</v>
      </c>
      <c r="K24" s="4">
        <v>1</v>
      </c>
      <c r="L24" s="7">
        <v>1.0268022015999988E-2</v>
      </c>
      <c r="M24" s="7">
        <v>0.75843600000000011</v>
      </c>
      <c r="N24" s="2">
        <v>0.89707386668605271</v>
      </c>
      <c r="O24" s="2">
        <v>49.997039130455121</v>
      </c>
      <c r="P24" s="79"/>
      <c r="Q24" s="4">
        <f t="shared" si="0"/>
        <v>668</v>
      </c>
      <c r="R24" s="19">
        <f t="shared" si="4"/>
        <v>9.0519412663890748E-3</v>
      </c>
      <c r="S24" s="4">
        <f t="shared" si="5"/>
        <v>-3.7149072622281076E-4</v>
      </c>
      <c r="T24" s="82"/>
      <c r="U24" s="4">
        <f t="shared" si="1"/>
        <v>638</v>
      </c>
      <c r="V24" s="2">
        <f t="shared" si="3"/>
        <v>2296.9874453148996</v>
      </c>
      <c r="Y24" s="4">
        <f t="shared" si="2"/>
        <v>638</v>
      </c>
    </row>
    <row r="25" spans="1:25" x14ac:dyDescent="0.3">
      <c r="A25" s="6">
        <v>44927</v>
      </c>
      <c r="B25" s="2">
        <v>132.207204903225</v>
      </c>
      <c r="C25" s="2">
        <v>128.58590322580599</v>
      </c>
      <c r="D25" s="2">
        <v>3.6213016774193498</v>
      </c>
      <c r="E25" s="2">
        <v>2256.0645161290299</v>
      </c>
      <c r="F25" s="2">
        <v>3986.163</v>
      </c>
      <c r="G25" s="3">
        <v>5.3334899800000003E-4</v>
      </c>
      <c r="H25" s="2">
        <v>69938</v>
      </c>
      <c r="I25" s="2">
        <v>112.260352</v>
      </c>
      <c r="J25" s="4">
        <v>1</v>
      </c>
      <c r="K25" s="4">
        <v>1</v>
      </c>
      <c r="L25" s="7">
        <v>1.0801371013999988E-2</v>
      </c>
      <c r="M25" s="7">
        <v>0.82837400000000017</v>
      </c>
      <c r="N25" s="2">
        <v>2.7391106861915029</v>
      </c>
      <c r="O25" s="2">
        <v>110.35575624980714</v>
      </c>
      <c r="P25" s="79"/>
      <c r="Q25" s="4">
        <f t="shared" si="0"/>
        <v>699</v>
      </c>
      <c r="R25" s="19">
        <f t="shared" si="4"/>
        <v>2.8162509159811139E-2</v>
      </c>
      <c r="S25" s="4">
        <f t="shared" si="5"/>
        <v>5.6572804846211956E-4</v>
      </c>
      <c r="T25" s="82"/>
      <c r="U25" s="4">
        <f t="shared" si="1"/>
        <v>668</v>
      </c>
      <c r="V25" s="2">
        <f t="shared" si="3"/>
        <v>2524.4968969278029</v>
      </c>
      <c r="Y25" s="4">
        <f t="shared" si="2"/>
        <v>668</v>
      </c>
    </row>
    <row r="26" spans="1:25" x14ac:dyDescent="0.3">
      <c r="A26" s="6">
        <v>44958</v>
      </c>
      <c r="B26" s="2">
        <v>98.965385178571395</v>
      </c>
      <c r="C26" s="2">
        <v>94.782892857142798</v>
      </c>
      <c r="D26" s="2">
        <v>4.1824923214285699</v>
      </c>
      <c r="E26" s="2">
        <v>2368.25</v>
      </c>
      <c r="F26" s="2">
        <v>2653.9209999999998</v>
      </c>
      <c r="G26" s="3">
        <v>3.5509488700000001E-4</v>
      </c>
      <c r="H26" s="2">
        <v>66311</v>
      </c>
      <c r="I26" s="2">
        <v>117.109785</v>
      </c>
      <c r="J26" s="4">
        <v>1</v>
      </c>
      <c r="K26" s="4">
        <v>1</v>
      </c>
      <c r="L26" s="7">
        <v>1.1156465900999987E-2</v>
      </c>
      <c r="M26" s="7">
        <v>0.89468500000000017</v>
      </c>
      <c r="N26" s="2">
        <v>4.2262173929619475</v>
      </c>
      <c r="O26" s="2">
        <v>157.15725064913386</v>
      </c>
      <c r="P26" s="79"/>
      <c r="Q26" s="4">
        <f t="shared" si="0"/>
        <v>730</v>
      </c>
      <c r="R26" s="19">
        <f t="shared" si="4"/>
        <v>4.4127080271040481E-2</v>
      </c>
      <c r="S26" s="4">
        <f t="shared" si="5"/>
        <v>2.3087044880179376E-4</v>
      </c>
      <c r="T26" s="82"/>
      <c r="U26" s="4">
        <f t="shared" si="1"/>
        <v>699</v>
      </c>
      <c r="V26" s="2">
        <f t="shared" si="3"/>
        <v>2653.0828001536088</v>
      </c>
      <c r="Y26" s="4">
        <f t="shared" si="2"/>
        <v>699</v>
      </c>
    </row>
    <row r="27" spans="1:25" x14ac:dyDescent="0.3">
      <c r="A27" s="6">
        <v>44986</v>
      </c>
      <c r="B27" s="2">
        <v>105.66739816129</v>
      </c>
      <c r="C27" s="2">
        <v>101.42929032258</v>
      </c>
      <c r="D27" s="2">
        <v>4.23810783870967</v>
      </c>
      <c r="E27" s="2">
        <v>2432.6451612903202</v>
      </c>
      <c r="F27" s="2">
        <v>3144.308</v>
      </c>
      <c r="G27" s="3">
        <v>4.2070871499999898E-4</v>
      </c>
      <c r="H27" s="2">
        <v>75412</v>
      </c>
      <c r="I27" s="2">
        <v>131.38134299999999</v>
      </c>
      <c r="J27" s="4">
        <v>1</v>
      </c>
      <c r="K27" s="4">
        <v>1</v>
      </c>
      <c r="L27" s="7">
        <v>1.1577174615999986E-2</v>
      </c>
      <c r="M27" s="7">
        <v>0.97009700000000021</v>
      </c>
      <c r="N27" s="2">
        <v>4.0107998421998099</v>
      </c>
      <c r="O27" s="2">
        <v>150.8523966481655</v>
      </c>
      <c r="P27" s="79"/>
      <c r="Q27" s="4">
        <f t="shared" si="0"/>
        <v>758</v>
      </c>
      <c r="R27" s="19">
        <f t="shared" si="4"/>
        <v>4.1783865639116971E-2</v>
      </c>
      <c r="S27" s="4">
        <f t="shared" si="5"/>
        <v>-3.4270665619361829E-4</v>
      </c>
      <c r="T27" s="82"/>
      <c r="U27" s="4">
        <f t="shared" si="1"/>
        <v>730</v>
      </c>
      <c r="V27" s="2">
        <f t="shared" si="3"/>
        <v>2747.8656930107518</v>
      </c>
      <c r="Y27" s="4">
        <f t="shared" si="2"/>
        <v>730</v>
      </c>
    </row>
    <row r="28" spans="1:25" x14ac:dyDescent="0.3">
      <c r="A28" s="6">
        <v>45017</v>
      </c>
      <c r="B28" s="2">
        <v>11.843741533333301</v>
      </c>
      <c r="C28" s="2">
        <v>11.5672</v>
      </c>
      <c r="D28" s="2">
        <v>0.27654153333333298</v>
      </c>
      <c r="E28" s="2">
        <v>287.33333333333297</v>
      </c>
      <c r="F28" s="2">
        <v>347.01600000000002</v>
      </c>
      <c r="G28" s="3">
        <v>4.6430774999999899E-5</v>
      </c>
      <c r="H28" s="2">
        <v>8620</v>
      </c>
      <c r="I28" s="2">
        <v>8.296246</v>
      </c>
      <c r="J28" s="4">
        <v>1</v>
      </c>
      <c r="K28" s="4">
        <v>1</v>
      </c>
      <c r="L28" s="7">
        <v>1.1623605390999986E-2</v>
      </c>
      <c r="M28" s="7">
        <v>0.97871700000000017</v>
      </c>
      <c r="N28" s="2">
        <v>2.3349169901675721</v>
      </c>
      <c r="O28" s="2">
        <v>156.24085344767963</v>
      </c>
      <c r="P28" s="80"/>
      <c r="Q28" s="4">
        <f t="shared" si="0"/>
        <v>789</v>
      </c>
      <c r="R28" s="19">
        <f t="shared" si="4"/>
        <v>2.3907387555617002E-2</v>
      </c>
      <c r="S28" s="4">
        <f>(R29-R27)/(Q29-Q27)</f>
        <v>5.5123833296988087E-5</v>
      </c>
      <c r="T28" s="83"/>
      <c r="U28" s="4">
        <f t="shared" si="1"/>
        <v>758</v>
      </c>
      <c r="V28" s="2">
        <f t="shared" si="3"/>
        <v>2849.2949833333319</v>
      </c>
      <c r="Y28" s="4">
        <f t="shared" si="2"/>
        <v>758</v>
      </c>
    </row>
    <row r="29" spans="1:25" x14ac:dyDescent="0.3">
      <c r="A29" s="6">
        <v>45047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3">
        <v>0</v>
      </c>
      <c r="H29" s="2">
        <v>0</v>
      </c>
      <c r="I29" s="2">
        <v>0</v>
      </c>
      <c r="J29" s="4">
        <v>1</v>
      </c>
      <c r="K29" s="4">
        <v>1</v>
      </c>
      <c r="L29" s="7">
        <v>1.1623605390999986E-2</v>
      </c>
      <c r="M29" s="7">
        <v>0.97871700000000017</v>
      </c>
      <c r="N29" s="2">
        <v>0</v>
      </c>
      <c r="O29" s="2"/>
      <c r="R29" s="19"/>
      <c r="T29" s="39"/>
      <c r="U29" s="4">
        <f t="shared" si="1"/>
        <v>789</v>
      </c>
      <c r="V29" s="2">
        <f t="shared" si="3"/>
        <v>2860.8621833333318</v>
      </c>
      <c r="Y29" s="4">
        <f>U29</f>
        <v>789</v>
      </c>
    </row>
    <row r="30" spans="1:25" x14ac:dyDescent="0.3">
      <c r="A30" s="6">
        <v>45078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3">
        <v>0</v>
      </c>
      <c r="H30" s="2">
        <v>0</v>
      </c>
      <c r="I30" s="2">
        <v>0</v>
      </c>
      <c r="J30" s="4">
        <v>1</v>
      </c>
      <c r="K30" s="4">
        <v>1</v>
      </c>
      <c r="L30" s="7">
        <v>1.1623605390999986E-2</v>
      </c>
      <c r="M30" s="7">
        <v>0.97871700000000017</v>
      </c>
      <c r="N30" s="2">
        <v>0</v>
      </c>
      <c r="O30" s="2"/>
      <c r="R30" s="19"/>
      <c r="V30" s="2"/>
    </row>
    <row r="31" spans="1:25" x14ac:dyDescent="0.3">
      <c r="A31" s="6">
        <v>45108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3">
        <v>0</v>
      </c>
      <c r="H31" s="2">
        <v>0</v>
      </c>
      <c r="I31" s="2">
        <v>0</v>
      </c>
      <c r="J31" s="4">
        <v>1</v>
      </c>
      <c r="K31" s="4">
        <v>1</v>
      </c>
      <c r="L31" s="7">
        <v>1.1623605390999986E-2</v>
      </c>
      <c r="M31" s="7">
        <v>0.97871700000000017</v>
      </c>
      <c r="N31" s="2">
        <v>0</v>
      </c>
      <c r="O31" s="2"/>
      <c r="R31" s="19"/>
      <c r="V31" s="2"/>
    </row>
    <row r="32" spans="1:25" x14ac:dyDescent="0.3">
      <c r="A32" s="6">
        <v>45139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3">
        <v>0</v>
      </c>
      <c r="H32" s="2">
        <v>0</v>
      </c>
      <c r="I32" s="2">
        <v>0</v>
      </c>
      <c r="J32" s="4">
        <v>1</v>
      </c>
      <c r="K32" s="4">
        <v>1</v>
      </c>
      <c r="L32" s="7">
        <v>1.1623605390999986E-2</v>
      </c>
      <c r="M32" s="7">
        <v>0.97871700000000017</v>
      </c>
      <c r="N32" s="2">
        <v>0</v>
      </c>
      <c r="O32" s="2"/>
      <c r="R32" s="19"/>
      <c r="V32" s="2"/>
    </row>
    <row r="33" spans="1:22" x14ac:dyDescent="0.3">
      <c r="A33" s="6">
        <v>45170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3">
        <v>0</v>
      </c>
      <c r="H33" s="2">
        <v>0</v>
      </c>
      <c r="I33" s="2">
        <v>0</v>
      </c>
      <c r="J33" s="4">
        <v>1</v>
      </c>
      <c r="K33" s="4">
        <v>1</v>
      </c>
      <c r="L33" s="7">
        <v>1.1623605390999986E-2</v>
      </c>
      <c r="M33" s="7">
        <v>0.97871700000000017</v>
      </c>
      <c r="N33" s="2">
        <v>0</v>
      </c>
      <c r="O33" s="2"/>
      <c r="R33" s="19"/>
      <c r="V33" s="2"/>
    </row>
    <row r="34" spans="1:22" x14ac:dyDescent="0.3">
      <c r="A34" s="6">
        <v>45200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3">
        <v>0</v>
      </c>
      <c r="H34" s="2">
        <v>0</v>
      </c>
      <c r="I34" s="2">
        <v>0</v>
      </c>
      <c r="J34" s="4">
        <v>1</v>
      </c>
      <c r="K34" s="4">
        <v>1</v>
      </c>
      <c r="L34" s="7">
        <v>1.1623605390999986E-2</v>
      </c>
      <c r="M34" s="7">
        <v>0.97871700000000017</v>
      </c>
      <c r="N34" s="2">
        <v>0</v>
      </c>
      <c r="O34" s="2"/>
      <c r="R34" s="19"/>
      <c r="V34" s="2"/>
    </row>
    <row r="35" spans="1:22" x14ac:dyDescent="0.3">
      <c r="A35" s="6">
        <v>45231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3">
        <v>0</v>
      </c>
      <c r="H35" s="2">
        <v>0</v>
      </c>
      <c r="I35" s="2">
        <v>0</v>
      </c>
      <c r="J35" s="4">
        <v>1</v>
      </c>
      <c r="K35" s="4">
        <v>1</v>
      </c>
      <c r="L35" s="7">
        <v>1.1623605390999986E-2</v>
      </c>
      <c r="M35" s="7">
        <v>0.97871700000000017</v>
      </c>
      <c r="N35" s="2">
        <v>0</v>
      </c>
      <c r="O35" s="2"/>
      <c r="R35" s="19"/>
      <c r="V35" s="2"/>
    </row>
    <row r="36" spans="1:22" x14ac:dyDescent="0.3">
      <c r="A36" s="6">
        <v>45261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3">
        <v>0</v>
      </c>
      <c r="H36" s="2">
        <v>0</v>
      </c>
      <c r="I36" s="2">
        <v>0</v>
      </c>
      <c r="J36" s="4">
        <v>1</v>
      </c>
      <c r="K36" s="4">
        <v>1</v>
      </c>
      <c r="L36" s="7">
        <v>1.1623605390999986E-2</v>
      </c>
      <c r="M36" s="7">
        <v>0.97871700000000017</v>
      </c>
      <c r="N36" s="2">
        <v>0</v>
      </c>
      <c r="O36" s="2"/>
      <c r="R36" s="19"/>
      <c r="V36" s="2"/>
    </row>
    <row r="37" spans="1:22" x14ac:dyDescent="0.3">
      <c r="A37" s="6">
        <v>45292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3">
        <v>0</v>
      </c>
      <c r="H37" s="2">
        <v>0</v>
      </c>
      <c r="I37" s="2">
        <v>0</v>
      </c>
      <c r="J37" s="4">
        <v>1</v>
      </c>
      <c r="K37" s="4">
        <v>1</v>
      </c>
      <c r="L37" s="7">
        <v>1.1623605390999986E-2</v>
      </c>
      <c r="M37" s="7">
        <v>0.97871700000000017</v>
      </c>
      <c r="N37" s="2">
        <v>0</v>
      </c>
      <c r="O37" s="2"/>
      <c r="R37" s="19"/>
      <c r="V37" s="2"/>
    </row>
    <row r="38" spans="1:22" x14ac:dyDescent="0.3">
      <c r="A38" s="6">
        <v>45323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3">
        <v>0</v>
      </c>
      <c r="H38" s="2">
        <v>0</v>
      </c>
      <c r="I38" s="2">
        <v>0</v>
      </c>
      <c r="J38" s="4">
        <v>1</v>
      </c>
      <c r="K38" s="4">
        <v>1</v>
      </c>
      <c r="L38" s="7">
        <v>1.1623605390999986E-2</v>
      </c>
      <c r="M38" s="7">
        <v>0.97871700000000017</v>
      </c>
      <c r="N38" s="2">
        <v>0</v>
      </c>
      <c r="O38" s="2"/>
      <c r="R38" s="19"/>
      <c r="V38" s="2"/>
    </row>
    <row r="39" spans="1:22" x14ac:dyDescent="0.3">
      <c r="A39" s="6">
        <v>45352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3">
        <v>0</v>
      </c>
      <c r="H39" s="2">
        <v>0</v>
      </c>
      <c r="I39" s="2">
        <v>0</v>
      </c>
      <c r="J39" s="4">
        <v>1</v>
      </c>
      <c r="K39" s="4">
        <v>1</v>
      </c>
      <c r="L39" s="7">
        <v>1.1623605390999986E-2</v>
      </c>
      <c r="M39" s="7">
        <v>0.97871700000000017</v>
      </c>
      <c r="N39" s="2">
        <v>0</v>
      </c>
      <c r="O39" s="2"/>
      <c r="R39" s="19"/>
      <c r="V39" s="2"/>
    </row>
    <row r="40" spans="1:22" x14ac:dyDescent="0.3">
      <c r="A40" s="6">
        <v>45383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3">
        <v>0</v>
      </c>
      <c r="H40" s="2">
        <v>0</v>
      </c>
      <c r="I40" s="2">
        <v>0</v>
      </c>
      <c r="J40" s="4">
        <v>1</v>
      </c>
      <c r="K40" s="4">
        <v>1</v>
      </c>
      <c r="L40" s="7">
        <v>1.1623605390999986E-2</v>
      </c>
      <c r="M40" s="7">
        <v>0.97871700000000017</v>
      </c>
      <c r="N40" s="2">
        <v>0</v>
      </c>
      <c r="O40" s="2"/>
      <c r="R40" s="19"/>
      <c r="V40" s="2"/>
    </row>
    <row r="41" spans="1:22" x14ac:dyDescent="0.3">
      <c r="A41" s="6">
        <v>45413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3">
        <v>0</v>
      </c>
      <c r="H41" s="2">
        <v>0</v>
      </c>
      <c r="I41" s="2">
        <v>0</v>
      </c>
      <c r="J41" s="4">
        <v>1</v>
      </c>
      <c r="K41" s="4">
        <v>1</v>
      </c>
      <c r="L41" s="7">
        <v>1.1623605390999986E-2</v>
      </c>
      <c r="M41" s="7">
        <v>0.97871700000000017</v>
      </c>
      <c r="N41" s="2">
        <v>0</v>
      </c>
      <c r="O41" s="2"/>
      <c r="R41" s="19"/>
      <c r="V41" s="2"/>
    </row>
    <row r="42" spans="1:22" x14ac:dyDescent="0.3">
      <c r="A42" s="6">
        <v>45444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3">
        <v>0</v>
      </c>
      <c r="H42" s="2">
        <v>0</v>
      </c>
      <c r="I42" s="2">
        <v>0</v>
      </c>
      <c r="J42" s="4">
        <v>1</v>
      </c>
      <c r="K42" s="4">
        <v>1</v>
      </c>
      <c r="L42" s="7">
        <v>1.1623605390999986E-2</v>
      </c>
      <c r="M42" s="7">
        <v>0.97871700000000017</v>
      </c>
      <c r="N42" s="2">
        <v>0</v>
      </c>
      <c r="O42" s="2"/>
      <c r="R42" s="19"/>
      <c r="V42" s="2"/>
    </row>
    <row r="43" spans="1:22" x14ac:dyDescent="0.3">
      <c r="A43" s="6">
        <v>45474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3">
        <v>0</v>
      </c>
      <c r="H43" s="2">
        <v>0</v>
      </c>
      <c r="I43" s="2">
        <v>0</v>
      </c>
      <c r="J43" s="4">
        <v>1</v>
      </c>
      <c r="K43" s="4">
        <v>1</v>
      </c>
      <c r="L43" s="7">
        <v>1.1623605390999986E-2</v>
      </c>
      <c r="M43" s="7">
        <v>0.97871700000000017</v>
      </c>
      <c r="N43" s="2">
        <v>0</v>
      </c>
      <c r="O43" s="2"/>
      <c r="R43" s="19"/>
      <c r="V43" s="2"/>
    </row>
    <row r="44" spans="1:22" x14ac:dyDescent="0.3">
      <c r="A44" s="6">
        <v>45505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3">
        <v>0</v>
      </c>
      <c r="H44" s="2">
        <v>0</v>
      </c>
      <c r="I44" s="2">
        <v>0</v>
      </c>
      <c r="J44" s="4">
        <v>1</v>
      </c>
      <c r="K44" s="4">
        <v>1</v>
      </c>
      <c r="L44" s="7">
        <v>1.1623605390999986E-2</v>
      </c>
      <c r="M44" s="7">
        <v>0.97871700000000017</v>
      </c>
      <c r="N44" s="2">
        <v>0</v>
      </c>
      <c r="O44" s="2"/>
      <c r="R44" s="19"/>
      <c r="V44" s="2"/>
    </row>
    <row r="45" spans="1:22" x14ac:dyDescent="0.3">
      <c r="A45" s="6">
        <v>45536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3">
        <v>0</v>
      </c>
      <c r="H45" s="2">
        <v>0</v>
      </c>
      <c r="I45" s="2">
        <v>0</v>
      </c>
      <c r="J45" s="4">
        <v>1</v>
      </c>
      <c r="K45" s="4">
        <v>1</v>
      </c>
      <c r="L45" s="7">
        <v>1.1623605390999986E-2</v>
      </c>
      <c r="M45" s="7">
        <v>0.97871700000000017</v>
      </c>
      <c r="N45" s="2">
        <v>0</v>
      </c>
      <c r="O45" s="2"/>
      <c r="R45" s="19"/>
      <c r="V45" s="2"/>
    </row>
    <row r="46" spans="1:22" x14ac:dyDescent="0.3">
      <c r="A46" s="6">
        <v>45566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3">
        <v>0</v>
      </c>
      <c r="H46" s="2">
        <v>0</v>
      </c>
      <c r="I46" s="2">
        <v>0</v>
      </c>
      <c r="J46" s="4">
        <v>1</v>
      </c>
      <c r="K46" s="4">
        <v>1</v>
      </c>
      <c r="L46" s="7">
        <v>1.1623605390999986E-2</v>
      </c>
      <c r="M46" s="7">
        <v>0.97871700000000017</v>
      </c>
      <c r="N46" s="2">
        <v>0</v>
      </c>
      <c r="O46" s="2"/>
      <c r="R46" s="19"/>
      <c r="V46" s="2"/>
    </row>
    <row r="47" spans="1:22" x14ac:dyDescent="0.3">
      <c r="A47" s="6">
        <v>45597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3">
        <v>0</v>
      </c>
      <c r="H47" s="2">
        <v>0</v>
      </c>
      <c r="I47" s="2">
        <v>0</v>
      </c>
      <c r="J47" s="4">
        <v>1</v>
      </c>
      <c r="K47" s="4">
        <v>1</v>
      </c>
      <c r="L47" s="7">
        <v>1.1623605390999986E-2</v>
      </c>
      <c r="M47" s="7">
        <v>0.97871700000000017</v>
      </c>
      <c r="N47" s="2">
        <v>0</v>
      </c>
      <c r="O47" s="2"/>
      <c r="R47" s="19"/>
      <c r="V47" s="2"/>
    </row>
    <row r="48" spans="1:22" x14ac:dyDescent="0.3">
      <c r="A48" s="6">
        <v>45627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3">
        <v>0</v>
      </c>
      <c r="H48" s="2">
        <v>0</v>
      </c>
      <c r="I48" s="2">
        <v>0</v>
      </c>
      <c r="J48" s="4">
        <v>1</v>
      </c>
      <c r="K48" s="4">
        <v>1</v>
      </c>
      <c r="L48" s="7">
        <v>1.1623605390999986E-2</v>
      </c>
      <c r="M48" s="7">
        <v>0.97871700000000017</v>
      </c>
      <c r="N48" s="2">
        <v>0</v>
      </c>
      <c r="O48" s="2"/>
      <c r="R48" s="19"/>
      <c r="V48" s="2"/>
    </row>
    <row r="49" spans="1:22" x14ac:dyDescent="0.3">
      <c r="A49" s="6">
        <v>45658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3">
        <v>0</v>
      </c>
      <c r="H49" s="2">
        <v>0</v>
      </c>
      <c r="I49" s="2">
        <v>0</v>
      </c>
      <c r="J49" s="4">
        <v>1</v>
      </c>
      <c r="K49" s="4">
        <v>1</v>
      </c>
      <c r="L49" s="7">
        <v>1.1623605390999986E-2</v>
      </c>
      <c r="M49" s="7">
        <v>0.97871700000000017</v>
      </c>
      <c r="N49" s="2">
        <v>0</v>
      </c>
      <c r="O49" s="2"/>
      <c r="R49" s="19"/>
      <c r="V49" s="2"/>
    </row>
    <row r="50" spans="1:22" x14ac:dyDescent="0.3">
      <c r="A50" s="6">
        <v>45689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3">
        <v>0</v>
      </c>
      <c r="H50" s="2">
        <v>0</v>
      </c>
      <c r="I50" s="2">
        <v>0</v>
      </c>
      <c r="J50" s="4">
        <v>1</v>
      </c>
      <c r="K50" s="4">
        <v>1</v>
      </c>
      <c r="L50" s="7">
        <v>1.1623605390999986E-2</v>
      </c>
      <c r="M50" s="7">
        <v>0.97871700000000017</v>
      </c>
      <c r="N50" s="2">
        <v>0</v>
      </c>
      <c r="O50" s="2"/>
      <c r="R50" s="19"/>
      <c r="V50" s="2"/>
    </row>
    <row r="51" spans="1:22" x14ac:dyDescent="0.3">
      <c r="A51" s="6">
        <v>45717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3">
        <v>0</v>
      </c>
      <c r="H51" s="2">
        <v>0</v>
      </c>
      <c r="I51" s="2">
        <v>0</v>
      </c>
      <c r="J51" s="4">
        <v>1</v>
      </c>
      <c r="K51" s="4">
        <v>1</v>
      </c>
      <c r="L51" s="7">
        <v>1.1623605390999986E-2</v>
      </c>
      <c r="M51" s="7">
        <v>0.97871700000000017</v>
      </c>
      <c r="N51" s="2">
        <v>0</v>
      </c>
      <c r="O51" s="2"/>
      <c r="R51" s="19"/>
      <c r="V51" s="2"/>
    </row>
    <row r="52" spans="1:22" x14ac:dyDescent="0.3">
      <c r="A52" s="6">
        <v>45748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3">
        <v>0</v>
      </c>
      <c r="H52" s="2">
        <v>0</v>
      </c>
      <c r="I52" s="2">
        <v>0</v>
      </c>
      <c r="J52" s="4">
        <v>1</v>
      </c>
      <c r="K52" s="4">
        <v>1</v>
      </c>
      <c r="L52" s="7">
        <v>1.1623605390999986E-2</v>
      </c>
      <c r="M52" s="7">
        <v>0.97871700000000017</v>
      </c>
      <c r="N52" s="2">
        <v>0</v>
      </c>
      <c r="O52" s="2"/>
      <c r="R52" s="19"/>
      <c r="V52" s="2"/>
    </row>
    <row r="53" spans="1:22" x14ac:dyDescent="0.3">
      <c r="A53" s="6">
        <v>45778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3">
        <v>0</v>
      </c>
      <c r="H53" s="2">
        <v>0</v>
      </c>
      <c r="I53" s="2">
        <v>0</v>
      </c>
      <c r="J53" s="4">
        <v>1</v>
      </c>
      <c r="K53" s="4">
        <v>1</v>
      </c>
      <c r="L53" s="7">
        <v>1.1623605390999986E-2</v>
      </c>
      <c r="M53" s="7">
        <v>0.97871700000000017</v>
      </c>
      <c r="N53" s="2">
        <v>0</v>
      </c>
      <c r="O53" s="2"/>
      <c r="R53" s="19"/>
      <c r="V53" s="2"/>
    </row>
    <row r="54" spans="1:22" x14ac:dyDescent="0.3">
      <c r="A54" s="6">
        <v>45809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3">
        <v>0</v>
      </c>
      <c r="H54" s="2">
        <v>0</v>
      </c>
      <c r="I54" s="2">
        <v>0</v>
      </c>
      <c r="J54" s="4">
        <v>1</v>
      </c>
      <c r="K54" s="4">
        <v>1</v>
      </c>
      <c r="L54" s="7">
        <v>1.1623605390999986E-2</v>
      </c>
      <c r="M54" s="7">
        <v>0.97871700000000017</v>
      </c>
      <c r="N54" s="2">
        <v>0</v>
      </c>
      <c r="O54" s="2"/>
      <c r="R54" s="19"/>
      <c r="V54" s="2"/>
    </row>
    <row r="55" spans="1:22" x14ac:dyDescent="0.3">
      <c r="A55" s="6">
        <v>45839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3">
        <v>0</v>
      </c>
      <c r="H55" s="2">
        <v>0</v>
      </c>
      <c r="I55" s="2">
        <v>0</v>
      </c>
      <c r="J55" s="4">
        <v>1</v>
      </c>
      <c r="K55" s="4">
        <v>1</v>
      </c>
      <c r="L55" s="7">
        <v>1.1623605390999986E-2</v>
      </c>
      <c r="M55" s="7">
        <v>0.97871700000000017</v>
      </c>
      <c r="N55" s="2">
        <v>0</v>
      </c>
      <c r="O55" s="2"/>
      <c r="R55" s="19"/>
      <c r="V55" s="2"/>
    </row>
    <row r="56" spans="1:22" x14ac:dyDescent="0.3">
      <c r="A56" s="6">
        <v>45870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3">
        <v>0</v>
      </c>
      <c r="H56" s="2">
        <v>0</v>
      </c>
      <c r="I56" s="2">
        <v>0</v>
      </c>
      <c r="J56" s="4">
        <v>1</v>
      </c>
      <c r="K56" s="4">
        <v>1</v>
      </c>
      <c r="L56" s="7">
        <v>1.1623605390999986E-2</v>
      </c>
      <c r="M56" s="7">
        <v>0.97871700000000017</v>
      </c>
      <c r="N56" s="2">
        <v>0</v>
      </c>
      <c r="O56" s="2"/>
      <c r="R56" s="19"/>
      <c r="V56" s="2"/>
    </row>
    <row r="57" spans="1:22" x14ac:dyDescent="0.3">
      <c r="A57" s="6">
        <v>45901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3">
        <v>0</v>
      </c>
      <c r="H57" s="2">
        <v>0</v>
      </c>
      <c r="I57" s="2">
        <v>0</v>
      </c>
      <c r="J57" s="4">
        <v>1</v>
      </c>
      <c r="K57" s="4">
        <v>1</v>
      </c>
      <c r="L57" s="7">
        <v>1.1623605390999986E-2</v>
      </c>
      <c r="M57" s="7">
        <v>0.97871700000000017</v>
      </c>
      <c r="N57" s="2">
        <v>0</v>
      </c>
      <c r="O57" s="2"/>
      <c r="R57" s="19"/>
      <c r="V57" s="2"/>
    </row>
    <row r="58" spans="1:22" x14ac:dyDescent="0.3">
      <c r="A58" s="6">
        <v>45931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3">
        <v>0</v>
      </c>
      <c r="H58" s="2">
        <v>0</v>
      </c>
      <c r="I58" s="2">
        <v>0</v>
      </c>
      <c r="J58" s="4">
        <v>1</v>
      </c>
      <c r="K58" s="4">
        <v>1</v>
      </c>
      <c r="L58" s="7">
        <v>1.1623605390999986E-2</v>
      </c>
      <c r="M58" s="7">
        <v>0.97871700000000017</v>
      </c>
      <c r="N58" s="2">
        <v>0</v>
      </c>
      <c r="O58" s="2"/>
      <c r="R58" s="19"/>
      <c r="V58" s="2"/>
    </row>
  </sheetData>
  <mergeCells count="4">
    <mergeCell ref="P1:P28"/>
    <mergeCell ref="T1:T28"/>
    <mergeCell ref="U1:W1"/>
    <mergeCell ref="Y1:AB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60F04-6DA1-442D-A2F4-E1B00B1DA384}">
  <dimension ref="A1:F59"/>
  <sheetViews>
    <sheetView workbookViewId="0">
      <selection activeCell="H19" sqref="H19"/>
    </sheetView>
  </sheetViews>
  <sheetFormatPr defaultRowHeight="14.4" x14ac:dyDescent="0.3"/>
  <sheetData>
    <row r="1" spans="1:6" ht="39.6" x14ac:dyDescent="0.3">
      <c r="A1" s="11" t="s">
        <v>0</v>
      </c>
      <c r="B1" s="5" t="s">
        <v>9</v>
      </c>
      <c r="C1" s="5" t="s">
        <v>10</v>
      </c>
      <c r="D1" s="5" t="s">
        <v>11</v>
      </c>
      <c r="E1" s="5" t="s">
        <v>12</v>
      </c>
      <c r="F1" s="5" t="s">
        <v>16</v>
      </c>
    </row>
    <row r="2" spans="1:6" x14ac:dyDescent="0.3">
      <c r="A2" s="6">
        <v>45444</v>
      </c>
      <c r="B2" s="2">
        <v>1621.7809998728098</v>
      </c>
      <c r="C2" s="4">
        <v>1</v>
      </c>
      <c r="D2" s="2">
        <v>340.0226044333333</v>
      </c>
      <c r="E2" s="4">
        <v>1</v>
      </c>
      <c r="F2" s="9">
        <v>1.6217809998728099E-3</v>
      </c>
    </row>
    <row r="3" spans="1:6" x14ac:dyDescent="0.3">
      <c r="A3" s="6">
        <v>45474</v>
      </c>
      <c r="B3" s="2">
        <v>3914.5719999046078</v>
      </c>
      <c r="C3" s="4">
        <v>1</v>
      </c>
      <c r="D3" s="2">
        <v>794.25403112903223</v>
      </c>
      <c r="E3" s="4">
        <v>1</v>
      </c>
      <c r="F3" s="9">
        <v>5.5363529997774176E-3</v>
      </c>
    </row>
    <row r="4" spans="1:6" x14ac:dyDescent="0.3">
      <c r="A4" s="6">
        <v>45505</v>
      </c>
      <c r="B4" s="2">
        <v>4334.2909998728101</v>
      </c>
      <c r="C4" s="4">
        <v>1</v>
      </c>
      <c r="D4" s="2">
        <v>879.41366229032258</v>
      </c>
      <c r="E4" s="4">
        <v>1</v>
      </c>
      <c r="F4" s="9">
        <v>9.8706439996502273E-3</v>
      </c>
    </row>
    <row r="5" spans="1:6" x14ac:dyDescent="0.3">
      <c r="A5" s="6">
        <v>45536</v>
      </c>
      <c r="B5" s="2">
        <v>4269.4309997138225</v>
      </c>
      <c r="C5" s="4">
        <v>1</v>
      </c>
      <c r="D5" s="2">
        <v>895.12890340000001</v>
      </c>
      <c r="E5" s="4">
        <v>1</v>
      </c>
      <c r="F5" s="9">
        <v>1.4140074999364049E-2</v>
      </c>
    </row>
    <row r="6" spans="1:6" x14ac:dyDescent="0.3">
      <c r="A6" s="6">
        <v>45566</v>
      </c>
      <c r="B6" s="2">
        <v>5005.4260000317972</v>
      </c>
      <c r="C6" s="4">
        <v>1</v>
      </c>
      <c r="D6" s="2">
        <v>1015.5847888709677</v>
      </c>
      <c r="E6" s="4">
        <v>1</v>
      </c>
      <c r="F6" s="9">
        <v>1.9145500999395847E-2</v>
      </c>
    </row>
    <row r="7" spans="1:6" x14ac:dyDescent="0.3">
      <c r="A7" s="6">
        <v>45597</v>
      </c>
      <c r="B7" s="2">
        <v>4249.6829999364054</v>
      </c>
      <c r="C7" s="4">
        <v>1</v>
      </c>
      <c r="D7" s="2">
        <v>890.9885377666667</v>
      </c>
      <c r="E7" s="4">
        <v>1</v>
      </c>
      <c r="F7" s="9">
        <v>2.3395183999332252E-2</v>
      </c>
    </row>
    <row r="8" spans="1:6" x14ac:dyDescent="0.3">
      <c r="A8" s="6">
        <v>45627</v>
      </c>
      <c r="B8" s="2">
        <v>3758.3990001271904</v>
      </c>
      <c r="C8" s="4">
        <v>1</v>
      </c>
      <c r="D8" s="2">
        <v>762.5670332580645</v>
      </c>
      <c r="E8" s="4">
        <v>1</v>
      </c>
      <c r="F8" s="9">
        <v>2.7153582999459441E-2</v>
      </c>
    </row>
    <row r="9" spans="1:6" x14ac:dyDescent="0.3">
      <c r="A9" s="6">
        <v>45658</v>
      </c>
      <c r="B9" s="2">
        <v>3872.2890004451651</v>
      </c>
      <c r="C9" s="4">
        <v>1</v>
      </c>
      <c r="D9" s="2">
        <v>785.67494693548383</v>
      </c>
      <c r="E9" s="4">
        <v>1</v>
      </c>
      <c r="F9" s="9">
        <v>3.1025871999904607E-2</v>
      </c>
    </row>
    <row r="10" spans="1:6" x14ac:dyDescent="0.3">
      <c r="A10" s="6">
        <v>45689</v>
      </c>
      <c r="B10" s="2">
        <v>3964.8019997456199</v>
      </c>
      <c r="C10" s="4">
        <v>1</v>
      </c>
      <c r="D10" s="2">
        <v>890.63612921428569</v>
      </c>
      <c r="E10" s="4">
        <v>1</v>
      </c>
      <c r="F10" s="9">
        <v>3.4990673999650224E-2</v>
      </c>
    </row>
    <row r="11" spans="1:6" x14ac:dyDescent="0.3">
      <c r="A11" s="6">
        <v>45717</v>
      </c>
      <c r="B11" s="2">
        <v>4280.2890002861777</v>
      </c>
      <c r="C11" s="4">
        <v>1</v>
      </c>
      <c r="D11" s="2">
        <v>868.45683077419358</v>
      </c>
      <c r="E11" s="4">
        <v>1</v>
      </c>
      <c r="F11" s="9">
        <v>3.9270962999936404E-2</v>
      </c>
    </row>
    <row r="12" spans="1:6" x14ac:dyDescent="0.3">
      <c r="A12" s="6">
        <v>45748</v>
      </c>
      <c r="B12" s="2">
        <v>6192.9740004451651</v>
      </c>
      <c r="C12" s="4">
        <v>1</v>
      </c>
      <c r="D12" s="2">
        <v>1298.4189289333333</v>
      </c>
      <c r="E12" s="4">
        <v>1</v>
      </c>
      <c r="F12" s="9">
        <v>4.5463937000381566E-2</v>
      </c>
    </row>
    <row r="13" spans="1:6" x14ac:dyDescent="0.3">
      <c r="A13" s="6">
        <v>45778</v>
      </c>
      <c r="B13" s="2">
        <v>6833.5769995866322</v>
      </c>
      <c r="C13" s="4">
        <v>1</v>
      </c>
      <c r="D13" s="2">
        <v>1386.5107294193547</v>
      </c>
      <c r="E13" s="4">
        <v>1</v>
      </c>
      <c r="F13" s="9">
        <v>5.2297513999968195E-2</v>
      </c>
    </row>
    <row r="14" spans="1:6" x14ac:dyDescent="0.3">
      <c r="A14" s="6">
        <v>45809</v>
      </c>
      <c r="B14" s="2">
        <v>6697.7309995548358</v>
      </c>
      <c r="C14" s="4">
        <v>1</v>
      </c>
      <c r="D14" s="2">
        <v>1404.2462813666668</v>
      </c>
      <c r="E14" s="4">
        <v>1</v>
      </c>
      <c r="F14" s="9">
        <v>5.8995244999523029E-2</v>
      </c>
    </row>
    <row r="15" spans="1:6" x14ac:dyDescent="0.3">
      <c r="A15" s="6">
        <v>45839</v>
      </c>
      <c r="B15" s="2">
        <v>7012.5979999364054</v>
      </c>
      <c r="C15" s="4">
        <v>1</v>
      </c>
      <c r="D15" s="2">
        <v>1422.8335129032259</v>
      </c>
      <c r="E15" s="4">
        <v>1</v>
      </c>
      <c r="F15" s="9">
        <v>6.6007842999459429E-2</v>
      </c>
    </row>
    <row r="16" spans="1:6" x14ac:dyDescent="0.3">
      <c r="A16" s="6">
        <v>45870</v>
      </c>
      <c r="B16" s="2">
        <v>7031.8469995866326</v>
      </c>
      <c r="C16" s="4">
        <v>1</v>
      </c>
      <c r="D16" s="2">
        <v>1426.7390728387097</v>
      </c>
      <c r="E16" s="4">
        <v>1</v>
      </c>
      <c r="F16" s="9">
        <v>7.3039689999046059E-2</v>
      </c>
    </row>
    <row r="17" spans="1:6" x14ac:dyDescent="0.3">
      <c r="A17" s="6">
        <v>45901</v>
      </c>
      <c r="B17" s="2">
        <v>7220.8870002225831</v>
      </c>
      <c r="C17" s="4">
        <v>1</v>
      </c>
      <c r="D17" s="2">
        <v>1513.9311684666668</v>
      </c>
      <c r="E17" s="4">
        <v>1</v>
      </c>
      <c r="F17" s="9">
        <v>8.026057699926864E-2</v>
      </c>
    </row>
    <row r="18" spans="1:6" x14ac:dyDescent="0.3">
      <c r="A18" s="6">
        <v>45931</v>
      </c>
      <c r="B18" s="2">
        <v>7310.6990002861776</v>
      </c>
      <c r="C18" s="4">
        <v>1</v>
      </c>
      <c r="D18" s="2">
        <v>1483.3172442580644</v>
      </c>
      <c r="E18" s="4">
        <v>1</v>
      </c>
      <c r="F18" s="9">
        <v>8.7571275999554818E-2</v>
      </c>
    </row>
    <row r="19" spans="1:6" x14ac:dyDescent="0.3">
      <c r="F19" s="1"/>
    </row>
    <row r="20" spans="1:6" x14ac:dyDescent="0.3">
      <c r="F20" s="1"/>
    </row>
    <row r="21" spans="1:6" x14ac:dyDescent="0.3">
      <c r="F21" s="1"/>
    </row>
    <row r="22" spans="1:6" x14ac:dyDescent="0.3">
      <c r="F22" s="1"/>
    </row>
    <row r="23" spans="1:6" x14ac:dyDescent="0.3">
      <c r="F23" s="1"/>
    </row>
    <row r="24" spans="1:6" x14ac:dyDescent="0.3">
      <c r="F24" s="1"/>
    </row>
    <row r="25" spans="1:6" x14ac:dyDescent="0.3">
      <c r="F25" s="1"/>
    </row>
    <row r="26" spans="1:6" x14ac:dyDescent="0.3">
      <c r="F26" s="1"/>
    </row>
    <row r="27" spans="1:6" x14ac:dyDescent="0.3">
      <c r="F27" s="1"/>
    </row>
    <row r="28" spans="1:6" x14ac:dyDescent="0.3">
      <c r="F28" s="1"/>
    </row>
    <row r="29" spans="1:6" x14ac:dyDescent="0.3">
      <c r="F29" s="1"/>
    </row>
    <row r="30" spans="1:6" x14ac:dyDescent="0.3">
      <c r="F30" s="1"/>
    </row>
    <row r="31" spans="1:6" x14ac:dyDescent="0.3">
      <c r="F31" s="1"/>
    </row>
    <row r="32" spans="1:6" x14ac:dyDescent="0.3">
      <c r="F32" s="1"/>
    </row>
    <row r="33" spans="6:6" x14ac:dyDescent="0.3">
      <c r="F33" s="1"/>
    </row>
    <row r="34" spans="6:6" x14ac:dyDescent="0.3">
      <c r="F34" s="1"/>
    </row>
    <row r="35" spans="6:6" x14ac:dyDescent="0.3">
      <c r="F35" s="1"/>
    </row>
    <row r="36" spans="6:6" x14ac:dyDescent="0.3">
      <c r="F36" s="1"/>
    </row>
    <row r="37" spans="6:6" x14ac:dyDescent="0.3">
      <c r="F37" s="1"/>
    </row>
    <row r="38" spans="6:6" x14ac:dyDescent="0.3">
      <c r="F38" s="1"/>
    </row>
    <row r="39" spans="6:6" x14ac:dyDescent="0.3">
      <c r="F39" s="1"/>
    </row>
    <row r="40" spans="6:6" x14ac:dyDescent="0.3">
      <c r="F40" s="1"/>
    </row>
    <row r="41" spans="6:6" x14ac:dyDescent="0.3">
      <c r="F41" s="1"/>
    </row>
    <row r="42" spans="6:6" x14ac:dyDescent="0.3">
      <c r="F42" s="1"/>
    </row>
    <row r="43" spans="6:6" x14ac:dyDescent="0.3">
      <c r="F43" s="1"/>
    </row>
    <row r="44" spans="6:6" x14ac:dyDescent="0.3">
      <c r="F44" s="1"/>
    </row>
    <row r="45" spans="6:6" x14ac:dyDescent="0.3">
      <c r="F45" s="1"/>
    </row>
    <row r="46" spans="6:6" x14ac:dyDescent="0.3">
      <c r="F46" s="1"/>
    </row>
    <row r="47" spans="6:6" x14ac:dyDescent="0.3">
      <c r="F47" s="1"/>
    </row>
    <row r="48" spans="6:6" x14ac:dyDescent="0.3">
      <c r="F48" s="1"/>
    </row>
    <row r="49" spans="6:6" x14ac:dyDescent="0.3">
      <c r="F49" s="1"/>
    </row>
    <row r="50" spans="6:6" x14ac:dyDescent="0.3">
      <c r="F50" s="1"/>
    </row>
    <row r="51" spans="6:6" x14ac:dyDescent="0.3">
      <c r="F51" s="1"/>
    </row>
    <row r="52" spans="6:6" x14ac:dyDescent="0.3">
      <c r="F52" s="1"/>
    </row>
    <row r="53" spans="6:6" x14ac:dyDescent="0.3">
      <c r="F53" s="1"/>
    </row>
    <row r="54" spans="6:6" x14ac:dyDescent="0.3">
      <c r="F54" s="1"/>
    </row>
    <row r="55" spans="6:6" x14ac:dyDescent="0.3">
      <c r="F55" s="1"/>
    </row>
    <row r="56" spans="6:6" x14ac:dyDescent="0.3">
      <c r="F56" s="1"/>
    </row>
    <row r="57" spans="6:6" x14ac:dyDescent="0.3">
      <c r="F57" s="1"/>
    </row>
    <row r="58" spans="6:6" x14ac:dyDescent="0.3">
      <c r="F58" s="1"/>
    </row>
    <row r="59" spans="6:6" x14ac:dyDescent="0.3">
      <c r="F59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B16AA-7317-43AD-B460-46502FA07D7E}">
  <dimension ref="A1:AB175"/>
  <sheetViews>
    <sheetView topLeftCell="A12" zoomScale="169" workbookViewId="0">
      <selection activeCell="Y174" sqref="Y174"/>
    </sheetView>
  </sheetViews>
  <sheetFormatPr defaultRowHeight="14.4" x14ac:dyDescent="0.3"/>
  <cols>
    <col min="7" max="7" width="11.21875" bestFit="1" customWidth="1"/>
    <col min="18" max="18" width="11" bestFit="1" customWidth="1"/>
    <col min="21" max="21" width="12" customWidth="1"/>
    <col min="22" max="22" width="20.6640625" customWidth="1"/>
    <col min="23" max="23" width="20.44140625" customWidth="1"/>
    <col min="25" max="25" width="18.44140625" customWidth="1"/>
    <col min="26" max="26" width="40.88671875" customWidth="1"/>
    <col min="27" max="27" width="20.21875" customWidth="1"/>
    <col min="28" max="28" width="18.6640625" customWidth="1"/>
  </cols>
  <sheetData>
    <row r="1" spans="1:28" ht="52.8" x14ac:dyDescent="0.3">
      <c r="A1" s="11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10</v>
      </c>
      <c r="K1" s="5" t="s">
        <v>12</v>
      </c>
      <c r="L1" s="5" t="s">
        <v>13</v>
      </c>
      <c r="M1" s="5" t="s">
        <v>14</v>
      </c>
      <c r="N1" s="5" t="s">
        <v>17</v>
      </c>
      <c r="O1" s="5" t="s">
        <v>18</v>
      </c>
      <c r="P1" s="84" t="s">
        <v>19</v>
      </c>
      <c r="Q1" s="18" t="s">
        <v>20</v>
      </c>
      <c r="R1" s="18" t="s">
        <v>21</v>
      </c>
      <c r="S1" s="18" t="s">
        <v>22</v>
      </c>
      <c r="T1" s="85" t="s">
        <v>58</v>
      </c>
      <c r="U1" s="57" t="s">
        <v>59</v>
      </c>
      <c r="V1" s="57"/>
      <c r="W1" s="57"/>
      <c r="Y1" s="57" t="s">
        <v>29</v>
      </c>
      <c r="Z1" s="57"/>
      <c r="AA1" s="57"/>
      <c r="AB1" s="57"/>
    </row>
    <row r="2" spans="1:28" x14ac:dyDescent="0.3">
      <c r="A2" s="6">
        <v>45261</v>
      </c>
      <c r="B2" s="2">
        <v>56.497949999999996</v>
      </c>
      <c r="C2" s="2">
        <v>56.496935483870963</v>
      </c>
      <c r="D2" s="2">
        <v>1.014516129032258E-3</v>
      </c>
      <c r="E2" s="2">
        <v>0</v>
      </c>
      <c r="F2" s="2">
        <v>1751.405</v>
      </c>
      <c r="G2" s="3">
        <v>2.3433815899999999E-4</v>
      </c>
      <c r="H2" s="2">
        <v>0</v>
      </c>
      <c r="I2" s="2">
        <v>3.1449999999999999E-2</v>
      </c>
      <c r="J2" s="4">
        <v>1</v>
      </c>
      <c r="K2" s="4">
        <v>1</v>
      </c>
      <c r="L2" s="7">
        <v>2.3433815899999999E-4</v>
      </c>
      <c r="M2" s="8">
        <v>0</v>
      </c>
      <c r="N2" s="2">
        <v>1.7956689207878481E-3</v>
      </c>
      <c r="O2" s="2">
        <v>0</v>
      </c>
      <c r="P2" s="84"/>
      <c r="Q2">
        <f>A2-$A$2</f>
        <v>0</v>
      </c>
      <c r="R2">
        <f>D2/C2</f>
        <v>1.7957011656355898E-5</v>
      </c>
      <c r="T2" s="85"/>
      <c r="U2" s="22" t="s">
        <v>60</v>
      </c>
      <c r="V2" s="33" t="s">
        <v>28</v>
      </c>
      <c r="W2" s="33" t="s">
        <v>37</v>
      </c>
      <c r="Y2" s="22" t="s">
        <v>60</v>
      </c>
      <c r="Z2" s="33" t="s">
        <v>61</v>
      </c>
      <c r="AA2" s="33" t="s">
        <v>28</v>
      </c>
      <c r="AB2" s="33" t="s">
        <v>37</v>
      </c>
    </row>
    <row r="3" spans="1:28" x14ac:dyDescent="0.3">
      <c r="A3" s="6">
        <v>45292</v>
      </c>
      <c r="B3" s="2">
        <v>524.28875241935486</v>
      </c>
      <c r="C3" s="2">
        <v>455.64248387096774</v>
      </c>
      <c r="D3" s="2">
        <v>68.646268548387098</v>
      </c>
      <c r="E3" s="2">
        <v>3060.2258064516127</v>
      </c>
      <c r="F3" s="2">
        <v>14124.916999999999</v>
      </c>
      <c r="G3" s="3">
        <v>1.889915272E-3</v>
      </c>
      <c r="H3" s="2">
        <v>94867</v>
      </c>
      <c r="I3" s="2">
        <v>2128.0343250000001</v>
      </c>
      <c r="J3" s="4">
        <v>1</v>
      </c>
      <c r="K3" s="4">
        <v>1</v>
      </c>
      <c r="L3" s="7">
        <v>2.124253431E-3</v>
      </c>
      <c r="M3" s="8">
        <v>9.4867000000000007E-2</v>
      </c>
      <c r="N3" s="2">
        <v>13.093217855926852</v>
      </c>
      <c r="O3" s="2">
        <v>42.244103565351928</v>
      </c>
      <c r="P3" s="84"/>
      <c r="Q3">
        <f t="shared" ref="Q3:Q24" si="0">A3-$A$2</f>
        <v>31</v>
      </c>
      <c r="R3">
        <f t="shared" ref="R3:R24" si="1">D3/C3</f>
        <v>0.15065818262861297</v>
      </c>
      <c r="S3">
        <f>(R4-R2)/(Q4-Q2)</f>
        <v>6.6244279451383552E-3</v>
      </c>
      <c r="T3" s="85"/>
      <c r="U3">
        <f>Q2</f>
        <v>0</v>
      </c>
      <c r="V3" s="21">
        <f>C2</f>
        <v>56.496935483870963</v>
      </c>
      <c r="Y3">
        <f>U3</f>
        <v>0</v>
      </c>
      <c r="Z3">
        <f xml:space="preserve"> 1310.8*EXP(-0.004*Y3)</f>
        <v>1310.8</v>
      </c>
      <c r="AA3">
        <f>Z3</f>
        <v>1310.8</v>
      </c>
    </row>
    <row r="4" spans="1:28" x14ac:dyDescent="0.3">
      <c r="A4" s="6">
        <v>45323</v>
      </c>
      <c r="B4" s="2">
        <v>691.44119627586201</v>
      </c>
      <c r="C4" s="2">
        <v>490.12920689655169</v>
      </c>
      <c r="D4" s="2">
        <v>201.31198937931035</v>
      </c>
      <c r="E4" s="2">
        <v>3393.1379310344828</v>
      </c>
      <c r="F4" s="2">
        <v>14213.746999999999</v>
      </c>
      <c r="G4" s="3">
        <v>1.901800735E-3</v>
      </c>
      <c r="H4" s="2">
        <v>98401</v>
      </c>
      <c r="I4" s="2">
        <v>5838.0476920000001</v>
      </c>
      <c r="J4" s="4">
        <v>1</v>
      </c>
      <c r="K4" s="4">
        <v>1</v>
      </c>
      <c r="L4" s="7">
        <v>4.0260541659999996E-3</v>
      </c>
      <c r="M4" s="8">
        <v>0.193268</v>
      </c>
      <c r="N4" s="2">
        <v>29.114838754703527</v>
      </c>
      <c r="O4" s="2">
        <v>43.543944450397213</v>
      </c>
      <c r="P4" s="84"/>
      <c r="Q4">
        <f t="shared" si="0"/>
        <v>62</v>
      </c>
      <c r="R4">
        <f t="shared" si="1"/>
        <v>0.4107324896102344</v>
      </c>
      <c r="S4">
        <f t="shared" ref="S4:S24" si="2">(R5-R3)/(Q5-Q3)</f>
        <v>1.3923575199329248E-2</v>
      </c>
      <c r="T4" s="85"/>
      <c r="U4">
        <f t="shared" ref="U4:U24" si="3">Q3</f>
        <v>31</v>
      </c>
      <c r="V4" s="21">
        <f>V3+C3</f>
        <v>512.13941935483865</v>
      </c>
      <c r="Y4">
        <f t="shared" ref="Y4:Y25" si="4">U4</f>
        <v>31</v>
      </c>
      <c r="Z4">
        <f t="shared" ref="Z4:Z67" si="5" xml:space="preserve"> 1310.8*EXP(-0.004*Y4)</f>
        <v>1157.9342954291099</v>
      </c>
      <c r="AA4">
        <f>AA3+Z4</f>
        <v>2468.7342954291098</v>
      </c>
    </row>
    <row r="5" spans="1:28" x14ac:dyDescent="0.3">
      <c r="A5" s="6">
        <v>45352</v>
      </c>
      <c r="B5" s="2">
        <v>803.88304012903222</v>
      </c>
      <c r="C5" s="2">
        <v>404.76012903225808</v>
      </c>
      <c r="D5" s="2">
        <v>399.1229110967742</v>
      </c>
      <c r="E5" s="2">
        <v>3254.6129032258063</v>
      </c>
      <c r="F5" s="2">
        <v>12547.564</v>
      </c>
      <c r="G5" s="3">
        <v>1.678865289E-3</v>
      </c>
      <c r="H5" s="2">
        <v>100893</v>
      </c>
      <c r="I5" s="2">
        <v>12372.810244</v>
      </c>
      <c r="J5" s="4">
        <v>1</v>
      </c>
      <c r="K5" s="4">
        <v>1</v>
      </c>
      <c r="L5" s="7">
        <v>5.7049194549999996E-3</v>
      </c>
      <c r="M5" s="8">
        <v>0.29416100000000001</v>
      </c>
      <c r="N5" s="2">
        <v>49.649375739126242</v>
      </c>
      <c r="O5" s="2">
        <v>50.575298233186928</v>
      </c>
      <c r="P5" s="84"/>
      <c r="Q5">
        <f t="shared" si="0"/>
        <v>91</v>
      </c>
      <c r="R5">
        <f t="shared" si="1"/>
        <v>0.98607269458836788</v>
      </c>
      <c r="S5">
        <f t="shared" si="2"/>
        <v>1.2579612710930199E-2</v>
      </c>
      <c r="T5" s="85"/>
      <c r="U5">
        <f t="shared" si="3"/>
        <v>62</v>
      </c>
      <c r="V5" s="21">
        <f t="shared" ref="V5:V25" si="6">V4+C4</f>
        <v>1002.2686262513903</v>
      </c>
      <c r="Y5">
        <f t="shared" si="4"/>
        <v>62</v>
      </c>
      <c r="Z5">
        <f t="shared" si="5"/>
        <v>1022.8958136488473</v>
      </c>
      <c r="AA5">
        <f t="shared" ref="AA5:AA68" si="7">AA4+Z5</f>
        <v>3491.6301090779571</v>
      </c>
    </row>
    <row r="6" spans="1:28" x14ac:dyDescent="0.3">
      <c r="A6" s="6">
        <v>45383</v>
      </c>
      <c r="B6" s="2">
        <v>661.08312753333325</v>
      </c>
      <c r="C6" s="2">
        <v>305.27836666666667</v>
      </c>
      <c r="D6" s="2">
        <v>355.80476086666664</v>
      </c>
      <c r="E6" s="2">
        <v>3764.7</v>
      </c>
      <c r="F6" s="2">
        <v>9158.3510000000006</v>
      </c>
      <c r="G6" s="3">
        <v>1.2253882580000001E-3</v>
      </c>
      <c r="H6" s="2">
        <v>112941</v>
      </c>
      <c r="I6" s="2">
        <v>10674.142825999999</v>
      </c>
      <c r="J6" s="4">
        <v>1</v>
      </c>
      <c r="K6" s="4">
        <v>1</v>
      </c>
      <c r="L6" s="7">
        <v>6.9303077129999995E-3</v>
      </c>
      <c r="M6" s="8">
        <v>0.40710200000000002</v>
      </c>
      <c r="N6" s="2">
        <v>53.821485687323964</v>
      </c>
      <c r="O6" s="2">
        <v>77.565961579764732</v>
      </c>
      <c r="P6" s="84"/>
      <c r="Q6">
        <f t="shared" si="0"/>
        <v>122</v>
      </c>
      <c r="R6">
        <f t="shared" si="1"/>
        <v>1.1655092522660464</v>
      </c>
      <c r="S6">
        <f t="shared" si="2"/>
        <v>-5.1950241322849325E-3</v>
      </c>
      <c r="T6" s="85"/>
      <c r="U6">
        <f t="shared" si="3"/>
        <v>91</v>
      </c>
      <c r="V6" s="21">
        <f t="shared" si="6"/>
        <v>1407.0287552836485</v>
      </c>
      <c r="Y6">
        <f t="shared" si="4"/>
        <v>91</v>
      </c>
      <c r="Z6">
        <f t="shared" si="5"/>
        <v>910.86337806900724</v>
      </c>
      <c r="AA6">
        <f t="shared" si="7"/>
        <v>4402.4934871469641</v>
      </c>
    </row>
    <row r="7" spans="1:28" x14ac:dyDescent="0.3">
      <c r="A7" s="6">
        <v>45413</v>
      </c>
      <c r="B7" s="2">
        <v>519.92066345161288</v>
      </c>
      <c r="C7" s="2">
        <v>311.48338709677421</v>
      </c>
      <c r="D7" s="2">
        <v>208.43727635483873</v>
      </c>
      <c r="E7" s="2">
        <v>3855.9032258064517</v>
      </c>
      <c r="F7" s="2">
        <v>9655.9850000000006</v>
      </c>
      <c r="G7" s="3">
        <v>1.2919717359999999E-3</v>
      </c>
      <c r="H7" s="2">
        <v>119533</v>
      </c>
      <c r="I7" s="2">
        <v>6461.5555670000003</v>
      </c>
      <c r="J7" s="4">
        <v>1</v>
      </c>
      <c r="K7" s="4">
        <v>1</v>
      </c>
      <c r="L7" s="7">
        <v>8.2222794489999994E-3</v>
      </c>
      <c r="M7" s="8">
        <v>0.52663499999999996</v>
      </c>
      <c r="N7" s="2">
        <v>40.090208181202094</v>
      </c>
      <c r="O7" s="2">
        <v>77.862451464040177</v>
      </c>
      <c r="P7" s="84"/>
      <c r="Q7">
        <f t="shared" si="0"/>
        <v>152</v>
      </c>
      <c r="R7">
        <f t="shared" si="1"/>
        <v>0.66917622251898701</v>
      </c>
      <c r="S7">
        <f t="shared" si="2"/>
        <v>-1.2418625126926194E-4</v>
      </c>
      <c r="T7" s="85"/>
      <c r="U7">
        <f t="shared" si="3"/>
        <v>122</v>
      </c>
      <c r="V7" s="21">
        <f t="shared" si="6"/>
        <v>1712.3071219503151</v>
      </c>
      <c r="Y7">
        <f t="shared" si="4"/>
        <v>122</v>
      </c>
      <c r="Z7">
        <f t="shared" si="5"/>
        <v>804.63834598452468</v>
      </c>
      <c r="AA7">
        <f t="shared" si="7"/>
        <v>5207.1318331314887</v>
      </c>
    </row>
    <row r="8" spans="1:28" x14ac:dyDescent="0.3">
      <c r="A8" s="6">
        <v>45444</v>
      </c>
      <c r="B8" s="2">
        <v>700.80586296666661</v>
      </c>
      <c r="C8" s="2">
        <v>324.75780000000003</v>
      </c>
      <c r="D8" s="2">
        <v>376.04806296666663</v>
      </c>
      <c r="E8" s="2">
        <v>3880.7</v>
      </c>
      <c r="F8" s="2">
        <v>9742.7340000000004</v>
      </c>
      <c r="G8" s="3">
        <v>1.3035787580000001E-3</v>
      </c>
      <c r="H8" s="2">
        <v>116421</v>
      </c>
      <c r="I8" s="2">
        <v>11281.441889</v>
      </c>
      <c r="J8" s="4">
        <v>1</v>
      </c>
      <c r="K8" s="4">
        <v>1</v>
      </c>
      <c r="L8" s="7">
        <v>9.5258582069999986E-3</v>
      </c>
      <c r="M8" s="8">
        <v>0.64305599999999996</v>
      </c>
      <c r="N8" s="2">
        <v>53.659377416560396</v>
      </c>
      <c r="O8" s="2">
        <v>75.160094261015431</v>
      </c>
      <c r="P8" s="84"/>
      <c r="Q8">
        <f t="shared" si="0"/>
        <v>183</v>
      </c>
      <c r="R8">
        <f t="shared" si="1"/>
        <v>1.1579338909386214</v>
      </c>
      <c r="S8">
        <f t="shared" si="2"/>
        <v>4.9409282327698249E-2</v>
      </c>
      <c r="T8" s="85"/>
      <c r="U8">
        <f t="shared" si="3"/>
        <v>152</v>
      </c>
      <c r="V8" s="21">
        <f t="shared" si="6"/>
        <v>2023.7905090470895</v>
      </c>
      <c r="Y8">
        <f t="shared" si="4"/>
        <v>152</v>
      </c>
      <c r="Z8">
        <f t="shared" si="5"/>
        <v>713.65019321996579</v>
      </c>
      <c r="AA8">
        <f t="shared" si="7"/>
        <v>5920.782026351455</v>
      </c>
    </row>
    <row r="9" spans="1:28" x14ac:dyDescent="0.3">
      <c r="A9" s="6">
        <v>45474</v>
      </c>
      <c r="B9" s="2">
        <v>1486.5593313225809</v>
      </c>
      <c r="C9" s="2">
        <v>317.42774193548388</v>
      </c>
      <c r="D9" s="2">
        <v>1169.1315893870969</v>
      </c>
      <c r="E9" s="2">
        <v>3533.2903225806454</v>
      </c>
      <c r="F9" s="2">
        <v>9840.26</v>
      </c>
      <c r="G9" s="3">
        <v>1.3166277480000002E-3</v>
      </c>
      <c r="H9" s="2">
        <v>109532</v>
      </c>
      <c r="I9" s="2">
        <v>36243.079271000002</v>
      </c>
      <c r="J9" s="4">
        <v>1</v>
      </c>
      <c r="K9" s="4">
        <v>1</v>
      </c>
      <c r="L9" s="7">
        <v>1.0842485954999998E-2</v>
      </c>
      <c r="M9" s="8">
        <v>0.75258799999999992</v>
      </c>
      <c r="N9" s="2">
        <v>78.646816494497344</v>
      </c>
      <c r="O9" s="2">
        <v>70.011805948216818</v>
      </c>
      <c r="P9" s="84"/>
      <c r="Q9">
        <f t="shared" si="0"/>
        <v>213</v>
      </c>
      <c r="R9">
        <f t="shared" si="1"/>
        <v>3.6831424445085803</v>
      </c>
      <c r="S9">
        <f t="shared" si="2"/>
        <v>3.9917256905519539E-2</v>
      </c>
      <c r="T9" s="85"/>
      <c r="U9">
        <f t="shared" si="3"/>
        <v>183</v>
      </c>
      <c r="V9" s="21">
        <f t="shared" si="6"/>
        <v>2348.5483090470893</v>
      </c>
      <c r="Y9">
        <f t="shared" si="4"/>
        <v>183</v>
      </c>
      <c r="Z9">
        <f t="shared" si="5"/>
        <v>630.42419413259779</v>
      </c>
      <c r="AA9">
        <f t="shared" si="7"/>
        <v>6551.2062204840531</v>
      </c>
    </row>
    <row r="10" spans="1:28" x14ac:dyDescent="0.3">
      <c r="A10" s="6">
        <v>45505</v>
      </c>
      <c r="B10" s="2">
        <v>1521.9387456451611</v>
      </c>
      <c r="C10" s="2">
        <v>331.36867741935487</v>
      </c>
      <c r="D10" s="2">
        <v>1190.5700682258064</v>
      </c>
      <c r="E10" s="2">
        <v>3493.3548387096776</v>
      </c>
      <c r="F10" s="2">
        <v>10272.429</v>
      </c>
      <c r="G10" s="3">
        <v>1.374452E-3</v>
      </c>
      <c r="H10" s="2">
        <v>108294</v>
      </c>
      <c r="I10" s="2">
        <v>36907.672115000001</v>
      </c>
      <c r="J10" s="4">
        <v>1</v>
      </c>
      <c r="K10" s="4">
        <v>1</v>
      </c>
      <c r="L10" s="7">
        <v>1.2216937954999998E-2</v>
      </c>
      <c r="M10" s="8">
        <v>0.86088199999999993</v>
      </c>
      <c r="N10" s="2">
        <v>78.227200117775766</v>
      </c>
      <c r="O10" s="2">
        <v>66.308328945374058</v>
      </c>
      <c r="P10" s="84"/>
      <c r="Q10">
        <f t="shared" si="0"/>
        <v>244</v>
      </c>
      <c r="R10">
        <f t="shared" si="1"/>
        <v>3.5928865621753134</v>
      </c>
      <c r="S10">
        <f t="shared" si="2"/>
        <v>-8.3369320345272908E-3</v>
      </c>
      <c r="T10" s="85"/>
      <c r="U10">
        <f t="shared" si="3"/>
        <v>213</v>
      </c>
      <c r="V10" s="21">
        <f t="shared" si="6"/>
        <v>2665.9760509825733</v>
      </c>
      <c r="Y10">
        <f t="shared" si="4"/>
        <v>213</v>
      </c>
      <c r="Z10">
        <f t="shared" si="5"/>
        <v>559.13610157714572</v>
      </c>
      <c r="AA10">
        <f t="shared" si="7"/>
        <v>7110.3423220611985</v>
      </c>
    </row>
    <row r="11" spans="1:28" x14ac:dyDescent="0.3">
      <c r="A11" s="6">
        <v>45536</v>
      </c>
      <c r="B11" s="2">
        <v>1111.1865237666668</v>
      </c>
      <c r="C11" s="2">
        <v>266.71126666666663</v>
      </c>
      <c r="D11" s="2">
        <v>844.47525710000002</v>
      </c>
      <c r="E11" s="2">
        <v>2771.6666666666665</v>
      </c>
      <c r="F11" s="2">
        <v>8001.3379999999997</v>
      </c>
      <c r="G11" s="3">
        <v>1.0705798070000001E-3</v>
      </c>
      <c r="H11" s="2">
        <v>83150</v>
      </c>
      <c r="I11" s="2">
        <v>25334.257712999999</v>
      </c>
      <c r="J11" s="4">
        <v>1</v>
      </c>
      <c r="K11" s="4">
        <v>1</v>
      </c>
      <c r="L11" s="7">
        <v>1.3287517761999998E-2</v>
      </c>
      <c r="M11" s="8">
        <v>0.94403199999999998</v>
      </c>
      <c r="N11" s="2">
        <v>75.997615075228154</v>
      </c>
      <c r="O11" s="2">
        <v>65.363676675076093</v>
      </c>
      <c r="P11" s="84"/>
      <c r="Q11">
        <f t="shared" si="0"/>
        <v>275</v>
      </c>
      <c r="R11">
        <f t="shared" si="1"/>
        <v>3.1662526583678883</v>
      </c>
      <c r="S11">
        <f t="shared" si="2"/>
        <v>-5.1733647422618212E-3</v>
      </c>
      <c r="T11" s="85"/>
      <c r="U11">
        <f t="shared" si="3"/>
        <v>244</v>
      </c>
      <c r="V11" s="21">
        <f t="shared" si="6"/>
        <v>2997.344728401928</v>
      </c>
      <c r="Y11">
        <f t="shared" si="4"/>
        <v>244</v>
      </c>
      <c r="Z11">
        <f t="shared" si="5"/>
        <v>493.92956044302065</v>
      </c>
      <c r="AA11">
        <f t="shared" si="7"/>
        <v>7604.2718825042193</v>
      </c>
    </row>
    <row r="12" spans="1:28" x14ac:dyDescent="0.3">
      <c r="A12" s="6">
        <v>45566</v>
      </c>
      <c r="B12" s="2">
        <v>1099.5061912258066</v>
      </c>
      <c r="C12" s="2">
        <v>257.05545161290325</v>
      </c>
      <c r="D12" s="2">
        <v>842.45073961290325</v>
      </c>
      <c r="E12" s="2">
        <v>3033.8387096774195</v>
      </c>
      <c r="F12" s="2">
        <v>7968.7190000000001</v>
      </c>
      <c r="G12" s="3">
        <v>1.0662153809999999E-3</v>
      </c>
      <c r="H12" s="2">
        <v>94049</v>
      </c>
      <c r="I12" s="2">
        <v>26115.972927999999</v>
      </c>
      <c r="J12" s="4">
        <v>1</v>
      </c>
      <c r="K12" s="4">
        <v>1</v>
      </c>
      <c r="L12" s="7">
        <v>1.4353733142999998E-2</v>
      </c>
      <c r="M12" s="8">
        <v>1.038081</v>
      </c>
      <c r="N12" s="2">
        <v>76.620827270984265</v>
      </c>
      <c r="O12" s="2">
        <v>74.233939005754863</v>
      </c>
      <c r="P12" s="84"/>
      <c r="Q12">
        <f t="shared" si="0"/>
        <v>305</v>
      </c>
      <c r="R12">
        <f t="shared" si="1"/>
        <v>3.2773113128973423</v>
      </c>
      <c r="S12">
        <f t="shared" si="2"/>
        <v>2.0917791398990899E-3</v>
      </c>
      <c r="T12" s="85"/>
      <c r="U12">
        <f t="shared" si="3"/>
        <v>275</v>
      </c>
      <c r="V12" s="21">
        <f t="shared" si="6"/>
        <v>3264.0559950685947</v>
      </c>
      <c r="Y12">
        <f t="shared" si="4"/>
        <v>275</v>
      </c>
      <c r="Z12">
        <f t="shared" si="5"/>
        <v>436.32741651144266</v>
      </c>
      <c r="AA12">
        <f t="shared" si="7"/>
        <v>8040.5992990156619</v>
      </c>
    </row>
    <row r="13" spans="1:28" x14ac:dyDescent="0.3">
      <c r="A13" s="6">
        <v>45597</v>
      </c>
      <c r="B13" s="2">
        <v>1107.2065985333334</v>
      </c>
      <c r="C13" s="2">
        <v>257.85863333333333</v>
      </c>
      <c r="D13" s="2">
        <v>849.34796520000009</v>
      </c>
      <c r="E13" s="2">
        <v>2909.7666666666669</v>
      </c>
      <c r="F13" s="2">
        <v>7735.759</v>
      </c>
      <c r="G13" s="3">
        <v>1.0350453070000001E-3</v>
      </c>
      <c r="H13" s="2">
        <v>87293</v>
      </c>
      <c r="I13" s="2">
        <v>25480.438956000002</v>
      </c>
      <c r="J13" s="4">
        <v>1</v>
      </c>
      <c r="K13" s="4">
        <v>1</v>
      </c>
      <c r="L13" s="7">
        <v>1.5388778449999998E-2</v>
      </c>
      <c r="M13" s="8">
        <v>1.1253740000000001</v>
      </c>
      <c r="N13" s="2">
        <v>76.710883616941317</v>
      </c>
      <c r="O13" s="2">
        <v>70.976294814768664</v>
      </c>
      <c r="P13" s="84"/>
      <c r="Q13">
        <f t="shared" si="0"/>
        <v>336</v>
      </c>
      <c r="R13">
        <f t="shared" si="1"/>
        <v>3.2938511859017328</v>
      </c>
      <c r="S13">
        <f t="shared" si="2"/>
        <v>-4.6053059507799709E-3</v>
      </c>
      <c r="T13" s="85"/>
      <c r="U13">
        <f t="shared" si="3"/>
        <v>305</v>
      </c>
      <c r="V13" s="21">
        <f t="shared" si="6"/>
        <v>3521.1114466814979</v>
      </c>
      <c r="Y13">
        <f t="shared" si="4"/>
        <v>305</v>
      </c>
      <c r="Z13">
        <f t="shared" si="5"/>
        <v>386.98770280399782</v>
      </c>
      <c r="AA13">
        <f t="shared" si="7"/>
        <v>8427.5870018196601</v>
      </c>
    </row>
    <row r="14" spans="1:28" x14ac:dyDescent="0.3">
      <c r="A14" s="6">
        <v>45627</v>
      </c>
      <c r="B14" s="2">
        <v>1219.7562963225807</v>
      </c>
      <c r="C14" s="2">
        <v>305.21470967741936</v>
      </c>
      <c r="D14" s="2">
        <v>914.54158664516137</v>
      </c>
      <c r="E14" s="2">
        <v>2885.0645161290322</v>
      </c>
      <c r="F14" s="2">
        <v>9461.6560000000009</v>
      </c>
      <c r="G14" s="3">
        <v>1.2659704970000001E-3</v>
      </c>
      <c r="H14" s="2">
        <v>89437</v>
      </c>
      <c r="I14" s="2">
        <v>28350.789186000002</v>
      </c>
      <c r="J14" s="4">
        <v>1</v>
      </c>
      <c r="K14" s="4">
        <v>1</v>
      </c>
      <c r="L14" s="7">
        <v>1.6654748946999996E-2</v>
      </c>
      <c r="M14" s="7">
        <v>1.2148110000000001</v>
      </c>
      <c r="N14" s="2">
        <v>74.977402404266712</v>
      </c>
      <c r="O14" s="2">
        <v>59.454797616823093</v>
      </c>
      <c r="P14" s="84"/>
      <c r="Q14">
        <f t="shared" si="0"/>
        <v>366</v>
      </c>
      <c r="R14">
        <f t="shared" si="1"/>
        <v>2.9963876498997641</v>
      </c>
      <c r="S14">
        <f t="shared" si="2"/>
        <v>7.9480741747429127E-4</v>
      </c>
      <c r="T14" s="85"/>
      <c r="U14">
        <f t="shared" si="3"/>
        <v>336</v>
      </c>
      <c r="V14" s="21">
        <f t="shared" si="6"/>
        <v>3778.9700800148312</v>
      </c>
      <c r="Y14">
        <f t="shared" si="4"/>
        <v>336</v>
      </c>
      <c r="Z14">
        <f t="shared" si="5"/>
        <v>341.85713532657684</v>
      </c>
      <c r="AA14">
        <f t="shared" si="7"/>
        <v>8769.4441371462362</v>
      </c>
    </row>
    <row r="15" spans="1:28" x14ac:dyDescent="0.3">
      <c r="A15" s="6">
        <v>45658</v>
      </c>
      <c r="B15" s="2">
        <v>1361.5403639032256</v>
      </c>
      <c r="C15" s="2">
        <v>313.55032258064517</v>
      </c>
      <c r="D15" s="2">
        <v>1047.9900413225807</v>
      </c>
      <c r="E15" s="2">
        <v>2746.4516129032259</v>
      </c>
      <c r="F15" s="2">
        <v>9720.06</v>
      </c>
      <c r="G15" s="3">
        <v>1.3005449739999998E-3</v>
      </c>
      <c r="H15" s="2">
        <v>85140</v>
      </c>
      <c r="I15" s="2">
        <v>32487.691280999999</v>
      </c>
      <c r="J15" s="4">
        <v>1</v>
      </c>
      <c r="K15" s="4">
        <v>1</v>
      </c>
      <c r="L15" s="7">
        <v>1.7955293920999996E-2</v>
      </c>
      <c r="M15" s="7">
        <v>1.2999510000000001</v>
      </c>
      <c r="N15" s="2">
        <v>76.970912439072478</v>
      </c>
      <c r="O15" s="2">
        <v>55.093648804637006</v>
      </c>
      <c r="P15" s="84"/>
      <c r="Q15">
        <f t="shared" si="0"/>
        <v>397</v>
      </c>
      <c r="R15">
        <f t="shared" si="1"/>
        <v>3.3423344383676645</v>
      </c>
      <c r="S15">
        <f t="shared" si="2"/>
        <v>-1.3643886545707914E-4</v>
      </c>
      <c r="T15" s="85"/>
      <c r="U15">
        <f t="shared" si="3"/>
        <v>366</v>
      </c>
      <c r="V15" s="21">
        <f t="shared" si="6"/>
        <v>4084.1847896922504</v>
      </c>
      <c r="Y15">
        <f t="shared" si="4"/>
        <v>366</v>
      </c>
      <c r="Z15">
        <f t="shared" si="5"/>
        <v>303.20007975872397</v>
      </c>
      <c r="AA15">
        <f t="shared" si="7"/>
        <v>9072.6442169049606</v>
      </c>
    </row>
    <row r="16" spans="1:28" x14ac:dyDescent="0.3">
      <c r="A16" s="6">
        <v>45689</v>
      </c>
      <c r="B16" s="2">
        <v>1119.8691279642858</v>
      </c>
      <c r="C16" s="2">
        <v>280.81475</v>
      </c>
      <c r="D16" s="2">
        <v>839.05437796428578</v>
      </c>
      <c r="E16" s="2">
        <v>2583.25</v>
      </c>
      <c r="F16" s="2">
        <v>7862.8130000000001</v>
      </c>
      <c r="G16" s="3">
        <v>1.052045145E-3</v>
      </c>
      <c r="H16" s="2">
        <v>72331</v>
      </c>
      <c r="I16" s="2">
        <v>23493.522583000002</v>
      </c>
      <c r="J16" s="4">
        <v>1</v>
      </c>
      <c r="K16" s="4">
        <v>1</v>
      </c>
      <c r="L16" s="7">
        <v>1.9007339065999995E-2</v>
      </c>
      <c r="M16" s="7">
        <v>1.372282</v>
      </c>
      <c r="N16" s="2">
        <v>74.924324370788838</v>
      </c>
      <c r="O16" s="2">
        <v>57.86065671407929</v>
      </c>
      <c r="P16" s="84"/>
      <c r="Q16">
        <f t="shared" si="0"/>
        <v>428</v>
      </c>
      <c r="R16">
        <f t="shared" si="1"/>
        <v>2.9879284402414252</v>
      </c>
      <c r="S16">
        <f t="shared" si="2"/>
        <v>-3.8213255365060365E-2</v>
      </c>
      <c r="T16" s="85"/>
      <c r="U16">
        <f t="shared" si="3"/>
        <v>397</v>
      </c>
      <c r="V16" s="21">
        <f t="shared" si="6"/>
        <v>4397.735112272896</v>
      </c>
      <c r="Y16">
        <f t="shared" si="4"/>
        <v>397</v>
      </c>
      <c r="Z16">
        <f t="shared" si="5"/>
        <v>267.84083821289897</v>
      </c>
      <c r="AA16">
        <f t="shared" si="7"/>
        <v>9340.4850551178588</v>
      </c>
    </row>
    <row r="17" spans="1:27" x14ac:dyDescent="0.3">
      <c r="A17" s="6">
        <v>45717</v>
      </c>
      <c r="B17" s="2">
        <v>341.39391477419355</v>
      </c>
      <c r="C17" s="2">
        <v>163.52222580645162</v>
      </c>
      <c r="D17" s="2">
        <v>177.87168896774193</v>
      </c>
      <c r="E17" s="2">
        <v>1528.0967741935483</v>
      </c>
      <c r="F17" s="2">
        <v>5069.1890000000003</v>
      </c>
      <c r="G17" s="3">
        <v>6.7825798699999999E-4</v>
      </c>
      <c r="H17" s="2">
        <v>47371</v>
      </c>
      <c r="I17" s="2">
        <v>5514.0223580000002</v>
      </c>
      <c r="J17" s="4">
        <v>1</v>
      </c>
      <c r="K17" s="4">
        <v>1</v>
      </c>
      <c r="L17" s="7">
        <v>1.9685597052999996E-2</v>
      </c>
      <c r="M17" s="7">
        <v>1.4196530000000001</v>
      </c>
      <c r="N17" s="2">
        <v>52.101599141095036</v>
      </c>
      <c r="O17" s="2">
        <v>58.777472254437541</v>
      </c>
      <c r="P17" s="84"/>
      <c r="Q17">
        <f t="shared" si="0"/>
        <v>456</v>
      </c>
      <c r="R17">
        <f t="shared" si="1"/>
        <v>1.0877523718291031</v>
      </c>
      <c r="S17">
        <f t="shared" si="2"/>
        <v>-3.0043188527192576E-2</v>
      </c>
      <c r="T17" s="85"/>
      <c r="U17">
        <f t="shared" si="3"/>
        <v>428</v>
      </c>
      <c r="V17" s="21">
        <f t="shared" si="6"/>
        <v>4678.5498622728956</v>
      </c>
      <c r="Y17">
        <f t="shared" si="4"/>
        <v>428</v>
      </c>
      <c r="Z17">
        <f t="shared" si="5"/>
        <v>236.60519704241332</v>
      </c>
      <c r="AA17">
        <f t="shared" si="7"/>
        <v>9577.0902521602729</v>
      </c>
    </row>
    <row r="18" spans="1:27" x14ac:dyDescent="0.3">
      <c r="A18" s="6">
        <v>45748</v>
      </c>
      <c r="B18" s="2">
        <v>470.2353707333333</v>
      </c>
      <c r="C18" s="2">
        <v>212.25943333333333</v>
      </c>
      <c r="D18" s="2">
        <v>257.97593739999996</v>
      </c>
      <c r="E18" s="2">
        <v>2278.2666666666669</v>
      </c>
      <c r="F18" s="2">
        <v>6367.7830000000004</v>
      </c>
      <c r="G18" s="3">
        <v>8.5200998699999999E-4</v>
      </c>
      <c r="H18" s="2">
        <v>68348</v>
      </c>
      <c r="I18" s="2">
        <v>7739.2781219999997</v>
      </c>
      <c r="J18" s="4">
        <v>1</v>
      </c>
      <c r="K18" s="4">
        <v>1</v>
      </c>
      <c r="L18" s="7">
        <v>2.0537607039999996E-2</v>
      </c>
      <c r="M18" s="7">
        <v>1.4880010000000001</v>
      </c>
      <c r="N18" s="2">
        <v>54.861023533318189</v>
      </c>
      <c r="O18" s="2">
        <v>67.51097680307258</v>
      </c>
      <c r="P18" s="84"/>
      <c r="Q18">
        <f t="shared" si="0"/>
        <v>487</v>
      </c>
      <c r="R18">
        <f t="shared" si="1"/>
        <v>1.2153803171370632</v>
      </c>
      <c r="S18">
        <f t="shared" si="2"/>
        <v>2.3455522802415477E-3</v>
      </c>
      <c r="T18" s="85"/>
      <c r="U18">
        <f t="shared" si="3"/>
        <v>456</v>
      </c>
      <c r="V18" s="21">
        <f t="shared" si="6"/>
        <v>4842.0720880793469</v>
      </c>
      <c r="Y18">
        <f t="shared" si="4"/>
        <v>456</v>
      </c>
      <c r="Z18">
        <f t="shared" si="5"/>
        <v>211.53551771051013</v>
      </c>
      <c r="AA18">
        <f t="shared" si="7"/>
        <v>9788.6257698707832</v>
      </c>
    </row>
    <row r="19" spans="1:27" x14ac:dyDescent="0.3">
      <c r="A19" s="6">
        <v>45778</v>
      </c>
      <c r="B19" s="2">
        <v>413.28109974193546</v>
      </c>
      <c r="C19" s="2">
        <v>185.25880645161291</v>
      </c>
      <c r="D19" s="2">
        <v>228.02229329032258</v>
      </c>
      <c r="E19" s="2">
        <v>1745.2903225806451</v>
      </c>
      <c r="F19" s="2">
        <v>5743.0230000000001</v>
      </c>
      <c r="G19" s="3">
        <v>7.6841703900000003E-4</v>
      </c>
      <c r="H19" s="2">
        <v>54104</v>
      </c>
      <c r="I19" s="2">
        <v>7068.691092</v>
      </c>
      <c r="J19" s="4">
        <v>1</v>
      </c>
      <c r="K19" s="4">
        <v>1</v>
      </c>
      <c r="L19" s="7">
        <v>2.1306024078999997E-2</v>
      </c>
      <c r="M19" s="7">
        <v>1.5421050000000001</v>
      </c>
      <c r="N19" s="2">
        <v>55.173656243342897</v>
      </c>
      <c r="O19" s="2">
        <v>59.255089035861424</v>
      </c>
      <c r="P19" s="84"/>
      <c r="Q19">
        <f t="shared" si="0"/>
        <v>517</v>
      </c>
      <c r="R19">
        <f t="shared" si="1"/>
        <v>1.2308310609238375</v>
      </c>
      <c r="S19">
        <f t="shared" si="2"/>
        <v>-4.4394891020987474E-3</v>
      </c>
      <c r="T19" s="85"/>
      <c r="U19">
        <f t="shared" si="3"/>
        <v>487</v>
      </c>
      <c r="V19" s="21">
        <f t="shared" si="6"/>
        <v>5054.3315214126806</v>
      </c>
      <c r="Y19">
        <f t="shared" si="4"/>
        <v>487</v>
      </c>
      <c r="Z19">
        <f t="shared" si="5"/>
        <v>186.86621197616077</v>
      </c>
      <c r="AA19">
        <f t="shared" si="7"/>
        <v>9975.4919818469443</v>
      </c>
    </row>
    <row r="20" spans="1:27" x14ac:dyDescent="0.3">
      <c r="A20" s="6">
        <v>45809</v>
      </c>
      <c r="B20" s="2">
        <v>251.21154110000001</v>
      </c>
      <c r="C20" s="2">
        <v>129.18606666666668</v>
      </c>
      <c r="D20" s="2">
        <v>122.02547443333333</v>
      </c>
      <c r="E20" s="2">
        <v>977.36666666666667</v>
      </c>
      <c r="F20" s="2">
        <v>3875.5819999999999</v>
      </c>
      <c r="G20" s="3">
        <v>5.1855324800000003E-4</v>
      </c>
      <c r="H20" s="2">
        <v>29321</v>
      </c>
      <c r="I20" s="2">
        <v>3660.7642329999999</v>
      </c>
      <c r="J20" s="4">
        <v>1</v>
      </c>
      <c r="K20" s="4">
        <v>1</v>
      </c>
      <c r="L20" s="7">
        <v>2.1824577326999998E-2</v>
      </c>
      <c r="M20" s="7">
        <v>1.571426</v>
      </c>
      <c r="N20" s="2">
        <v>48.574788363229906</v>
      </c>
      <c r="O20" s="2">
        <v>47.585943427335557</v>
      </c>
      <c r="P20" s="84"/>
      <c r="Q20">
        <f t="shared" si="0"/>
        <v>548</v>
      </c>
      <c r="R20">
        <f t="shared" si="1"/>
        <v>0.94457148190903961</v>
      </c>
      <c r="S20">
        <f t="shared" si="2"/>
        <v>-7.7665917569997326E-3</v>
      </c>
      <c r="T20" s="85"/>
      <c r="U20">
        <f t="shared" si="3"/>
        <v>517</v>
      </c>
      <c r="V20" s="21">
        <f t="shared" si="6"/>
        <v>5239.5903278642936</v>
      </c>
      <c r="Y20">
        <f t="shared" si="4"/>
        <v>517</v>
      </c>
      <c r="Z20">
        <f t="shared" si="5"/>
        <v>165.73546233357743</v>
      </c>
      <c r="AA20">
        <f t="shared" si="7"/>
        <v>10141.227444180522</v>
      </c>
    </row>
    <row r="21" spans="1:27" x14ac:dyDescent="0.3">
      <c r="A21" s="6">
        <v>45839</v>
      </c>
      <c r="B21" s="2">
        <v>227.41964648387096</v>
      </c>
      <c r="C21" s="2">
        <v>129.43125806451613</v>
      </c>
      <c r="D21" s="2">
        <v>97.988388419354848</v>
      </c>
      <c r="E21" s="2">
        <v>997.22580645161293</v>
      </c>
      <c r="F21" s="2">
        <v>4012.3690000000001</v>
      </c>
      <c r="G21" s="3">
        <v>5.36855362E-4</v>
      </c>
      <c r="H21" s="2">
        <v>30914</v>
      </c>
      <c r="I21" s="2">
        <v>3037.6400410000001</v>
      </c>
      <c r="J21" s="4">
        <v>1</v>
      </c>
      <c r="K21" s="4">
        <v>1</v>
      </c>
      <c r="L21" s="7">
        <v>2.2361432688999996E-2</v>
      </c>
      <c r="M21" s="7">
        <v>1.6023400000000001</v>
      </c>
      <c r="N21" s="2">
        <v>43.087037524835992</v>
      </c>
      <c r="O21" s="2">
        <v>48.46086618653468</v>
      </c>
      <c r="P21" s="84"/>
      <c r="Q21">
        <f t="shared" si="0"/>
        <v>578</v>
      </c>
      <c r="R21">
        <f t="shared" si="1"/>
        <v>0.75706896374685384</v>
      </c>
      <c r="S21">
        <f t="shared" si="2"/>
        <v>1.0460863857654471E-2</v>
      </c>
      <c r="T21" s="85"/>
      <c r="U21">
        <f t="shared" si="3"/>
        <v>548</v>
      </c>
      <c r="V21" s="21">
        <f t="shared" si="6"/>
        <v>5368.7763945309607</v>
      </c>
      <c r="Y21">
        <f t="shared" si="4"/>
        <v>548</v>
      </c>
      <c r="Z21">
        <f t="shared" si="5"/>
        <v>146.40736634486476</v>
      </c>
      <c r="AA21">
        <f t="shared" si="7"/>
        <v>10287.634810525387</v>
      </c>
    </row>
    <row r="22" spans="1:27" x14ac:dyDescent="0.3">
      <c r="A22" s="6">
        <v>45870</v>
      </c>
      <c r="B22" s="2">
        <v>283.8938101290322</v>
      </c>
      <c r="C22" s="2">
        <v>109.922</v>
      </c>
      <c r="D22" s="2">
        <v>173.97181012903224</v>
      </c>
      <c r="E22" s="2">
        <v>631.45161290322585</v>
      </c>
      <c r="F22" s="2">
        <v>3407.5819999999999</v>
      </c>
      <c r="G22" s="3">
        <v>4.55934805E-4</v>
      </c>
      <c r="H22" s="2">
        <v>19575</v>
      </c>
      <c r="I22" s="2">
        <v>5393.1261139999997</v>
      </c>
      <c r="J22" s="4">
        <v>1</v>
      </c>
      <c r="K22" s="4">
        <v>1</v>
      </c>
      <c r="L22" s="7">
        <v>2.2817367493999995E-2</v>
      </c>
      <c r="M22" s="7">
        <v>1.621915</v>
      </c>
      <c r="N22" s="2">
        <v>61.280592926615952</v>
      </c>
      <c r="O22" s="2">
        <v>36.132024115633897</v>
      </c>
      <c r="P22" s="84"/>
      <c r="Q22">
        <f t="shared" si="0"/>
        <v>609</v>
      </c>
      <c r="R22">
        <f t="shared" si="1"/>
        <v>1.5826841772259623</v>
      </c>
      <c r="S22">
        <f t="shared" si="2"/>
        <v>1.8198334879121165E-2</v>
      </c>
      <c r="T22" s="85"/>
      <c r="U22">
        <f t="shared" si="3"/>
        <v>578</v>
      </c>
      <c r="V22" s="21">
        <f t="shared" si="6"/>
        <v>5498.2076525954772</v>
      </c>
      <c r="Y22">
        <f t="shared" si="4"/>
        <v>578</v>
      </c>
      <c r="Z22">
        <f t="shared" si="5"/>
        <v>129.85168529719638</v>
      </c>
      <c r="AA22">
        <f t="shared" si="7"/>
        <v>10417.486495822584</v>
      </c>
    </row>
    <row r="23" spans="1:27" x14ac:dyDescent="0.3">
      <c r="A23" s="6">
        <v>45901</v>
      </c>
      <c r="B23" s="2">
        <v>278.13444446666665</v>
      </c>
      <c r="C23" s="2">
        <v>96.394866666666672</v>
      </c>
      <c r="D23" s="2">
        <v>181.73957780000001</v>
      </c>
      <c r="E23" s="2">
        <v>820.4666666666667</v>
      </c>
      <c r="F23" s="2">
        <v>2891.846</v>
      </c>
      <c r="G23" s="3">
        <v>3.8692927700000003E-4</v>
      </c>
      <c r="H23" s="2">
        <v>24614</v>
      </c>
      <c r="I23" s="2">
        <v>5452.1873340000002</v>
      </c>
      <c r="J23" s="4">
        <v>1</v>
      </c>
      <c r="K23" s="4">
        <v>1</v>
      </c>
      <c r="L23" s="7">
        <v>2.3204296770999996E-2</v>
      </c>
      <c r="M23" s="7">
        <v>1.6465289999999999</v>
      </c>
      <c r="N23" s="2">
        <v>65.342348427391855</v>
      </c>
      <c r="O23" s="2">
        <v>53.535747477562772</v>
      </c>
      <c r="P23" s="84"/>
      <c r="Q23">
        <f t="shared" si="0"/>
        <v>640</v>
      </c>
      <c r="R23">
        <f t="shared" si="1"/>
        <v>1.885365726252366</v>
      </c>
      <c r="S23">
        <f t="shared" si="2"/>
        <v>9.3207299973022627E-4</v>
      </c>
      <c r="T23" s="85"/>
      <c r="U23">
        <f t="shared" si="3"/>
        <v>609</v>
      </c>
      <c r="V23" s="21">
        <f t="shared" si="6"/>
        <v>5608.1296525954767</v>
      </c>
      <c r="Y23">
        <f t="shared" si="4"/>
        <v>609</v>
      </c>
      <c r="Z23">
        <f t="shared" si="5"/>
        <v>114.70836109619435</v>
      </c>
      <c r="AA23">
        <f t="shared" si="7"/>
        <v>10532.194856918779</v>
      </c>
    </row>
    <row r="24" spans="1:27" x14ac:dyDescent="0.3">
      <c r="A24" s="6">
        <v>45931</v>
      </c>
      <c r="B24" s="2">
        <v>297.16237912903227</v>
      </c>
      <c r="C24" s="2">
        <v>112.58109677419355</v>
      </c>
      <c r="D24" s="2">
        <v>184.58128235483869</v>
      </c>
      <c r="E24" s="2">
        <v>974.48387096774195</v>
      </c>
      <c r="F24" s="2">
        <v>3490.0140000000001</v>
      </c>
      <c r="G24" s="3">
        <v>4.6696421199999996E-4</v>
      </c>
      <c r="H24" s="2">
        <v>30209</v>
      </c>
      <c r="I24" s="2">
        <v>5722.0197529999996</v>
      </c>
      <c r="J24" s="4">
        <v>1</v>
      </c>
      <c r="K24" s="4">
        <v>1</v>
      </c>
      <c r="L24" s="7">
        <v>2.3671260982999997E-2</v>
      </c>
      <c r="M24" s="7">
        <v>1.6767379999999998</v>
      </c>
      <c r="N24" s="2">
        <v>62.114619924580296</v>
      </c>
      <c r="O24" s="2">
        <v>54.44349741863499</v>
      </c>
      <c r="P24" s="84"/>
      <c r="Q24">
        <f t="shared" si="0"/>
        <v>670</v>
      </c>
      <c r="R24">
        <f t="shared" si="1"/>
        <v>1.6395406302095061</v>
      </c>
      <c r="S24">
        <f t="shared" si="2"/>
        <v>2.9458839472693218E-3</v>
      </c>
      <c r="T24" s="85"/>
      <c r="U24">
        <f t="shared" si="3"/>
        <v>640</v>
      </c>
      <c r="V24" s="21">
        <f t="shared" si="6"/>
        <v>5704.5245192621433</v>
      </c>
      <c r="Y24">
        <f t="shared" si="4"/>
        <v>640</v>
      </c>
      <c r="Z24">
        <f t="shared" si="5"/>
        <v>101.3310537730773</v>
      </c>
      <c r="AA24">
        <f t="shared" si="7"/>
        <v>10633.525910691857</v>
      </c>
    </row>
    <row r="25" spans="1:27" x14ac:dyDescent="0.3">
      <c r="U25">
        <f>Q24</f>
        <v>670</v>
      </c>
      <c r="V25" s="21">
        <f t="shared" si="6"/>
        <v>5817.1056160363369</v>
      </c>
      <c r="Y25">
        <f t="shared" si="4"/>
        <v>670</v>
      </c>
      <c r="Z25">
        <f t="shared" si="5"/>
        <v>89.872582465427485</v>
      </c>
      <c r="AA25">
        <f t="shared" si="7"/>
        <v>10723.398493157283</v>
      </c>
    </row>
    <row r="26" spans="1:27" x14ac:dyDescent="0.3">
      <c r="Y26">
        <f>Y25+1</f>
        <v>671</v>
      </c>
      <c r="Z26">
        <f t="shared" si="5"/>
        <v>89.513810158542498</v>
      </c>
      <c r="AA26">
        <f t="shared" si="7"/>
        <v>10812.912303315825</v>
      </c>
    </row>
    <row r="27" spans="1:27" x14ac:dyDescent="0.3">
      <c r="Y27">
        <f t="shared" ref="Y27:Y90" si="8">Y26+1</f>
        <v>672</v>
      </c>
      <c r="Z27">
        <f t="shared" si="5"/>
        <v>89.156470074529651</v>
      </c>
      <c r="AA27">
        <f t="shared" si="7"/>
        <v>10902.068773390354</v>
      </c>
    </row>
    <row r="28" spans="1:27" x14ac:dyDescent="0.3">
      <c r="Y28">
        <f t="shared" si="8"/>
        <v>673</v>
      </c>
      <c r="Z28">
        <f t="shared" si="5"/>
        <v>88.800556495940043</v>
      </c>
      <c r="AA28">
        <f t="shared" si="7"/>
        <v>10990.869329886295</v>
      </c>
    </row>
    <row r="29" spans="1:27" x14ac:dyDescent="0.3">
      <c r="Y29">
        <f t="shared" si="8"/>
        <v>674</v>
      </c>
      <c r="Z29">
        <f t="shared" si="5"/>
        <v>88.446063728148744</v>
      </c>
      <c r="AA29">
        <f t="shared" si="7"/>
        <v>11079.315393614443</v>
      </c>
    </row>
    <row r="30" spans="1:27" x14ac:dyDescent="0.3">
      <c r="Y30">
        <f t="shared" si="8"/>
        <v>675</v>
      </c>
      <c r="Z30">
        <f t="shared" si="5"/>
        <v>88.092986099263982</v>
      </c>
      <c r="AA30">
        <f t="shared" si="7"/>
        <v>11167.408379713706</v>
      </c>
    </row>
    <row r="31" spans="1:27" x14ac:dyDescent="0.3">
      <c r="Y31">
        <f t="shared" si="8"/>
        <v>676</v>
      </c>
      <c r="Z31">
        <f t="shared" si="5"/>
        <v>87.741317960036099</v>
      </c>
      <c r="AA31">
        <f t="shared" si="7"/>
        <v>11255.149697673742</v>
      </c>
    </row>
    <row r="32" spans="1:27" x14ac:dyDescent="0.3">
      <c r="Y32">
        <f t="shared" si="8"/>
        <v>677</v>
      </c>
      <c r="Z32">
        <f t="shared" si="5"/>
        <v>87.39105368376741</v>
      </c>
      <c r="AA32">
        <f t="shared" si="7"/>
        <v>11342.540751357508</v>
      </c>
    </row>
    <row r="33" spans="25:27" x14ac:dyDescent="0.3">
      <c r="Y33">
        <f t="shared" si="8"/>
        <v>678</v>
      </c>
      <c r="Z33">
        <f t="shared" si="5"/>
        <v>87.042187666221992</v>
      </c>
      <c r="AA33">
        <f t="shared" si="7"/>
        <v>11429.58293902373</v>
      </c>
    </row>
    <row r="34" spans="25:27" x14ac:dyDescent="0.3">
      <c r="Y34">
        <f t="shared" si="8"/>
        <v>679</v>
      </c>
      <c r="Z34">
        <f t="shared" si="5"/>
        <v>86.69471432553614</v>
      </c>
      <c r="AA34">
        <f t="shared" si="7"/>
        <v>11516.277653349267</v>
      </c>
    </row>
    <row r="35" spans="25:27" x14ac:dyDescent="0.3">
      <c r="Y35">
        <f t="shared" si="8"/>
        <v>680</v>
      </c>
      <c r="Z35">
        <f t="shared" si="5"/>
        <v>86.348628102128984</v>
      </c>
      <c r="AA35">
        <f t="shared" si="7"/>
        <v>11602.626281451396</v>
      </c>
    </row>
    <row r="36" spans="25:27" x14ac:dyDescent="0.3">
      <c r="Y36">
        <f t="shared" si="8"/>
        <v>681</v>
      </c>
      <c r="Z36">
        <f t="shared" si="5"/>
        <v>86.003923458613571</v>
      </c>
      <c r="AA36">
        <f t="shared" si="7"/>
        <v>11688.630204910009</v>
      </c>
    </row>
    <row r="37" spans="25:27" x14ac:dyDescent="0.3">
      <c r="Y37">
        <f t="shared" si="8"/>
        <v>682</v>
      </c>
      <c r="Z37">
        <f t="shared" si="5"/>
        <v>85.660594879708242</v>
      </c>
      <c r="AA37">
        <f t="shared" si="7"/>
        <v>11774.290799789716</v>
      </c>
    </row>
    <row r="38" spans="25:27" x14ac:dyDescent="0.3">
      <c r="Y38">
        <f t="shared" si="8"/>
        <v>683</v>
      </c>
      <c r="Z38">
        <f t="shared" si="5"/>
        <v>85.318636872148403</v>
      </c>
      <c r="AA38">
        <f t="shared" si="7"/>
        <v>11859.609436661865</v>
      </c>
    </row>
    <row r="39" spans="25:27" x14ac:dyDescent="0.3">
      <c r="Y39">
        <f t="shared" si="8"/>
        <v>684</v>
      </c>
      <c r="Z39">
        <f t="shared" si="5"/>
        <v>84.978043964598669</v>
      </c>
      <c r="AA39">
        <f t="shared" si="7"/>
        <v>11944.587480626464</v>
      </c>
    </row>
    <row r="40" spans="25:27" x14ac:dyDescent="0.3">
      <c r="Y40">
        <f t="shared" si="8"/>
        <v>685</v>
      </c>
      <c r="Z40">
        <f t="shared" si="5"/>
        <v>84.638810707565227</v>
      </c>
      <c r="AA40">
        <f t="shared" si="7"/>
        <v>12029.226291334029</v>
      </c>
    </row>
    <row r="41" spans="25:27" x14ac:dyDescent="0.3">
      <c r="Y41">
        <f t="shared" si="8"/>
        <v>686</v>
      </c>
      <c r="Z41">
        <f t="shared" si="5"/>
        <v>84.300931673308739</v>
      </c>
      <c r="AA41">
        <f t="shared" si="7"/>
        <v>12113.527223007339</v>
      </c>
    </row>
    <row r="42" spans="25:27" x14ac:dyDescent="0.3">
      <c r="Y42">
        <f t="shared" si="8"/>
        <v>687</v>
      </c>
      <c r="Z42">
        <f t="shared" si="5"/>
        <v>83.964401455757454</v>
      </c>
      <c r="AA42">
        <f t="shared" si="7"/>
        <v>12197.491624463097</v>
      </c>
    </row>
    <row r="43" spans="25:27" x14ac:dyDescent="0.3">
      <c r="Y43">
        <f t="shared" si="8"/>
        <v>688</v>
      </c>
      <c r="Z43">
        <f t="shared" si="5"/>
        <v>83.62921467042068</v>
      </c>
      <c r="AA43">
        <f t="shared" si="7"/>
        <v>12281.120839133517</v>
      </c>
    </row>
    <row r="44" spans="25:27" x14ac:dyDescent="0.3">
      <c r="Y44">
        <f t="shared" si="8"/>
        <v>689</v>
      </c>
      <c r="Z44">
        <f t="shared" si="5"/>
        <v>83.295365954302738</v>
      </c>
      <c r="AA44">
        <f t="shared" si="7"/>
        <v>12364.41620508782</v>
      </c>
    </row>
    <row r="45" spans="25:27" x14ac:dyDescent="0.3">
      <c r="Y45">
        <f t="shared" si="8"/>
        <v>690</v>
      </c>
      <c r="Z45">
        <f t="shared" si="5"/>
        <v>82.962849965817028</v>
      </c>
      <c r="AA45">
        <f t="shared" si="7"/>
        <v>12447.379055053638</v>
      </c>
    </row>
    <row r="46" spans="25:27" x14ac:dyDescent="0.3">
      <c r="Y46">
        <f t="shared" si="8"/>
        <v>691</v>
      </c>
      <c r="Z46">
        <f t="shared" si="5"/>
        <v>82.631661384700664</v>
      </c>
      <c r="AA46">
        <f t="shared" si="7"/>
        <v>12530.010716438339</v>
      </c>
    </row>
    <row r="47" spans="25:27" x14ac:dyDescent="0.3">
      <c r="Y47">
        <f t="shared" si="8"/>
        <v>692</v>
      </c>
      <c r="Z47">
        <f t="shared" si="5"/>
        <v>82.30179491192925</v>
      </c>
      <c r="AA47">
        <f t="shared" si="7"/>
        <v>12612.312511350268</v>
      </c>
    </row>
    <row r="48" spans="25:27" x14ac:dyDescent="0.3">
      <c r="Y48">
        <f t="shared" si="8"/>
        <v>693</v>
      </c>
      <c r="Z48">
        <f t="shared" si="5"/>
        <v>81.973245269632201</v>
      </c>
      <c r="AA48">
        <f t="shared" si="7"/>
        <v>12694.2857566199</v>
      </c>
    </row>
    <row r="49" spans="25:27" x14ac:dyDescent="0.3">
      <c r="Y49">
        <f t="shared" si="8"/>
        <v>694</v>
      </c>
      <c r="Z49">
        <f t="shared" si="5"/>
        <v>81.646007201008217</v>
      </c>
      <c r="AA49">
        <f t="shared" si="7"/>
        <v>12775.931763820909</v>
      </c>
    </row>
    <row r="50" spans="25:27" x14ac:dyDescent="0.3">
      <c r="Y50">
        <f t="shared" si="8"/>
        <v>695</v>
      </c>
      <c r="Z50">
        <f t="shared" si="5"/>
        <v>81.32007547024125</v>
      </c>
      <c r="AA50">
        <f t="shared" si="7"/>
        <v>12857.25183929115</v>
      </c>
    </row>
    <row r="51" spans="25:27" x14ac:dyDescent="0.3">
      <c r="Y51">
        <f t="shared" si="8"/>
        <v>696</v>
      </c>
      <c r="Z51">
        <f t="shared" si="5"/>
        <v>80.995444862416633</v>
      </c>
      <c r="AA51">
        <f t="shared" si="7"/>
        <v>12938.247284153565</v>
      </c>
    </row>
    <row r="52" spans="25:27" x14ac:dyDescent="0.3">
      <c r="Y52">
        <f t="shared" si="8"/>
        <v>697</v>
      </c>
      <c r="Z52">
        <f t="shared" si="5"/>
        <v>80.672110183437709</v>
      </c>
      <c r="AA52">
        <f t="shared" si="7"/>
        <v>13018.919394337003</v>
      </c>
    </row>
    <row r="53" spans="25:27" x14ac:dyDescent="0.3">
      <c r="Y53">
        <f t="shared" si="8"/>
        <v>698</v>
      </c>
      <c r="Z53">
        <f t="shared" si="5"/>
        <v>80.350066259942736</v>
      </c>
      <c r="AA53">
        <f t="shared" si="7"/>
        <v>13099.269460596946</v>
      </c>
    </row>
    <row r="54" spans="25:27" x14ac:dyDescent="0.3">
      <c r="Y54">
        <f t="shared" si="8"/>
        <v>699</v>
      </c>
      <c r="Z54">
        <f t="shared" si="5"/>
        <v>80.029307939222051</v>
      </c>
      <c r="AA54">
        <f t="shared" si="7"/>
        <v>13179.298768536168</v>
      </c>
    </row>
    <row r="55" spans="25:27" x14ac:dyDescent="0.3">
      <c r="Y55">
        <f t="shared" si="8"/>
        <v>700</v>
      </c>
      <c r="Z55">
        <f t="shared" si="5"/>
        <v>79.709830089135693</v>
      </c>
      <c r="AA55">
        <f t="shared" si="7"/>
        <v>13259.008598625303</v>
      </c>
    </row>
    <row r="56" spans="25:27" x14ac:dyDescent="0.3">
      <c r="Y56">
        <f t="shared" si="8"/>
        <v>701</v>
      </c>
      <c r="Z56">
        <f t="shared" si="5"/>
        <v>79.391627598031235</v>
      </c>
      <c r="AA56">
        <f t="shared" si="7"/>
        <v>13338.400226223335</v>
      </c>
    </row>
    <row r="57" spans="25:27" x14ac:dyDescent="0.3">
      <c r="Y57">
        <f t="shared" si="8"/>
        <v>702</v>
      </c>
      <c r="Z57">
        <f t="shared" si="5"/>
        <v>79.074695374662028</v>
      </c>
      <c r="AA57">
        <f t="shared" si="7"/>
        <v>13417.474921597997</v>
      </c>
    </row>
    <row r="58" spans="25:27" x14ac:dyDescent="0.3">
      <c r="Y58">
        <f t="shared" si="8"/>
        <v>703</v>
      </c>
      <c r="Z58">
        <f t="shared" si="5"/>
        <v>78.759028348105744</v>
      </c>
      <c r="AA58">
        <f t="shared" si="7"/>
        <v>13496.233949946103</v>
      </c>
    </row>
    <row r="59" spans="25:27" x14ac:dyDescent="0.3">
      <c r="Y59">
        <f t="shared" si="8"/>
        <v>704</v>
      </c>
      <c r="Z59">
        <f t="shared" si="5"/>
        <v>78.444621467683262</v>
      </c>
      <c r="AA59">
        <f t="shared" si="7"/>
        <v>13574.678571413786</v>
      </c>
    </row>
    <row r="60" spans="25:27" x14ac:dyDescent="0.3">
      <c r="Y60">
        <f t="shared" si="8"/>
        <v>705</v>
      </c>
      <c r="Z60">
        <f t="shared" si="5"/>
        <v>78.131469702877723</v>
      </c>
      <c r="AA60">
        <f t="shared" si="7"/>
        <v>13652.810041116663</v>
      </c>
    </row>
    <row r="61" spans="25:27" x14ac:dyDescent="0.3">
      <c r="Y61">
        <f t="shared" si="8"/>
        <v>706</v>
      </c>
      <c r="Z61">
        <f t="shared" si="5"/>
        <v>77.819568043254222</v>
      </c>
      <c r="AA61">
        <f t="shared" si="7"/>
        <v>13730.629609159918</v>
      </c>
    </row>
    <row r="62" spans="25:27" x14ac:dyDescent="0.3">
      <c r="Y62">
        <f t="shared" si="8"/>
        <v>707</v>
      </c>
      <c r="Z62">
        <f t="shared" si="5"/>
        <v>77.508911498379575</v>
      </c>
      <c r="AA62">
        <f t="shared" si="7"/>
        <v>13808.138520658298</v>
      </c>
    </row>
    <row r="63" spans="25:27" x14ac:dyDescent="0.3">
      <c r="Y63">
        <f t="shared" si="8"/>
        <v>708</v>
      </c>
      <c r="Z63">
        <f t="shared" si="5"/>
        <v>77.199495097742414</v>
      </c>
      <c r="AA63">
        <f t="shared" si="7"/>
        <v>13885.33801575604</v>
      </c>
    </row>
    <row r="64" spans="25:27" x14ac:dyDescent="0.3">
      <c r="Y64">
        <f t="shared" si="8"/>
        <v>709</v>
      </c>
      <c r="Z64">
        <f t="shared" si="5"/>
        <v>76.891313890673757</v>
      </c>
      <c r="AA64">
        <f t="shared" si="7"/>
        <v>13962.229329646714</v>
      </c>
    </row>
    <row r="65" spans="25:27" x14ac:dyDescent="0.3">
      <c r="Y65">
        <f t="shared" si="8"/>
        <v>710</v>
      </c>
      <c r="Z65">
        <f t="shared" si="5"/>
        <v>76.584362946267689</v>
      </c>
      <c r="AA65">
        <f t="shared" si="7"/>
        <v>14038.813692592981</v>
      </c>
    </row>
    <row r="66" spans="25:27" x14ac:dyDescent="0.3">
      <c r="Y66">
        <f t="shared" si="8"/>
        <v>711</v>
      </c>
      <c r="Z66">
        <f t="shared" si="5"/>
        <v>76.278637353302557</v>
      </c>
      <c r="AA66">
        <f t="shared" si="7"/>
        <v>14115.092329946283</v>
      </c>
    </row>
    <row r="67" spans="25:27" x14ac:dyDescent="0.3">
      <c r="Y67">
        <f t="shared" si="8"/>
        <v>712</v>
      </c>
      <c r="Z67">
        <f t="shared" si="5"/>
        <v>75.97413222016236</v>
      </c>
      <c r="AA67">
        <f t="shared" si="7"/>
        <v>14191.066462166445</v>
      </c>
    </row>
    <row r="68" spans="25:27" x14ac:dyDescent="0.3">
      <c r="Y68">
        <f t="shared" si="8"/>
        <v>713</v>
      </c>
      <c r="Z68">
        <f t="shared" ref="Z68:Z131" si="9" xml:space="preserve"> 1310.8*EXP(-0.004*Y68)</f>
        <v>75.670842674758475</v>
      </c>
      <c r="AA68">
        <f t="shared" si="7"/>
        <v>14266.737304841205</v>
      </c>
    </row>
    <row r="69" spans="25:27" x14ac:dyDescent="0.3">
      <c r="Y69">
        <f t="shared" si="8"/>
        <v>714</v>
      </c>
      <c r="Z69">
        <f t="shared" si="9"/>
        <v>75.368763864451694</v>
      </c>
      <c r="AA69">
        <f t="shared" ref="AA69:AA132" si="10">AA68+Z69</f>
        <v>14342.106068705656</v>
      </c>
    </row>
    <row r="70" spans="25:27" x14ac:dyDescent="0.3">
      <c r="Y70">
        <f t="shared" si="8"/>
        <v>715</v>
      </c>
      <c r="Z70">
        <f t="shared" si="9"/>
        <v>75.067890955974605</v>
      </c>
      <c r="AA70">
        <f t="shared" si="10"/>
        <v>14417.17395966163</v>
      </c>
    </row>
    <row r="71" spans="25:27" x14ac:dyDescent="0.3">
      <c r="Y71">
        <f t="shared" si="8"/>
        <v>716</v>
      </c>
      <c r="Z71">
        <f t="shared" si="9"/>
        <v>74.768219135354272</v>
      </c>
      <c r="AA71">
        <f t="shared" si="10"/>
        <v>14491.942178796984</v>
      </c>
    </row>
    <row r="72" spans="25:27" x14ac:dyDescent="0.3">
      <c r="Y72">
        <f t="shared" si="8"/>
        <v>717</v>
      </c>
      <c r="Z72">
        <f t="shared" si="9"/>
        <v>74.469743607835156</v>
      </c>
      <c r="AA72">
        <f t="shared" si="10"/>
        <v>14566.411922404819</v>
      </c>
    </row>
    <row r="73" spans="25:27" x14ac:dyDescent="0.3">
      <c r="Y73">
        <f t="shared" si="8"/>
        <v>718</v>
      </c>
      <c r="Z73">
        <f t="shared" si="9"/>
        <v>74.172459597802458</v>
      </c>
      <c r="AA73">
        <f t="shared" si="10"/>
        <v>14640.584382002622</v>
      </c>
    </row>
    <row r="74" spans="25:27" x14ac:dyDescent="0.3">
      <c r="Y74">
        <f t="shared" si="8"/>
        <v>719</v>
      </c>
      <c r="Z74">
        <f t="shared" si="9"/>
        <v>73.876362348705669</v>
      </c>
      <c r="AA74">
        <f t="shared" si="10"/>
        <v>14714.460744351327</v>
      </c>
    </row>
    <row r="75" spans="25:27" x14ac:dyDescent="0.3">
      <c r="Y75">
        <f t="shared" si="8"/>
        <v>720</v>
      </c>
      <c r="Z75">
        <f t="shared" si="9"/>
        <v>73.581447122982482</v>
      </c>
      <c r="AA75">
        <f t="shared" si="10"/>
        <v>14788.042191474309</v>
      </c>
    </row>
    <row r="76" spans="25:27" x14ac:dyDescent="0.3">
      <c r="Y76">
        <f t="shared" si="8"/>
        <v>721</v>
      </c>
      <c r="Z76">
        <f t="shared" si="9"/>
        <v>73.28770920198302</v>
      </c>
      <c r="AA76">
        <f t="shared" si="10"/>
        <v>14861.329900676292</v>
      </c>
    </row>
    <row r="77" spans="25:27" x14ac:dyDescent="0.3">
      <c r="Y77">
        <f t="shared" si="8"/>
        <v>722</v>
      </c>
      <c r="Z77">
        <f t="shared" si="9"/>
        <v>72.995143885894251</v>
      </c>
      <c r="AA77">
        <f t="shared" si="10"/>
        <v>14934.325044562185</v>
      </c>
    </row>
    <row r="78" spans="25:27" x14ac:dyDescent="0.3">
      <c r="Y78">
        <f t="shared" si="8"/>
        <v>723</v>
      </c>
      <c r="Z78">
        <f t="shared" si="9"/>
        <v>72.70374649366488</v>
      </c>
      <c r="AA78">
        <f t="shared" si="10"/>
        <v>15007.028791055851</v>
      </c>
    </row>
    <row r="79" spans="25:27" x14ac:dyDescent="0.3">
      <c r="Y79">
        <f t="shared" si="8"/>
        <v>724</v>
      </c>
      <c r="Z79">
        <f t="shared" si="9"/>
        <v>72.413512362930419</v>
      </c>
      <c r="AA79">
        <f t="shared" si="10"/>
        <v>15079.442303418782</v>
      </c>
    </row>
    <row r="80" spans="25:27" x14ac:dyDescent="0.3">
      <c r="Y80">
        <f t="shared" si="8"/>
        <v>725</v>
      </c>
      <c r="Z80">
        <f t="shared" si="9"/>
        <v>72.12443684993859</v>
      </c>
      <c r="AA80">
        <f t="shared" si="10"/>
        <v>15151.566740268721</v>
      </c>
    </row>
    <row r="81" spans="25:27" x14ac:dyDescent="0.3">
      <c r="Y81">
        <f t="shared" si="8"/>
        <v>726</v>
      </c>
      <c r="Z81">
        <f t="shared" si="9"/>
        <v>71.836515329475034</v>
      </c>
      <c r="AA81">
        <f t="shared" si="10"/>
        <v>15223.403255598196</v>
      </c>
    </row>
    <row r="82" spans="25:27" x14ac:dyDescent="0.3">
      <c r="Y82">
        <f t="shared" si="8"/>
        <v>727</v>
      </c>
      <c r="Z82">
        <f t="shared" si="9"/>
        <v>71.549743194789244</v>
      </c>
      <c r="AA82">
        <f t="shared" si="10"/>
        <v>15294.952998792985</v>
      </c>
    </row>
    <row r="83" spans="25:27" x14ac:dyDescent="0.3">
      <c r="Y83">
        <f t="shared" si="8"/>
        <v>728</v>
      </c>
      <c r="Z83">
        <f t="shared" si="9"/>
        <v>71.264115857520977</v>
      </c>
      <c r="AA83">
        <f t="shared" si="10"/>
        <v>15366.217114650506</v>
      </c>
    </row>
    <row r="84" spans="25:27" x14ac:dyDescent="0.3">
      <c r="Y84">
        <f t="shared" si="8"/>
        <v>729</v>
      </c>
      <c r="Z84">
        <f t="shared" si="9"/>
        <v>70.979628747626734</v>
      </c>
      <c r="AA84">
        <f t="shared" si="10"/>
        <v>15437.196743398134</v>
      </c>
    </row>
    <row r="85" spans="25:27" x14ac:dyDescent="0.3">
      <c r="Y85">
        <f t="shared" si="8"/>
        <v>730</v>
      </c>
      <c r="Z85">
        <f t="shared" si="9"/>
        <v>70.696277313306666</v>
      </c>
      <c r="AA85">
        <f t="shared" si="10"/>
        <v>15507.893020711441</v>
      </c>
    </row>
    <row r="86" spans="25:27" x14ac:dyDescent="0.3">
      <c r="Y86">
        <f t="shared" si="8"/>
        <v>731</v>
      </c>
      <c r="Z86">
        <f t="shared" si="9"/>
        <v>70.414057020931807</v>
      </c>
      <c r="AA86">
        <f t="shared" si="10"/>
        <v>15578.307077732372</v>
      </c>
    </row>
    <row r="87" spans="25:27" x14ac:dyDescent="0.3">
      <c r="Y87">
        <f t="shared" si="8"/>
        <v>732</v>
      </c>
      <c r="Z87">
        <f t="shared" si="9"/>
        <v>70.132963354971466</v>
      </c>
      <c r="AA87">
        <f t="shared" si="10"/>
        <v>15648.440041087344</v>
      </c>
    </row>
    <row r="88" spans="25:27" x14ac:dyDescent="0.3">
      <c r="Y88">
        <f t="shared" si="8"/>
        <v>733</v>
      </c>
      <c r="Z88">
        <f t="shared" si="9"/>
        <v>69.852991817920966</v>
      </c>
      <c r="AA88">
        <f t="shared" si="10"/>
        <v>15718.293032905265</v>
      </c>
    </row>
    <row r="89" spans="25:27" x14ac:dyDescent="0.3">
      <c r="Y89">
        <f t="shared" si="8"/>
        <v>734</v>
      </c>
      <c r="Z89">
        <f t="shared" si="9"/>
        <v>69.574137930229739</v>
      </c>
      <c r="AA89">
        <f t="shared" si="10"/>
        <v>15787.867170835494</v>
      </c>
    </row>
    <row r="90" spans="25:27" x14ac:dyDescent="0.3">
      <c r="Y90">
        <f t="shared" si="8"/>
        <v>735</v>
      </c>
      <c r="Z90">
        <f t="shared" si="9"/>
        <v>69.296397230229658</v>
      </c>
      <c r="AA90">
        <f t="shared" si="10"/>
        <v>15857.163568065724</v>
      </c>
    </row>
    <row r="91" spans="25:27" x14ac:dyDescent="0.3">
      <c r="Y91">
        <f t="shared" ref="Y91:Y154" si="11">Y90+1</f>
        <v>736</v>
      </c>
      <c r="Z91">
        <f t="shared" si="9"/>
        <v>69.019765274063573</v>
      </c>
      <c r="AA91">
        <f t="shared" si="10"/>
        <v>15926.183333339788</v>
      </c>
    </row>
    <row r="92" spans="25:27" x14ac:dyDescent="0.3">
      <c r="Y92">
        <f t="shared" si="11"/>
        <v>737</v>
      </c>
      <c r="Z92">
        <f t="shared" si="9"/>
        <v>68.744237635614311</v>
      </c>
      <c r="AA92">
        <f t="shared" si="10"/>
        <v>15994.927570975402</v>
      </c>
    </row>
    <row r="93" spans="25:27" x14ac:dyDescent="0.3">
      <c r="Y93">
        <f t="shared" si="11"/>
        <v>738</v>
      </c>
      <c r="Z93">
        <f t="shared" si="9"/>
        <v>68.469809906433753</v>
      </c>
      <c r="AA93">
        <f t="shared" si="10"/>
        <v>16063.397380881835</v>
      </c>
    </row>
    <row r="94" spans="25:27" x14ac:dyDescent="0.3">
      <c r="Y94">
        <f t="shared" si="11"/>
        <v>739</v>
      </c>
      <c r="Z94">
        <f t="shared" si="9"/>
        <v>68.196477695672399</v>
      </c>
      <c r="AA94">
        <f t="shared" si="10"/>
        <v>16131.593858577507</v>
      </c>
    </row>
    <row r="95" spans="25:27" x14ac:dyDescent="0.3">
      <c r="Y95">
        <f t="shared" si="11"/>
        <v>740</v>
      </c>
      <c r="Z95">
        <f t="shared" si="9"/>
        <v>67.92423663000902</v>
      </c>
      <c r="AA95">
        <f t="shared" si="10"/>
        <v>16199.518095207517</v>
      </c>
    </row>
    <row r="96" spans="25:27" x14ac:dyDescent="0.3">
      <c r="Y96">
        <f t="shared" si="11"/>
        <v>741</v>
      </c>
      <c r="Z96">
        <f t="shared" si="9"/>
        <v>67.653082353580771</v>
      </c>
      <c r="AA96">
        <f t="shared" si="10"/>
        <v>16267.171177561098</v>
      </c>
    </row>
    <row r="97" spans="25:27" x14ac:dyDescent="0.3">
      <c r="Y97">
        <f t="shared" si="11"/>
        <v>742</v>
      </c>
      <c r="Z97">
        <f t="shared" si="9"/>
        <v>67.38301052791347</v>
      </c>
      <c r="AA97">
        <f t="shared" si="10"/>
        <v>16334.554188089012</v>
      </c>
    </row>
    <row r="98" spans="25:27" x14ac:dyDescent="0.3">
      <c r="Y98">
        <f t="shared" si="11"/>
        <v>743</v>
      </c>
      <c r="Z98">
        <f t="shared" si="9"/>
        <v>67.114016831852098</v>
      </c>
      <c r="AA98">
        <f t="shared" si="10"/>
        <v>16401.668204920865</v>
      </c>
    </row>
    <row r="99" spans="25:27" x14ac:dyDescent="0.3">
      <c r="Y99">
        <f t="shared" si="11"/>
        <v>744</v>
      </c>
      <c r="Z99">
        <f t="shared" si="9"/>
        <v>66.84609696149181</v>
      </c>
      <c r="AA99">
        <f t="shared" si="10"/>
        <v>16468.514301882358</v>
      </c>
    </row>
    <row r="100" spans="25:27" x14ac:dyDescent="0.3">
      <c r="Y100">
        <f t="shared" si="11"/>
        <v>745</v>
      </c>
      <c r="Z100">
        <f t="shared" si="9"/>
        <v>66.579246630108955</v>
      </c>
      <c r="AA100">
        <f t="shared" si="10"/>
        <v>16535.093548512468</v>
      </c>
    </row>
    <row r="101" spans="25:27" x14ac:dyDescent="0.3">
      <c r="Y101">
        <f t="shared" si="11"/>
        <v>746</v>
      </c>
      <c r="Z101">
        <f t="shared" si="9"/>
        <v>66.313461568092549</v>
      </c>
      <c r="AA101">
        <f t="shared" si="10"/>
        <v>16601.407010080562</v>
      </c>
    </row>
    <row r="102" spans="25:27" x14ac:dyDescent="0.3">
      <c r="Y102">
        <f t="shared" si="11"/>
        <v>747</v>
      </c>
      <c r="Z102">
        <f t="shared" si="9"/>
        <v>66.048737522875896</v>
      </c>
      <c r="AA102">
        <f t="shared" si="10"/>
        <v>16667.455747603439</v>
      </c>
    </row>
    <row r="103" spans="25:27" x14ac:dyDescent="0.3">
      <c r="Y103">
        <f t="shared" si="11"/>
        <v>748</v>
      </c>
      <c r="Z103">
        <f t="shared" si="9"/>
        <v>65.785070258868672</v>
      </c>
      <c r="AA103">
        <f t="shared" si="10"/>
        <v>16733.240817862308</v>
      </c>
    </row>
    <row r="104" spans="25:27" x14ac:dyDescent="0.3">
      <c r="Y104">
        <f t="shared" si="11"/>
        <v>749</v>
      </c>
      <c r="Z104">
        <f t="shared" si="9"/>
        <v>65.522455557388994</v>
      </c>
      <c r="AA104">
        <f t="shared" si="10"/>
        <v>16798.763273419696</v>
      </c>
    </row>
    <row r="105" spans="25:27" x14ac:dyDescent="0.3">
      <c r="Y105">
        <f t="shared" si="11"/>
        <v>750</v>
      </c>
      <c r="Z105">
        <f t="shared" si="9"/>
        <v>65.260889216596055</v>
      </c>
      <c r="AA105">
        <f t="shared" si="10"/>
        <v>16864.024162636291</v>
      </c>
    </row>
    <row r="106" spans="25:27" x14ac:dyDescent="0.3">
      <c r="Y106">
        <f t="shared" si="11"/>
        <v>751</v>
      </c>
      <c r="Z106">
        <f t="shared" si="9"/>
        <v>65.000367051422813</v>
      </c>
      <c r="AA106">
        <f t="shared" si="10"/>
        <v>16929.024529687715</v>
      </c>
    </row>
    <row r="107" spans="25:27" x14ac:dyDescent="0.3">
      <c r="Y107">
        <f t="shared" si="11"/>
        <v>752</v>
      </c>
      <c r="Z107">
        <f t="shared" si="9"/>
        <v>64.740884893509062</v>
      </c>
      <c r="AA107">
        <f t="shared" si="10"/>
        <v>16993.765414581223</v>
      </c>
    </row>
    <row r="108" spans="25:27" x14ac:dyDescent="0.3">
      <c r="Y108">
        <f t="shared" si="11"/>
        <v>753</v>
      </c>
      <c r="Z108">
        <f t="shared" si="9"/>
        <v>64.482438591134752</v>
      </c>
      <c r="AA108">
        <f t="shared" si="10"/>
        <v>17058.247853172357</v>
      </c>
    </row>
    <row r="109" spans="25:27" x14ac:dyDescent="0.3">
      <c r="Y109">
        <f t="shared" si="11"/>
        <v>754</v>
      </c>
      <c r="Z109">
        <f t="shared" si="9"/>
        <v>64.225024009153529</v>
      </c>
      <c r="AA109">
        <f t="shared" si="10"/>
        <v>17122.47287718151</v>
      </c>
    </row>
    <row r="110" spans="25:27" x14ac:dyDescent="0.3">
      <c r="Y110">
        <f t="shared" si="11"/>
        <v>755</v>
      </c>
      <c r="Z110">
        <f t="shared" si="9"/>
        <v>63.968637028926587</v>
      </c>
      <c r="AA110">
        <f t="shared" si="10"/>
        <v>17186.441514210437</v>
      </c>
    </row>
    <row r="111" spans="25:27" x14ac:dyDescent="0.3">
      <c r="Y111">
        <f t="shared" si="11"/>
        <v>756</v>
      </c>
      <c r="Z111">
        <f t="shared" si="9"/>
        <v>63.713273548256765</v>
      </c>
      <c r="AA111">
        <f t="shared" si="10"/>
        <v>17250.154787758693</v>
      </c>
    </row>
    <row r="112" spans="25:27" x14ac:dyDescent="0.3">
      <c r="Y112">
        <f t="shared" si="11"/>
        <v>757</v>
      </c>
      <c r="Z112">
        <f t="shared" si="9"/>
        <v>63.45892948132294</v>
      </c>
      <c r="AA112">
        <f t="shared" si="10"/>
        <v>17313.613717240016</v>
      </c>
    </row>
    <row r="113" spans="25:27" x14ac:dyDescent="0.3">
      <c r="Y113">
        <f t="shared" si="11"/>
        <v>758</v>
      </c>
      <c r="Z113">
        <f t="shared" si="9"/>
        <v>63.205600758614608</v>
      </c>
      <c r="AA113">
        <f t="shared" si="10"/>
        <v>17376.81931799863</v>
      </c>
    </row>
    <row r="114" spans="25:27" x14ac:dyDescent="0.3">
      <c r="Y114">
        <f t="shared" si="11"/>
        <v>759</v>
      </c>
      <c r="Z114">
        <f t="shared" si="9"/>
        <v>62.953283326866796</v>
      </c>
      <c r="AA114">
        <f t="shared" si="10"/>
        <v>17439.772601325498</v>
      </c>
    </row>
    <row r="115" spans="25:27" x14ac:dyDescent="0.3">
      <c r="Y115">
        <f t="shared" si="11"/>
        <v>760</v>
      </c>
      <c r="Z115">
        <f t="shared" si="9"/>
        <v>62.701973148995222</v>
      </c>
      <c r="AA115">
        <f t="shared" si="10"/>
        <v>17502.474574474494</v>
      </c>
    </row>
    <row r="116" spans="25:27" x14ac:dyDescent="0.3">
      <c r="Y116">
        <f t="shared" si="11"/>
        <v>761</v>
      </c>
      <c r="Z116">
        <f t="shared" si="9"/>
        <v>62.451666204031667</v>
      </c>
      <c r="AA116">
        <f t="shared" si="10"/>
        <v>17564.926240678527</v>
      </c>
    </row>
    <row r="117" spans="25:27" x14ac:dyDescent="0.3">
      <c r="Y117">
        <f t="shared" si="11"/>
        <v>762</v>
      </c>
      <c r="Z117">
        <f t="shared" si="9"/>
        <v>62.202358487059684</v>
      </c>
      <c r="AA117">
        <f t="shared" si="10"/>
        <v>17627.128599165586</v>
      </c>
    </row>
    <row r="118" spans="25:27" x14ac:dyDescent="0.3">
      <c r="Y118">
        <f t="shared" si="11"/>
        <v>763</v>
      </c>
      <c r="Z118">
        <f t="shared" si="9"/>
        <v>61.954046009150481</v>
      </c>
      <c r="AA118">
        <f t="shared" si="10"/>
        <v>17689.082645174738</v>
      </c>
    </row>
    <row r="119" spans="25:27" x14ac:dyDescent="0.3">
      <c r="Y119">
        <f t="shared" si="11"/>
        <v>764</v>
      </c>
      <c r="Z119">
        <f t="shared" si="9"/>
        <v>61.70672479729911</v>
      </c>
      <c r="AA119">
        <f t="shared" si="10"/>
        <v>17750.789369972037</v>
      </c>
    </row>
    <row r="120" spans="25:27" x14ac:dyDescent="0.3">
      <c r="Y120">
        <f t="shared" si="11"/>
        <v>765</v>
      </c>
      <c r="Z120">
        <f t="shared" si="9"/>
        <v>61.460390894360906</v>
      </c>
      <c r="AA120">
        <f t="shared" si="10"/>
        <v>17812.249760866398</v>
      </c>
    </row>
    <row r="121" spans="25:27" x14ac:dyDescent="0.3">
      <c r="Y121">
        <f t="shared" si="11"/>
        <v>766</v>
      </c>
      <c r="Z121">
        <f t="shared" si="9"/>
        <v>61.215040358988162</v>
      </c>
      <c r="AA121">
        <f t="shared" si="10"/>
        <v>17873.464801225386</v>
      </c>
    </row>
    <row r="122" spans="25:27" x14ac:dyDescent="0.3">
      <c r="Y122">
        <f t="shared" si="11"/>
        <v>767</v>
      </c>
      <c r="Z122">
        <f t="shared" si="9"/>
        <v>60.970669265567096</v>
      </c>
      <c r="AA122">
        <f t="shared" si="10"/>
        <v>17934.435470490953</v>
      </c>
    </row>
    <row r="123" spans="25:27" x14ac:dyDescent="0.3">
      <c r="Y123">
        <f t="shared" si="11"/>
        <v>768</v>
      </c>
      <c r="Z123">
        <f t="shared" si="9"/>
        <v>60.727273704154975</v>
      </c>
      <c r="AA123">
        <f t="shared" si="10"/>
        <v>17995.16274419511</v>
      </c>
    </row>
    <row r="124" spans="25:27" x14ac:dyDescent="0.3">
      <c r="Y124">
        <f t="shared" si="11"/>
        <v>769</v>
      </c>
      <c r="Z124">
        <f t="shared" si="9"/>
        <v>60.48484978041764</v>
      </c>
      <c r="AA124">
        <f t="shared" si="10"/>
        <v>18055.647593975526</v>
      </c>
    </row>
    <row r="125" spans="25:27" x14ac:dyDescent="0.3">
      <c r="Y125">
        <f t="shared" si="11"/>
        <v>770</v>
      </c>
      <c r="Z125">
        <f t="shared" si="9"/>
        <v>60.243393615567143</v>
      </c>
      <c r="AA125">
        <f t="shared" si="10"/>
        <v>18115.890987591094</v>
      </c>
    </row>
    <row r="126" spans="25:27" x14ac:dyDescent="0.3">
      <c r="Y126">
        <f t="shared" si="11"/>
        <v>771</v>
      </c>
      <c r="Z126">
        <f t="shared" si="9"/>
        <v>60.002901346299687</v>
      </c>
      <c r="AA126">
        <f t="shared" si="10"/>
        <v>18175.893888937393</v>
      </c>
    </row>
    <row r="127" spans="25:27" x14ac:dyDescent="0.3">
      <c r="Y127">
        <f t="shared" si="11"/>
        <v>772</v>
      </c>
      <c r="Z127">
        <f t="shared" si="9"/>
        <v>59.763369124733828</v>
      </c>
      <c r="AA127">
        <f t="shared" si="10"/>
        <v>18235.657258062129</v>
      </c>
    </row>
    <row r="128" spans="25:27" x14ac:dyDescent="0.3">
      <c r="Y128">
        <f t="shared" si="11"/>
        <v>773</v>
      </c>
      <c r="Z128">
        <f t="shared" si="9"/>
        <v>59.524793118348917</v>
      </c>
      <c r="AA128">
        <f t="shared" si="10"/>
        <v>18295.182051180476</v>
      </c>
    </row>
    <row r="129" spans="25:27" x14ac:dyDescent="0.3">
      <c r="Y129">
        <f t="shared" si="11"/>
        <v>774</v>
      </c>
      <c r="Z129">
        <f t="shared" si="9"/>
        <v>59.287169509923771</v>
      </c>
      <c r="AA129">
        <f t="shared" si="10"/>
        <v>18354.4692206904</v>
      </c>
    </row>
    <row r="130" spans="25:27" x14ac:dyDescent="0.3">
      <c r="Y130">
        <f t="shared" si="11"/>
        <v>775</v>
      </c>
      <c r="Z130">
        <f t="shared" si="9"/>
        <v>59.050494497475562</v>
      </c>
      <c r="AA130">
        <f t="shared" si="10"/>
        <v>18413.519715187875</v>
      </c>
    </row>
    <row r="131" spans="25:27" x14ac:dyDescent="0.3">
      <c r="Y131">
        <f t="shared" si="11"/>
        <v>776</v>
      </c>
      <c r="Z131">
        <f t="shared" si="9"/>
        <v>58.814764294199065</v>
      </c>
      <c r="AA131">
        <f t="shared" si="10"/>
        <v>18472.334479482073</v>
      </c>
    </row>
    <row r="132" spans="25:27" x14ac:dyDescent="0.3">
      <c r="Y132">
        <f t="shared" si="11"/>
        <v>777</v>
      </c>
      <c r="Z132">
        <f t="shared" ref="Z132:Z171" si="12" xml:space="preserve"> 1310.8*EXP(-0.004*Y132)</f>
        <v>58.579975128405991</v>
      </c>
      <c r="AA132">
        <f t="shared" si="10"/>
        <v>18530.91445461048</v>
      </c>
    </row>
    <row r="133" spans="25:27" x14ac:dyDescent="0.3">
      <c r="Y133">
        <f t="shared" si="11"/>
        <v>778</v>
      </c>
      <c r="Z133">
        <f t="shared" si="12"/>
        <v>58.346123243464689</v>
      </c>
      <c r="AA133">
        <f t="shared" ref="AA133:AA171" si="13">AA132+Z133</f>
        <v>18589.260577853944</v>
      </c>
    </row>
    <row r="134" spans="25:27" x14ac:dyDescent="0.3">
      <c r="Y134">
        <f t="shared" si="11"/>
        <v>779</v>
      </c>
      <c r="Z134">
        <f t="shared" si="12"/>
        <v>58.113204897739983</v>
      </c>
      <c r="AA134">
        <f t="shared" si="13"/>
        <v>18647.373782751685</v>
      </c>
    </row>
    <row r="135" spans="25:27" x14ac:dyDescent="0.3">
      <c r="Y135">
        <f t="shared" si="11"/>
        <v>780</v>
      </c>
      <c r="Z135">
        <f t="shared" si="12"/>
        <v>57.881216364533401</v>
      </c>
      <c r="AA135">
        <f t="shared" si="13"/>
        <v>18705.25499911622</v>
      </c>
    </row>
    <row r="136" spans="25:27" x14ac:dyDescent="0.3">
      <c r="Y136">
        <f t="shared" si="11"/>
        <v>781</v>
      </c>
      <c r="Z136">
        <f t="shared" si="12"/>
        <v>57.65015393202345</v>
      </c>
      <c r="AA136">
        <f t="shared" si="13"/>
        <v>18762.905153048243</v>
      </c>
    </row>
    <row r="137" spans="25:27" x14ac:dyDescent="0.3">
      <c r="Y137">
        <f t="shared" si="11"/>
        <v>782</v>
      </c>
      <c r="Z137">
        <f t="shared" si="12"/>
        <v>57.420013903206275</v>
      </c>
      <c r="AA137">
        <f t="shared" si="13"/>
        <v>18820.32516695145</v>
      </c>
    </row>
    <row r="138" spans="25:27" x14ac:dyDescent="0.3">
      <c r="Y138">
        <f t="shared" si="11"/>
        <v>783</v>
      </c>
      <c r="Z138">
        <f t="shared" si="12"/>
        <v>57.190792595836527</v>
      </c>
      <c r="AA138">
        <f t="shared" si="13"/>
        <v>18877.515959547287</v>
      </c>
    </row>
    <row r="139" spans="25:27" x14ac:dyDescent="0.3">
      <c r="Y139">
        <f t="shared" si="11"/>
        <v>784</v>
      </c>
      <c r="Z139">
        <f t="shared" si="12"/>
        <v>56.962486342368372</v>
      </c>
      <c r="AA139">
        <f t="shared" si="13"/>
        <v>18934.478445889654</v>
      </c>
    </row>
    <row r="140" spans="25:27" x14ac:dyDescent="0.3">
      <c r="Y140">
        <f t="shared" si="11"/>
        <v>785</v>
      </c>
      <c r="Z140">
        <f t="shared" si="12"/>
        <v>56.735091489896895</v>
      </c>
      <c r="AA140">
        <f t="shared" si="13"/>
        <v>18991.21353737955</v>
      </c>
    </row>
    <row r="141" spans="25:27" x14ac:dyDescent="0.3">
      <c r="Y141">
        <f t="shared" si="11"/>
        <v>786</v>
      </c>
      <c r="Z141">
        <f t="shared" si="12"/>
        <v>56.508604400099607</v>
      </c>
      <c r="AA141">
        <f t="shared" si="13"/>
        <v>19047.72214177965</v>
      </c>
    </row>
    <row r="142" spans="25:27" x14ac:dyDescent="0.3">
      <c r="Y142">
        <f t="shared" si="11"/>
        <v>787</v>
      </c>
      <c r="Z142">
        <f t="shared" si="12"/>
        <v>56.283021449178236</v>
      </c>
      <c r="AA142">
        <f t="shared" si="13"/>
        <v>19104.005163228827</v>
      </c>
    </row>
    <row r="143" spans="25:27" x14ac:dyDescent="0.3">
      <c r="Y143">
        <f t="shared" si="11"/>
        <v>788</v>
      </c>
      <c r="Z143">
        <f t="shared" si="12"/>
        <v>56.058339027800763</v>
      </c>
      <c r="AA143">
        <f t="shared" si="13"/>
        <v>19160.063502256628</v>
      </c>
    </row>
    <row r="144" spans="25:27" x14ac:dyDescent="0.3">
      <c r="Y144">
        <f t="shared" si="11"/>
        <v>789</v>
      </c>
      <c r="Z144">
        <f t="shared" si="12"/>
        <v>55.83455354104364</v>
      </c>
      <c r="AA144">
        <f t="shared" si="13"/>
        <v>19215.898055797672</v>
      </c>
    </row>
    <row r="145" spans="25:27" x14ac:dyDescent="0.3">
      <c r="Y145">
        <f t="shared" si="11"/>
        <v>790</v>
      </c>
      <c r="Z145">
        <f t="shared" si="12"/>
        <v>55.611661408334321</v>
      </c>
      <c r="AA145">
        <f t="shared" si="13"/>
        <v>19271.509717206005</v>
      </c>
    </row>
    <row r="146" spans="25:27" x14ac:dyDescent="0.3">
      <c r="Y146">
        <f t="shared" si="11"/>
        <v>791</v>
      </c>
      <c r="Z146">
        <f t="shared" si="12"/>
        <v>55.389659063393914</v>
      </c>
      <c r="AA146">
        <f t="shared" si="13"/>
        <v>19326.899376269397</v>
      </c>
    </row>
    <row r="147" spans="25:27" x14ac:dyDescent="0.3">
      <c r="Y147">
        <f t="shared" si="11"/>
        <v>792</v>
      </c>
      <c r="Z147">
        <f t="shared" si="12"/>
        <v>55.168542954180161</v>
      </c>
      <c r="AA147">
        <f t="shared" si="13"/>
        <v>19382.067919223577</v>
      </c>
    </row>
    <row r="148" spans="25:27" x14ac:dyDescent="0.3">
      <c r="Y148">
        <f t="shared" si="11"/>
        <v>793</v>
      </c>
      <c r="Z148">
        <f t="shared" si="12"/>
        <v>54.948309542830607</v>
      </c>
      <c r="AA148">
        <f t="shared" si="13"/>
        <v>19437.016228766406</v>
      </c>
    </row>
    <row r="149" spans="25:27" x14ac:dyDescent="0.3">
      <c r="Y149">
        <f t="shared" si="11"/>
        <v>794</v>
      </c>
      <c r="Z149">
        <f t="shared" si="12"/>
        <v>54.728955305605972</v>
      </c>
      <c r="AA149">
        <f t="shared" si="13"/>
        <v>19491.745184072013</v>
      </c>
    </row>
    <row r="150" spans="25:27" x14ac:dyDescent="0.3">
      <c r="Y150">
        <f t="shared" si="11"/>
        <v>795</v>
      </c>
      <c r="Z150">
        <f t="shared" si="12"/>
        <v>54.51047673283378</v>
      </c>
      <c r="AA150">
        <f t="shared" si="13"/>
        <v>19546.255660804847</v>
      </c>
    </row>
    <row r="151" spans="25:27" x14ac:dyDescent="0.3">
      <c r="Y151">
        <f t="shared" si="11"/>
        <v>796</v>
      </c>
      <c r="Z151">
        <f t="shared" si="12"/>
        <v>54.292870328852203</v>
      </c>
      <c r="AA151">
        <f t="shared" si="13"/>
        <v>19600.5485311337</v>
      </c>
    </row>
    <row r="152" spans="25:27" x14ac:dyDescent="0.3">
      <c r="Y152">
        <f t="shared" si="11"/>
        <v>797</v>
      </c>
      <c r="Z152">
        <f t="shared" si="12"/>
        <v>54.076132611954137</v>
      </c>
      <c r="AA152">
        <f t="shared" si="13"/>
        <v>19654.624663745653</v>
      </c>
    </row>
    <row r="153" spans="25:27" x14ac:dyDescent="0.3">
      <c r="Y153">
        <f t="shared" si="11"/>
        <v>798</v>
      </c>
      <c r="Z153">
        <f t="shared" si="12"/>
        <v>53.860260114331481</v>
      </c>
      <c r="AA153">
        <f t="shared" si="13"/>
        <v>19708.484923859985</v>
      </c>
    </row>
    <row r="154" spans="25:27" x14ac:dyDescent="0.3">
      <c r="Y154">
        <f t="shared" si="11"/>
        <v>799</v>
      </c>
      <c r="Z154">
        <f t="shared" si="12"/>
        <v>53.645249382019685</v>
      </c>
      <c r="AA154">
        <f t="shared" si="13"/>
        <v>19762.130173242003</v>
      </c>
    </row>
    <row r="155" spans="25:27" x14ac:dyDescent="0.3">
      <c r="Y155">
        <f t="shared" ref="Y155:Y171" si="14">Y154+1</f>
        <v>800</v>
      </c>
      <c r="Z155">
        <f t="shared" si="12"/>
        <v>53.431096974842426</v>
      </c>
      <c r="AA155">
        <f t="shared" si="13"/>
        <v>19815.561270216847</v>
      </c>
    </row>
    <row r="156" spans="25:27" x14ac:dyDescent="0.3">
      <c r="Y156">
        <f t="shared" si="14"/>
        <v>801</v>
      </c>
      <c r="Z156">
        <f t="shared" si="12"/>
        <v>53.217799466356631</v>
      </c>
      <c r="AA156">
        <f t="shared" si="13"/>
        <v>19868.779069683205</v>
      </c>
    </row>
    <row r="157" spans="25:27" x14ac:dyDescent="0.3">
      <c r="Y157">
        <f t="shared" si="14"/>
        <v>802</v>
      </c>
      <c r="Z157">
        <f t="shared" si="12"/>
        <v>53.005353443797603</v>
      </c>
      <c r="AA157">
        <f t="shared" si="13"/>
        <v>19921.784423127003</v>
      </c>
    </row>
    <row r="158" spans="25:27" x14ac:dyDescent="0.3">
      <c r="Y158">
        <f t="shared" si="14"/>
        <v>803</v>
      </c>
      <c r="Z158">
        <f t="shared" si="12"/>
        <v>52.793755508024468</v>
      </c>
      <c r="AA158">
        <f t="shared" si="13"/>
        <v>19974.578178635027</v>
      </c>
    </row>
    <row r="159" spans="25:27" x14ac:dyDescent="0.3">
      <c r="Y159">
        <f t="shared" si="14"/>
        <v>804</v>
      </c>
      <c r="Z159">
        <f t="shared" si="12"/>
        <v>52.583002273465723</v>
      </c>
      <c r="AA159">
        <f t="shared" si="13"/>
        <v>20027.161180908493</v>
      </c>
    </row>
    <row r="160" spans="25:27" x14ac:dyDescent="0.3">
      <c r="Y160">
        <f t="shared" si="14"/>
        <v>805</v>
      </c>
      <c r="Z160">
        <f t="shared" si="12"/>
        <v>52.373090368065128</v>
      </c>
      <c r="AA160">
        <f t="shared" si="13"/>
        <v>20079.53427127656</v>
      </c>
    </row>
    <row r="161" spans="25:27" x14ac:dyDescent="0.3">
      <c r="Y161">
        <f t="shared" si="14"/>
        <v>806</v>
      </c>
      <c r="Z161">
        <f t="shared" si="12"/>
        <v>52.164016433227715</v>
      </c>
      <c r="AA161">
        <f t="shared" si="13"/>
        <v>20131.698287709787</v>
      </c>
    </row>
    <row r="162" spans="25:27" x14ac:dyDescent="0.3">
      <c r="Y162">
        <f t="shared" si="14"/>
        <v>807</v>
      </c>
      <c r="Z162">
        <f t="shared" si="12"/>
        <v>51.955777123766062</v>
      </c>
      <c r="AA162">
        <f t="shared" si="13"/>
        <v>20183.654064833554</v>
      </c>
    </row>
    <row r="163" spans="25:27" x14ac:dyDescent="0.3">
      <c r="Y163">
        <f t="shared" si="14"/>
        <v>808</v>
      </c>
      <c r="Z163">
        <f t="shared" si="12"/>
        <v>51.748369107846791</v>
      </c>
      <c r="AA163">
        <f t="shared" si="13"/>
        <v>20235.402433941399</v>
      </c>
    </row>
    <row r="164" spans="25:27" x14ac:dyDescent="0.3">
      <c r="Y164">
        <f t="shared" si="14"/>
        <v>809</v>
      </c>
      <c r="Z164">
        <f t="shared" si="12"/>
        <v>51.541789066937206</v>
      </c>
      <c r="AA164">
        <f t="shared" si="13"/>
        <v>20286.944223008337</v>
      </c>
    </row>
    <row r="165" spans="25:27" x14ac:dyDescent="0.3">
      <c r="Y165">
        <f t="shared" si="14"/>
        <v>810</v>
      </c>
      <c r="Z165">
        <f t="shared" si="12"/>
        <v>51.336033695752242</v>
      </c>
      <c r="AA165">
        <f t="shared" si="13"/>
        <v>20338.280256704089</v>
      </c>
    </row>
    <row r="166" spans="25:27" x14ac:dyDescent="0.3">
      <c r="Y166">
        <f t="shared" si="14"/>
        <v>811</v>
      </c>
      <c r="Z166">
        <f t="shared" si="12"/>
        <v>51.131099702201595</v>
      </c>
      <c r="AA166">
        <f t="shared" si="13"/>
        <v>20389.41135640629</v>
      </c>
    </row>
    <row r="167" spans="25:27" x14ac:dyDescent="0.3">
      <c r="Y167">
        <f t="shared" si="14"/>
        <v>812</v>
      </c>
      <c r="Z167">
        <f t="shared" si="12"/>
        <v>50.926983807336967</v>
      </c>
      <c r="AA167">
        <f t="shared" si="13"/>
        <v>20440.338340213628</v>
      </c>
    </row>
    <row r="168" spans="25:27" x14ac:dyDescent="0.3">
      <c r="Y168">
        <f t="shared" si="14"/>
        <v>813</v>
      </c>
      <c r="Z168">
        <f t="shared" si="12"/>
        <v>50.723682745299698</v>
      </c>
      <c r="AA168">
        <f t="shared" si="13"/>
        <v>20491.062022958926</v>
      </c>
    </row>
    <row r="169" spans="25:27" x14ac:dyDescent="0.3">
      <c r="Y169">
        <f t="shared" si="14"/>
        <v>814</v>
      </c>
      <c r="Z169">
        <f t="shared" si="12"/>
        <v>50.521193263268472</v>
      </c>
      <c r="AA169">
        <f t="shared" si="13"/>
        <v>20541.583216222196</v>
      </c>
    </row>
    <row r="170" spans="25:27" x14ac:dyDescent="0.3">
      <c r="Y170">
        <f t="shared" si="14"/>
        <v>815</v>
      </c>
      <c r="Z170">
        <f t="shared" si="12"/>
        <v>50.319512121407229</v>
      </c>
      <c r="AA170">
        <f t="shared" si="13"/>
        <v>20591.902728343604</v>
      </c>
    </row>
    <row r="171" spans="25:27" x14ac:dyDescent="0.3">
      <c r="Y171" s="26">
        <f t="shared" si="14"/>
        <v>816</v>
      </c>
      <c r="Z171" s="26">
        <f t="shared" si="12"/>
        <v>50.118636092813425</v>
      </c>
      <c r="AA171" s="26">
        <f t="shared" si="13"/>
        <v>20642.021364436419</v>
      </c>
    </row>
    <row r="172" spans="25:27" x14ac:dyDescent="0.3">
      <c r="Y172" s="29" t="s">
        <v>42</v>
      </c>
      <c r="Z172" s="29" t="s">
        <v>39</v>
      </c>
      <c r="AA172" s="29" t="s">
        <v>33</v>
      </c>
    </row>
    <row r="173" spans="25:27" x14ac:dyDescent="0.3">
      <c r="Y173" t="s">
        <v>52</v>
      </c>
    </row>
    <row r="174" spans="25:27" x14ac:dyDescent="0.3">
      <c r="Y174" s="24">
        <f>Y171/30</f>
        <v>27.2</v>
      </c>
    </row>
    <row r="175" spans="25:27" x14ac:dyDescent="0.3">
      <c r="Y175" s="24" t="s">
        <v>62</v>
      </c>
    </row>
  </sheetData>
  <mergeCells count="4">
    <mergeCell ref="P1:P24"/>
    <mergeCell ref="T1:T24"/>
    <mergeCell ref="U1:W1"/>
    <mergeCell ref="Y1:AB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03798-73F8-483D-A85B-3C839996A4DE}">
  <dimension ref="A1:S21"/>
  <sheetViews>
    <sheetView topLeftCell="A2" zoomScale="136" workbookViewId="0">
      <selection activeCell="A12" sqref="A12:XFD12"/>
    </sheetView>
  </sheetViews>
  <sheetFormatPr defaultRowHeight="14.4" x14ac:dyDescent="0.3"/>
  <cols>
    <col min="1" max="6" width="9" bestFit="1" customWidth="1"/>
    <col min="7" max="7" width="11.33203125" bestFit="1" customWidth="1"/>
    <col min="8" max="15" width="9" bestFit="1" customWidth="1"/>
    <col min="17" max="18" width="9" bestFit="1" customWidth="1"/>
    <col min="19" max="19" width="12.77734375" bestFit="1" customWidth="1"/>
  </cols>
  <sheetData>
    <row r="1" spans="1:19" ht="52.8" x14ac:dyDescent="0.3">
      <c r="A1" s="11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10</v>
      </c>
      <c r="K1" s="5" t="s">
        <v>12</v>
      </c>
      <c r="L1" s="5" t="s">
        <v>13</v>
      </c>
      <c r="M1" s="5" t="s">
        <v>14</v>
      </c>
      <c r="N1" s="5" t="s">
        <v>17</v>
      </c>
      <c r="O1" s="5" t="s">
        <v>18</v>
      </c>
      <c r="P1" s="86" t="s">
        <v>19</v>
      </c>
      <c r="Q1" s="18" t="s">
        <v>20</v>
      </c>
      <c r="R1" s="18" t="s">
        <v>21</v>
      </c>
      <c r="S1" s="18" t="s">
        <v>22</v>
      </c>
    </row>
    <row r="2" spans="1:19" x14ac:dyDescent="0.3">
      <c r="A2" s="6">
        <v>45352</v>
      </c>
      <c r="B2" s="2">
        <v>15.23257735483871</v>
      </c>
      <c r="C2" s="2">
        <v>15.230548387096773</v>
      </c>
      <c r="D2" s="2">
        <v>2.0289677419354835E-3</v>
      </c>
      <c r="E2" s="2">
        <v>7.4838709677419351</v>
      </c>
      <c r="F2" s="2">
        <v>472.14699999999999</v>
      </c>
      <c r="G2" s="13">
        <v>6.3173315000000001E-5</v>
      </c>
      <c r="H2" s="2">
        <v>232</v>
      </c>
      <c r="I2" s="2">
        <v>6.2897999999999996E-2</v>
      </c>
      <c r="J2" s="4">
        <v>1</v>
      </c>
      <c r="K2" s="4">
        <v>1</v>
      </c>
      <c r="L2" s="7">
        <v>6.3173315000000001E-5</v>
      </c>
      <c r="M2" s="8">
        <v>2.32E-4</v>
      </c>
      <c r="N2" s="2">
        <v>1.3319924098668511E-2</v>
      </c>
      <c r="O2" s="2">
        <v>3.0906340610021874</v>
      </c>
      <c r="P2" s="86"/>
      <c r="Q2">
        <f>A2-$A$2</f>
        <v>0</v>
      </c>
      <c r="R2">
        <f>D2/C2</f>
        <v>1.3321698538802532E-4</v>
      </c>
    </row>
    <row r="3" spans="1:19" x14ac:dyDescent="0.3">
      <c r="A3" s="6">
        <v>45383</v>
      </c>
      <c r="B3" s="2">
        <v>430.95600150000001</v>
      </c>
      <c r="C3" s="2">
        <v>217.71626666666668</v>
      </c>
      <c r="D3" s="2">
        <v>213.23973483333333</v>
      </c>
      <c r="E3" s="2">
        <v>2404.1666666666665</v>
      </c>
      <c r="F3" s="2">
        <v>6531.4880000000003</v>
      </c>
      <c r="G3" s="13">
        <v>8.7391373500000002E-4</v>
      </c>
      <c r="H3" s="2">
        <v>72125</v>
      </c>
      <c r="I3" s="2">
        <v>6397.1920449999998</v>
      </c>
      <c r="J3" s="4">
        <v>1</v>
      </c>
      <c r="K3" s="4">
        <v>1</v>
      </c>
      <c r="L3" s="7">
        <v>9.3708704999999998E-4</v>
      </c>
      <c r="M3" s="8">
        <v>7.2356999999999991E-2</v>
      </c>
      <c r="N3" s="2">
        <v>49.480627741839974</v>
      </c>
      <c r="O3" s="2">
        <v>69.456121637213442</v>
      </c>
      <c r="P3" s="86"/>
      <c r="Q3">
        <f t="shared" ref="Q3:Q21" si="0">A3-$A$2</f>
        <v>31</v>
      </c>
      <c r="R3">
        <f t="shared" ref="R3:R21" si="1">D3/C3</f>
        <v>0.97943868916240828</v>
      </c>
      <c r="S3">
        <f>(R4-R2)/(Q4-Q2)</f>
        <v>2.4975134125005466E-3</v>
      </c>
    </row>
    <row r="4" spans="1:19" x14ac:dyDescent="0.3">
      <c r="A4" s="6">
        <v>45413</v>
      </c>
      <c r="B4" s="2">
        <v>565.04392616129041</v>
      </c>
      <c r="C4" s="2">
        <v>490.28458064516127</v>
      </c>
      <c r="D4" s="2">
        <v>74.759345516129031</v>
      </c>
      <c r="E4" s="2">
        <v>4056.8709677419356</v>
      </c>
      <c r="F4" s="2">
        <v>15198.822</v>
      </c>
      <c r="G4" s="13">
        <v>2.0336038659999997E-3</v>
      </c>
      <c r="H4" s="2">
        <v>125763</v>
      </c>
      <c r="I4" s="2">
        <v>2317.5397109999999</v>
      </c>
      <c r="J4" s="4">
        <v>1</v>
      </c>
      <c r="K4" s="4">
        <v>1</v>
      </c>
      <c r="L4" s="7">
        <v>2.9706909159999996E-3</v>
      </c>
      <c r="M4" s="8">
        <v>0.19812000000000002</v>
      </c>
      <c r="N4" s="2">
        <v>13.230713941837713</v>
      </c>
      <c r="O4" s="2">
        <v>52.04509385003653</v>
      </c>
      <c r="P4" s="86"/>
      <c r="Q4">
        <f t="shared" si="0"/>
        <v>61</v>
      </c>
      <c r="R4">
        <f t="shared" si="1"/>
        <v>0.15248153514792134</v>
      </c>
      <c r="S4">
        <f t="shared" ref="S4:S21" si="2">(R5-R3)/(Q5-Q3)</f>
        <v>-1.4710937557325148E-2</v>
      </c>
    </row>
    <row r="5" spans="1:19" x14ac:dyDescent="0.3">
      <c r="A5" s="6">
        <v>45444</v>
      </c>
      <c r="B5" s="2">
        <v>564.51478893333331</v>
      </c>
      <c r="C5" s="2">
        <v>521.69823333333329</v>
      </c>
      <c r="D5" s="2">
        <v>42.816555600000001</v>
      </c>
      <c r="E5" s="2">
        <v>3856.1</v>
      </c>
      <c r="F5" s="2">
        <v>15650.947</v>
      </c>
      <c r="G5" s="13">
        <v>2.0940982339999999E-3</v>
      </c>
      <c r="H5" s="2">
        <v>115683</v>
      </c>
      <c r="I5" s="2">
        <v>1284.496668</v>
      </c>
      <c r="J5" s="4">
        <v>1</v>
      </c>
      <c r="K5" s="4">
        <v>1</v>
      </c>
      <c r="L5" s="7">
        <v>5.0647891499999995E-3</v>
      </c>
      <c r="M5" s="8">
        <v>0.313803</v>
      </c>
      <c r="N5" s="2">
        <v>7.5846649971567786</v>
      </c>
      <c r="O5" s="2">
        <v>46.490664967429758</v>
      </c>
      <c r="P5" s="86"/>
      <c r="Q5">
        <f t="shared" si="0"/>
        <v>92</v>
      </c>
      <c r="R5">
        <f t="shared" si="1"/>
        <v>8.2071498165574269E-2</v>
      </c>
      <c r="S5">
        <f t="shared" si="2"/>
        <v>6.0941402531313707E-4</v>
      </c>
    </row>
    <row r="6" spans="1:19" x14ac:dyDescent="0.3">
      <c r="A6" s="6">
        <v>45474</v>
      </c>
      <c r="B6" s="2">
        <v>477.51923816129033</v>
      </c>
      <c r="C6" s="2">
        <v>401.39277419354835</v>
      </c>
      <c r="D6" s="2">
        <v>76.126463967741941</v>
      </c>
      <c r="E6" s="2">
        <v>3004.9677419354839</v>
      </c>
      <c r="F6" s="2">
        <v>12443.175999999999</v>
      </c>
      <c r="G6" s="13">
        <v>1.6648981630000002E-3</v>
      </c>
      <c r="H6" s="2">
        <v>93154</v>
      </c>
      <c r="I6" s="2">
        <v>2359.9203830000001</v>
      </c>
      <c r="J6" s="4">
        <v>1</v>
      </c>
      <c r="K6" s="4">
        <v>1</v>
      </c>
      <c r="L6" s="7">
        <v>6.7296873129999999E-3</v>
      </c>
      <c r="M6" s="8">
        <v>0.40695700000000001</v>
      </c>
      <c r="N6" s="2">
        <v>15.942072671432122</v>
      </c>
      <c r="O6" s="2">
        <v>47.087659067106344</v>
      </c>
      <c r="P6" s="86"/>
      <c r="Q6">
        <f t="shared" si="0"/>
        <v>122</v>
      </c>
      <c r="R6">
        <f t="shared" si="1"/>
        <v>0.18965579069202271</v>
      </c>
      <c r="S6">
        <f t="shared" si="2"/>
        <v>1.5486616794308648E-2</v>
      </c>
    </row>
    <row r="7" spans="1:19" x14ac:dyDescent="0.3">
      <c r="A7" s="6">
        <v>45505</v>
      </c>
      <c r="B7" s="2">
        <v>95.316135903225799</v>
      </c>
      <c r="C7" s="2">
        <v>47.028935483870967</v>
      </c>
      <c r="D7" s="2">
        <v>48.287200419354839</v>
      </c>
      <c r="E7" s="2">
        <v>330.93548387096774</v>
      </c>
      <c r="F7" s="2">
        <v>1457.8969999999999</v>
      </c>
      <c r="G7" s="13">
        <v>1.9506675999999998E-4</v>
      </c>
      <c r="H7" s="2">
        <v>10259</v>
      </c>
      <c r="I7" s="2">
        <v>1496.9032130000001</v>
      </c>
      <c r="J7" s="4">
        <v>1</v>
      </c>
      <c r="K7" s="4">
        <v>1</v>
      </c>
      <c r="L7" s="7">
        <v>6.9247540730000001E-3</v>
      </c>
      <c r="M7" s="8">
        <v>0.41721600000000003</v>
      </c>
      <c r="N7" s="2">
        <v>50.660048229798882</v>
      </c>
      <c r="O7" s="2">
        <v>44.26036832506</v>
      </c>
      <c r="P7" s="86"/>
      <c r="Q7">
        <f t="shared" si="0"/>
        <v>153</v>
      </c>
      <c r="R7">
        <f t="shared" si="1"/>
        <v>1.0267551226184017</v>
      </c>
      <c r="S7">
        <f t="shared" si="2"/>
        <v>4.8217382879578712E-4</v>
      </c>
    </row>
    <row r="8" spans="1:19" x14ac:dyDescent="0.3">
      <c r="A8" s="6">
        <v>45536</v>
      </c>
      <c r="B8" s="2">
        <v>49.752175200000003</v>
      </c>
      <c r="C8" s="2">
        <v>40.795499999999997</v>
      </c>
      <c r="D8" s="2">
        <v>8.9566752000000012</v>
      </c>
      <c r="E8" s="2">
        <v>283.3</v>
      </c>
      <c r="F8" s="2">
        <v>1223.865</v>
      </c>
      <c r="G8" s="13">
        <v>1.63753254E-4</v>
      </c>
      <c r="H8" s="2">
        <v>8499</v>
      </c>
      <c r="I8" s="2">
        <v>268.70025600000002</v>
      </c>
      <c r="J8" s="4">
        <v>1</v>
      </c>
      <c r="K8" s="4">
        <v>1</v>
      </c>
      <c r="L8" s="7">
        <v>7.088507327E-3</v>
      </c>
      <c r="M8" s="8">
        <v>0.42571500000000001</v>
      </c>
      <c r="N8" s="2">
        <v>18.002580116336301</v>
      </c>
      <c r="O8" s="2">
        <v>43.678845460896419</v>
      </c>
      <c r="P8" s="86"/>
      <c r="Q8">
        <f t="shared" si="0"/>
        <v>184</v>
      </c>
      <c r="R8">
        <f t="shared" si="1"/>
        <v>0.21955056807736151</v>
      </c>
      <c r="S8">
        <f t="shared" si="2"/>
        <v>-1.3106895709991129E-2</v>
      </c>
    </row>
    <row r="9" spans="1:19" x14ac:dyDescent="0.3">
      <c r="A9" s="6">
        <v>45566</v>
      </c>
      <c r="B9" s="2">
        <v>48.253236806451611</v>
      </c>
      <c r="C9" s="2">
        <v>39.318677419354835</v>
      </c>
      <c r="D9" s="2">
        <v>8.9345593870967743</v>
      </c>
      <c r="E9" s="2">
        <v>310.19354838709677</v>
      </c>
      <c r="F9" s="2">
        <v>1218.8789999999999</v>
      </c>
      <c r="G9" s="13">
        <v>1.63086131E-4</v>
      </c>
      <c r="H9" s="2">
        <v>9616</v>
      </c>
      <c r="I9" s="2">
        <v>276.971341</v>
      </c>
      <c r="J9" s="4">
        <v>1</v>
      </c>
      <c r="K9" s="4">
        <v>1</v>
      </c>
      <c r="L9" s="7">
        <v>7.2515934579999997E-3</v>
      </c>
      <c r="M9" s="8">
        <v>0.43533100000000002</v>
      </c>
      <c r="N9" s="2">
        <v>18.515979400375056</v>
      </c>
      <c r="O9" s="2">
        <v>49.621592299153569</v>
      </c>
      <c r="P9" s="86"/>
      <c r="Q9">
        <f t="shared" si="0"/>
        <v>214</v>
      </c>
      <c r="R9">
        <f t="shared" si="1"/>
        <v>0.22723448430894291</v>
      </c>
      <c r="S9">
        <f t="shared" si="2"/>
        <v>2.088411837001463E-4</v>
      </c>
    </row>
    <row r="10" spans="1:19" x14ac:dyDescent="0.3">
      <c r="A10" s="6">
        <v>45597</v>
      </c>
      <c r="B10" s="2">
        <v>31.854529099999997</v>
      </c>
      <c r="C10" s="2">
        <v>25.849866666666667</v>
      </c>
      <c r="D10" s="2">
        <v>6.0046624333333334</v>
      </c>
      <c r="E10" s="2">
        <v>194.6</v>
      </c>
      <c r="F10" s="2">
        <v>775.49599999999998</v>
      </c>
      <c r="G10" s="13">
        <v>1.03761443E-4</v>
      </c>
      <c r="H10" s="2">
        <v>5838</v>
      </c>
      <c r="I10" s="2">
        <v>180.13987299999999</v>
      </c>
      <c r="J10" s="4">
        <v>1</v>
      </c>
      <c r="K10" s="4">
        <v>1</v>
      </c>
      <c r="L10" s="7">
        <v>7.355354901E-3</v>
      </c>
      <c r="M10" s="8">
        <v>0.44116900000000003</v>
      </c>
      <c r="N10" s="2">
        <v>18.850262750653354</v>
      </c>
      <c r="O10" s="2">
        <v>47.350150613284917</v>
      </c>
      <c r="P10" s="86"/>
      <c r="Q10">
        <f t="shared" si="0"/>
        <v>245</v>
      </c>
      <c r="R10">
        <f t="shared" si="1"/>
        <v>0.23228988028307043</v>
      </c>
      <c r="S10">
        <f t="shared" si="2"/>
        <v>1.2174462063178016E-4</v>
      </c>
    </row>
    <row r="11" spans="1:19" x14ac:dyDescent="0.3">
      <c r="A11" s="6">
        <v>45627</v>
      </c>
      <c r="B11" s="2">
        <v>1.5233724193548388</v>
      </c>
      <c r="C11" s="2">
        <v>1.2338387096774195</v>
      </c>
      <c r="D11" s="2">
        <v>0.28953370967741937</v>
      </c>
      <c r="E11" s="2">
        <v>8.5483870967741939</v>
      </c>
      <c r="F11" s="2">
        <v>38.249000000000002</v>
      </c>
      <c r="G11" s="13">
        <v>5.1177199999999999E-6</v>
      </c>
      <c r="H11" s="2">
        <v>265</v>
      </c>
      <c r="I11" s="2">
        <v>8.9755450000000003</v>
      </c>
      <c r="J11" s="4">
        <v>1</v>
      </c>
      <c r="K11" s="4">
        <v>1</v>
      </c>
      <c r="L11" s="7">
        <v>7.3604726210000004E-3</v>
      </c>
      <c r="M11" s="8">
        <v>0.44143400000000005</v>
      </c>
      <c r="N11" s="2">
        <v>19.006101593991005</v>
      </c>
      <c r="O11" s="2">
        <v>43.577531438730425</v>
      </c>
      <c r="P11" s="86"/>
      <c r="Q11">
        <f t="shared" si="0"/>
        <v>275</v>
      </c>
      <c r="R11">
        <f t="shared" si="1"/>
        <v>0.2346609061674815</v>
      </c>
      <c r="S11" t="e">
        <f t="shared" si="2"/>
        <v>#DIV/0!</v>
      </c>
    </row>
    <row r="12" spans="1:19" x14ac:dyDescent="0.3">
      <c r="A12" s="6">
        <v>45658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13">
        <v>0</v>
      </c>
      <c r="H12" s="2">
        <v>0</v>
      </c>
      <c r="I12" s="2">
        <v>0</v>
      </c>
      <c r="J12" s="4">
        <v>1</v>
      </c>
      <c r="K12" s="4">
        <v>1</v>
      </c>
      <c r="L12" s="7">
        <v>7.3604726210000004E-3</v>
      </c>
      <c r="M12" s="8">
        <v>0.44143400000000005</v>
      </c>
      <c r="N12" s="2">
        <v>0</v>
      </c>
      <c r="O12" s="2"/>
      <c r="P12" s="86"/>
      <c r="Q12">
        <f t="shared" si="0"/>
        <v>306</v>
      </c>
      <c r="R12" t="e">
        <f t="shared" si="1"/>
        <v>#DIV/0!</v>
      </c>
      <c r="S12">
        <f t="shared" si="2"/>
        <v>4.2392962582548759E-3</v>
      </c>
    </row>
    <row r="13" spans="1:19" x14ac:dyDescent="0.3">
      <c r="A13" s="6">
        <v>45689</v>
      </c>
      <c r="B13" s="2">
        <v>60.77458982142857</v>
      </c>
      <c r="C13" s="2">
        <v>40.584107142857142</v>
      </c>
      <c r="D13" s="2">
        <v>20.190482678571431</v>
      </c>
      <c r="E13" s="2">
        <v>270.5</v>
      </c>
      <c r="F13" s="2">
        <v>1136.355</v>
      </c>
      <c r="G13" s="13">
        <v>1.5204441000000001E-4</v>
      </c>
      <c r="H13" s="2">
        <v>7574</v>
      </c>
      <c r="I13" s="2">
        <v>565.33351500000003</v>
      </c>
      <c r="J13" s="4">
        <v>1</v>
      </c>
      <c r="K13" s="4">
        <v>1</v>
      </c>
      <c r="L13" s="7">
        <v>7.5125170310000001E-3</v>
      </c>
      <c r="M13" s="8">
        <v>0.44900800000000007</v>
      </c>
      <c r="N13" s="2">
        <v>33.221915175234052</v>
      </c>
      <c r="O13" s="2">
        <v>41.922590387686945</v>
      </c>
      <c r="P13" s="86"/>
      <c r="Q13">
        <f t="shared" si="0"/>
        <v>337</v>
      </c>
      <c r="R13">
        <f t="shared" si="1"/>
        <v>0.49749727417928385</v>
      </c>
      <c r="S13" t="e">
        <f t="shared" si="2"/>
        <v>#DIV/0!</v>
      </c>
    </row>
    <row r="14" spans="1:19" x14ac:dyDescent="0.3">
      <c r="A14" s="6">
        <v>45717</v>
      </c>
      <c r="B14" s="2">
        <v>145.26202887096775</v>
      </c>
      <c r="C14" s="2">
        <v>97.565258064516129</v>
      </c>
      <c r="D14" s="2">
        <v>47.696770806451617</v>
      </c>
      <c r="E14" s="2">
        <v>601.87096774193549</v>
      </c>
      <c r="F14" s="2">
        <v>3024.5230000000001</v>
      </c>
      <c r="G14" s="13">
        <v>4.0468147100000001E-4</v>
      </c>
      <c r="H14" s="2">
        <v>18658</v>
      </c>
      <c r="I14" s="2">
        <v>1478.5998950000001</v>
      </c>
      <c r="J14" s="4">
        <v>1</v>
      </c>
      <c r="K14" s="4">
        <v>1</v>
      </c>
      <c r="L14" s="7">
        <v>7.9171985020000009E-3</v>
      </c>
      <c r="M14" s="7">
        <v>0.46766600000000008</v>
      </c>
      <c r="N14" s="2">
        <v>32.834988728416661</v>
      </c>
      <c r="O14" s="2">
        <v>38.801188947810942</v>
      </c>
      <c r="P14" s="86"/>
      <c r="Q14">
        <f t="shared" si="0"/>
        <v>365</v>
      </c>
      <c r="R14">
        <f t="shared" si="1"/>
        <v>0.48887044171923971</v>
      </c>
      <c r="S14">
        <f t="shared" si="2"/>
        <v>-8.581350521838457E-5</v>
      </c>
    </row>
    <row r="15" spans="1:19" x14ac:dyDescent="0.3">
      <c r="A15" s="6">
        <v>45748</v>
      </c>
      <c r="B15" s="2">
        <v>117.72470823333333</v>
      </c>
      <c r="C15" s="2">
        <v>78.881</v>
      </c>
      <c r="D15" s="2">
        <v>38.843708233333338</v>
      </c>
      <c r="E15" s="2">
        <v>558.66666666666663</v>
      </c>
      <c r="F15" s="2">
        <v>2366.4299999999998</v>
      </c>
      <c r="G15" s="13">
        <v>3.1662856399999997E-4</v>
      </c>
      <c r="H15" s="2">
        <v>16760</v>
      </c>
      <c r="I15" s="2">
        <v>1165.3112470000001</v>
      </c>
      <c r="J15" s="4">
        <v>1</v>
      </c>
      <c r="K15" s="4">
        <v>1</v>
      </c>
      <c r="L15" s="7">
        <v>8.2338270660000015E-3</v>
      </c>
      <c r="M15" s="7">
        <v>0.48442600000000008</v>
      </c>
      <c r="N15" s="2">
        <v>32.995374391877128</v>
      </c>
      <c r="O15" s="2">
        <v>44.546869334820812</v>
      </c>
      <c r="P15" s="86"/>
      <c r="Q15">
        <f t="shared" si="0"/>
        <v>396</v>
      </c>
      <c r="R15">
        <f t="shared" si="1"/>
        <v>0.49243427737139917</v>
      </c>
      <c r="S15">
        <f t="shared" si="2"/>
        <v>1.9791768556108222E-3</v>
      </c>
    </row>
    <row r="16" spans="1:19" x14ac:dyDescent="0.3">
      <c r="A16" s="6">
        <v>45778</v>
      </c>
      <c r="B16" s="2">
        <v>75.836159064516124</v>
      </c>
      <c r="C16" s="2">
        <v>47.114903225806451</v>
      </c>
      <c r="D16" s="2">
        <v>28.721255838709677</v>
      </c>
      <c r="E16" s="2">
        <v>291.70967741935482</v>
      </c>
      <c r="F16" s="2">
        <v>1460.5619999999999</v>
      </c>
      <c r="G16" s="13">
        <v>1.95423337E-4</v>
      </c>
      <c r="H16" s="2">
        <v>9043</v>
      </c>
      <c r="I16" s="2">
        <v>890.35893099999998</v>
      </c>
      <c r="J16" s="4">
        <v>1</v>
      </c>
      <c r="K16" s="4">
        <v>1</v>
      </c>
      <c r="L16" s="7">
        <v>8.4292504030000007E-3</v>
      </c>
      <c r="M16" s="7">
        <v>0.4934690000000001</v>
      </c>
      <c r="N16" s="2">
        <v>37.872772293591019</v>
      </c>
      <c r="O16" s="2">
        <v>38.942996873806109</v>
      </c>
      <c r="P16" s="86"/>
      <c r="Q16">
        <f t="shared" si="0"/>
        <v>426</v>
      </c>
      <c r="R16">
        <f t="shared" si="1"/>
        <v>0.60960022991149987</v>
      </c>
      <c r="S16">
        <f t="shared" si="2"/>
        <v>5.4916709560137479E-3</v>
      </c>
    </row>
    <row r="17" spans="1:19" x14ac:dyDescent="0.3">
      <c r="A17" s="6">
        <v>45809</v>
      </c>
      <c r="B17" s="2">
        <v>95.331891099999993</v>
      </c>
      <c r="C17" s="2">
        <v>52.167299999999997</v>
      </c>
      <c r="D17" s="2">
        <v>43.164591100000003</v>
      </c>
      <c r="E17" s="2">
        <v>264.5</v>
      </c>
      <c r="F17" s="2">
        <v>1565.019</v>
      </c>
      <c r="G17" s="13">
        <v>2.09399699E-4</v>
      </c>
      <c r="H17" s="2">
        <v>7935</v>
      </c>
      <c r="I17" s="2">
        <v>1294.937733</v>
      </c>
      <c r="J17" s="4">
        <v>1</v>
      </c>
      <c r="K17" s="4">
        <v>1</v>
      </c>
      <c r="L17" s="7">
        <v>8.6386501019999999E-3</v>
      </c>
      <c r="M17" s="7">
        <v>0.50140400000000007</v>
      </c>
      <c r="N17" s="2">
        <v>45.278228095487769</v>
      </c>
      <c r="O17" s="2">
        <v>31.890707397162586</v>
      </c>
      <c r="P17" s="86"/>
      <c r="Q17">
        <f t="shared" si="0"/>
        <v>457</v>
      </c>
      <c r="R17">
        <f t="shared" si="1"/>
        <v>0.82742620568823777</v>
      </c>
      <c r="S17">
        <f t="shared" si="2"/>
        <v>2.1296349210079678E-3</v>
      </c>
    </row>
    <row r="18" spans="1:19" x14ac:dyDescent="0.3">
      <c r="A18" s="6">
        <v>45839</v>
      </c>
      <c r="B18" s="2">
        <v>86.632490483870967</v>
      </c>
      <c r="C18" s="2">
        <v>49.802870967741931</v>
      </c>
      <c r="D18" s="2">
        <v>36.829619516129029</v>
      </c>
      <c r="E18" s="2">
        <v>297.35483870967744</v>
      </c>
      <c r="F18" s="2">
        <v>1543.8889999999999</v>
      </c>
      <c r="G18" s="13">
        <v>2.0657249999999998E-4</v>
      </c>
      <c r="H18" s="2">
        <v>9218</v>
      </c>
      <c r="I18" s="2">
        <v>1141.7182049999999</v>
      </c>
      <c r="J18" s="4">
        <v>1</v>
      </c>
      <c r="K18" s="4">
        <v>1</v>
      </c>
      <c r="L18" s="7">
        <v>8.845222602E-3</v>
      </c>
      <c r="M18" s="7">
        <v>0.51062200000000002</v>
      </c>
      <c r="N18" s="2">
        <v>42.512479221621689</v>
      </c>
      <c r="O18" s="2">
        <v>37.554109395170251</v>
      </c>
      <c r="P18" s="86"/>
      <c r="Q18">
        <f t="shared" si="0"/>
        <v>487</v>
      </c>
      <c r="R18">
        <f t="shared" si="1"/>
        <v>0.73950796009298592</v>
      </c>
      <c r="S18">
        <f t="shared" si="2"/>
        <v>7.7919694821545829E-3</v>
      </c>
    </row>
    <row r="19" spans="1:19" x14ac:dyDescent="0.3">
      <c r="A19" s="6">
        <v>45870</v>
      </c>
      <c r="B19" s="2">
        <v>159.20717961290322</v>
      </c>
      <c r="C19" s="2">
        <v>69.138258064516137</v>
      </c>
      <c r="D19" s="2">
        <v>90.068921548387095</v>
      </c>
      <c r="E19" s="2">
        <v>496.25806451612902</v>
      </c>
      <c r="F19" s="2">
        <v>2143.2860000000001</v>
      </c>
      <c r="G19" s="13">
        <v>2.8677187400000004E-4</v>
      </c>
      <c r="H19" s="2">
        <v>15384</v>
      </c>
      <c r="I19" s="2">
        <v>2792.1365679999999</v>
      </c>
      <c r="J19" s="4">
        <v>1</v>
      </c>
      <c r="K19" s="4">
        <v>1</v>
      </c>
      <c r="L19" s="7">
        <v>9.1319944760000007E-3</v>
      </c>
      <c r="M19" s="7">
        <v>0.52600599999999997</v>
      </c>
      <c r="N19" s="2">
        <v>56.573404395066177</v>
      </c>
      <c r="O19" s="2">
        <v>45.146696801080203</v>
      </c>
      <c r="P19" s="86"/>
      <c r="Q19">
        <f t="shared" si="0"/>
        <v>518</v>
      </c>
      <c r="R19">
        <f t="shared" si="1"/>
        <v>1.3027363440996673</v>
      </c>
      <c r="S19">
        <f t="shared" si="2"/>
        <v>1.5005674253245423E-2</v>
      </c>
    </row>
    <row r="20" spans="1:19" x14ac:dyDescent="0.3">
      <c r="A20" s="6">
        <v>45901</v>
      </c>
      <c r="B20" s="2">
        <v>193.39618673333334</v>
      </c>
      <c r="C20" s="2">
        <v>72.43683333333334</v>
      </c>
      <c r="D20" s="2">
        <v>120.9593534</v>
      </c>
      <c r="E20" s="2">
        <v>752.63333333333333</v>
      </c>
      <c r="F20" s="2">
        <v>2173.105</v>
      </c>
      <c r="G20" s="13">
        <v>2.9076166300000001E-4</v>
      </c>
      <c r="H20" s="2">
        <v>22579</v>
      </c>
      <c r="I20" s="2">
        <v>3628.7806019999998</v>
      </c>
      <c r="J20" s="4">
        <v>1</v>
      </c>
      <c r="K20" s="4">
        <v>1</v>
      </c>
      <c r="L20" s="7">
        <v>9.4227561389999999E-3</v>
      </c>
      <c r="M20" s="7">
        <v>0.54858499999999999</v>
      </c>
      <c r="N20" s="2">
        <v>62.544849225381185</v>
      </c>
      <c r="O20" s="2">
        <v>65.352292779226033</v>
      </c>
      <c r="P20" s="86"/>
      <c r="Q20">
        <f t="shared" si="0"/>
        <v>549</v>
      </c>
      <c r="R20">
        <f t="shared" si="1"/>
        <v>1.6698597637942021</v>
      </c>
      <c r="S20">
        <f t="shared" si="2"/>
        <v>1.4800578532437644E-3</v>
      </c>
    </row>
    <row r="21" spans="1:19" x14ac:dyDescent="0.3">
      <c r="A21" s="6">
        <v>45931</v>
      </c>
      <c r="B21" s="2">
        <v>177.89918161290322</v>
      </c>
      <c r="C21" s="2">
        <v>74.340870967741935</v>
      </c>
      <c r="D21" s="2">
        <v>103.55831064516128</v>
      </c>
      <c r="E21" s="2">
        <v>784.48387096774195</v>
      </c>
      <c r="F21" s="2">
        <v>2304.567</v>
      </c>
      <c r="G21" s="13">
        <v>3.0835128999999998E-4</v>
      </c>
      <c r="H21" s="2">
        <v>24319</v>
      </c>
      <c r="I21" s="2">
        <v>3210.3076299999998</v>
      </c>
      <c r="J21" s="4">
        <v>1</v>
      </c>
      <c r="K21" s="4">
        <v>1</v>
      </c>
      <c r="L21" s="7">
        <v>9.7311074289999997E-3</v>
      </c>
      <c r="M21" s="7">
        <v>0.57290399999999997</v>
      </c>
      <c r="N21" s="2">
        <v>58.211797101179066</v>
      </c>
      <c r="O21" s="2">
        <v>66.373269338665352</v>
      </c>
      <c r="P21" s="86"/>
      <c r="Q21">
        <f t="shared" si="0"/>
        <v>579</v>
      </c>
      <c r="R21">
        <f t="shared" si="1"/>
        <v>1.3930198731475369</v>
      </c>
      <c r="S21">
        <f t="shared" si="2"/>
        <v>3.0416389140149398E-3</v>
      </c>
    </row>
  </sheetData>
  <mergeCells count="1">
    <mergeCell ref="P1:P2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Structure-B</vt:lpstr>
      <vt:lpstr>Well_B-1</vt:lpstr>
      <vt:lpstr>Well_B-2</vt:lpstr>
      <vt:lpstr>Well_B-3</vt:lpstr>
      <vt:lpstr>Well_B-4</vt:lpstr>
      <vt:lpstr>Well_B-5</vt:lpstr>
      <vt:lpstr>Well_B-6</vt:lpstr>
      <vt:lpstr>Well_B-7</vt:lpstr>
      <vt:lpstr>Well_B-8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Dhanshreshthi</dc:creator>
  <cp:lastModifiedBy>abhilash guttikonda</cp:lastModifiedBy>
  <dcterms:created xsi:type="dcterms:W3CDTF">2015-06-05T18:17:20Z</dcterms:created>
  <dcterms:modified xsi:type="dcterms:W3CDTF">2025-12-22T11:54:17Z</dcterms:modified>
</cp:coreProperties>
</file>