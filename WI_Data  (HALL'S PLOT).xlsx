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il\OneDrive - Indian Institute of Technology Indian School of Mines Dhanbad\Desktop\PETROLEUM\ONGC Training\IRS ONGC\"/>
    </mc:Choice>
  </mc:AlternateContent>
  <xr:revisionPtr revIDLastSave="0" documentId="8_{4999C1FC-8F0F-4D61-A2FA-B99D30C97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-1" sheetId="1" r:id="rId1"/>
    <sheet name="H-1z SS" sheetId="2" r:id="rId2"/>
    <sheet name="H-2" sheetId="3" r:id="rId3"/>
    <sheet name="H-3" sheetId="4" r:id="rId4"/>
    <sheet name="H-4" sheetId="5" r:id="rId5"/>
    <sheet name="H-5" sheetId="6" r:id="rId6"/>
    <sheet name="H-6" sheetId="7" r:id="rId7"/>
    <sheet name="H-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6" i="7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3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2" i="7"/>
  <c r="G4" i="7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3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2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2" i="7"/>
  <c r="I4" i="6"/>
  <c r="I5" i="6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3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2" i="6"/>
  <c r="G4" i="6"/>
  <c r="G5" i="6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3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2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3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" i="6"/>
  <c r="I4" i="5"/>
  <c r="I5" i="5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3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2" i="5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3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2" i="5"/>
  <c r="I4" i="4"/>
  <c r="I5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2" i="4"/>
  <c r="G4" i="4"/>
  <c r="G5" i="4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2" i="4"/>
  <c r="I4" i="3"/>
  <c r="I5" i="3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2" i="3"/>
  <c r="G4" i="3"/>
  <c r="G5" i="3"/>
  <c r="G6" i="3"/>
  <c r="G7" i="3"/>
  <c r="G8" i="3"/>
  <c r="G9" i="3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2" i="3"/>
  <c r="I4" i="2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I4" i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2" i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3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2" i="8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3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2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3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2" i="8"/>
</calcChain>
</file>

<file path=xl/sharedStrings.xml><?xml version="1.0" encoding="utf-8"?>
<sst xmlns="http://schemas.openxmlformats.org/spreadsheetml/2006/main" count="72" uniqueCount="9">
  <si>
    <t>Date</t>
  </si>
  <si>
    <t>Monthly  WI, m3</t>
  </si>
  <si>
    <t>ITHP, KSC</t>
  </si>
  <si>
    <t>ITHP(psi)</t>
  </si>
  <si>
    <t>TIME</t>
  </si>
  <si>
    <t>ITHP*TIME</t>
  </si>
  <si>
    <t>CUMM (ITHP *TIME)</t>
  </si>
  <si>
    <t>MONTHLY WI (BBL)</t>
  </si>
  <si>
    <t>CUMM MONTHLY WI (BBL)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</si>
</sst>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"/>
  </numFmts>
  <fonts count="7" x14ac:knownFonts="1">
    <font>
      <sz val="11"/>
      <color theme="1"/>
      <name val="Calibri"/>
      <family val="2"/>
      <scheme val="minor"/>
    </font>
    <font>
      <sz val="10"/>
      <color theme="0"/>
      <name val="Arial"/>
    </font>
    <font>
      <b/>
      <sz val="10"/>
      <color theme="0"/>
      <name val="Arial"/>
    </font>
    <font>
      <sz val="10"/>
      <color theme="1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4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2" fontId="1" fillId="2" borderId="1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left"/>
    </xf>
    <xf numFmtId="17" fontId="3" fillId="0" borderId="2" xfId="0" applyNumberFormat="1" applyFont="1" applyBorder="1"/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1" fontId="4" fillId="0" borderId="0" xfId="1" applyNumberFormat="1" applyAlignment="1">
      <alignment horizontal="center" vertical="center"/>
    </xf>
    <xf numFmtId="1" fontId="4" fillId="0" borderId="0" xfId="1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center"/>
    </xf>
    <xf numFmtId="17" fontId="3" fillId="0" borderId="3" xfId="0" applyNumberFormat="1" applyFont="1" applyBorder="1"/>
    <xf numFmtId="1" fontId="3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5EC6BDA1-04AF-4B9F-804C-E1E182A5F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'H-1'!$I$1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'H-1'!$G$2:$G$91</c:f>
              <c:numCache>
                <c:formatCode>General</c:formatCode>
                <c:ptCount val="90"/>
                <c:pt idx="0">
                  <c:v>0</c:v>
                </c:pt>
                <c:pt idx="1">
                  <c:v>16641</c:v>
                </c:pt>
                <c:pt idx="2">
                  <c:v>32956.300000000003</c:v>
                </c:pt>
                <c:pt idx="3">
                  <c:v>53437.3</c:v>
                </c:pt>
                <c:pt idx="4">
                  <c:v>72837.100000000006</c:v>
                </c:pt>
                <c:pt idx="5">
                  <c:v>90913.200000000012</c:v>
                </c:pt>
                <c:pt idx="6">
                  <c:v>110113.20000000001</c:v>
                </c:pt>
                <c:pt idx="7">
                  <c:v>129953.20000000001</c:v>
                </c:pt>
                <c:pt idx="8">
                  <c:v>147020.20000000001</c:v>
                </c:pt>
                <c:pt idx="9">
                  <c:v>164215.90000000002</c:v>
                </c:pt>
                <c:pt idx="10">
                  <c:v>181411.60000000003</c:v>
                </c:pt>
                <c:pt idx="11">
                  <c:v>197497.90000000002</c:v>
                </c:pt>
                <c:pt idx="12">
                  <c:v>220425.50000000003</c:v>
                </c:pt>
                <c:pt idx="13">
                  <c:v>241761.50000000003</c:v>
                </c:pt>
                <c:pt idx="14">
                  <c:v>265129.30000000005</c:v>
                </c:pt>
                <c:pt idx="15">
                  <c:v>284758.30000000005</c:v>
                </c:pt>
                <c:pt idx="16">
                  <c:v>305041.60000000003</c:v>
                </c:pt>
                <c:pt idx="17">
                  <c:v>327088.80000000005</c:v>
                </c:pt>
                <c:pt idx="18">
                  <c:v>348424.80000000005</c:v>
                </c:pt>
                <c:pt idx="19">
                  <c:v>370470.45000000007</c:v>
                </c:pt>
                <c:pt idx="20">
                  <c:v>387537.45000000007</c:v>
                </c:pt>
                <c:pt idx="21">
                  <c:v>406497.05000000005</c:v>
                </c:pt>
                <c:pt idx="22">
                  <c:v>425896.85000000003</c:v>
                </c:pt>
                <c:pt idx="23">
                  <c:v>443816.85000000003</c:v>
                </c:pt>
                <c:pt idx="24">
                  <c:v>463657.93500000006</c:v>
                </c:pt>
                <c:pt idx="25">
                  <c:v>482431.93500000006</c:v>
                </c:pt>
                <c:pt idx="26">
                  <c:v>500951.33500000008</c:v>
                </c:pt>
                <c:pt idx="27">
                  <c:v>519299.33500000008</c:v>
                </c:pt>
                <c:pt idx="28">
                  <c:v>537818.7350000001</c:v>
                </c:pt>
                <c:pt idx="29">
                  <c:v>556337.08100000012</c:v>
                </c:pt>
                <c:pt idx="30">
                  <c:v>574258.0610000001</c:v>
                </c:pt>
                <c:pt idx="31">
                  <c:v>574258.0610000001</c:v>
                </c:pt>
                <c:pt idx="32">
                  <c:v>574258.0610000001</c:v>
                </c:pt>
                <c:pt idx="33">
                  <c:v>585281.66100000008</c:v>
                </c:pt>
                <c:pt idx="34">
                  <c:v>596305.26100000006</c:v>
                </c:pt>
                <c:pt idx="35">
                  <c:v>605864.46100000001</c:v>
                </c:pt>
                <c:pt idx="36">
                  <c:v>617768.46100000001</c:v>
                </c:pt>
                <c:pt idx="37">
                  <c:v>627581.46100000001</c:v>
                </c:pt>
                <c:pt idx="38">
                  <c:v>639485.46100000001</c:v>
                </c:pt>
                <c:pt idx="39">
                  <c:v>651006.09100000001</c:v>
                </c:pt>
                <c:pt idx="40">
                  <c:v>670846.09100000001</c:v>
                </c:pt>
                <c:pt idx="41">
                  <c:v>692449.99100000004</c:v>
                </c:pt>
                <c:pt idx="42">
                  <c:v>711649.99100000004</c:v>
                </c:pt>
                <c:pt idx="43">
                  <c:v>731489.99100000004</c:v>
                </c:pt>
                <c:pt idx="44">
                  <c:v>751118.99100000004</c:v>
                </c:pt>
                <c:pt idx="45">
                  <c:v>771400.98900000006</c:v>
                </c:pt>
                <c:pt idx="46">
                  <c:v>793004.88900000008</c:v>
                </c:pt>
                <c:pt idx="47">
                  <c:v>812918.48900000006</c:v>
                </c:pt>
                <c:pt idx="48">
                  <c:v>834965.68900000001</c:v>
                </c:pt>
                <c:pt idx="49">
                  <c:v>856301.68900000001</c:v>
                </c:pt>
                <c:pt idx="50">
                  <c:v>879229.16500000004</c:v>
                </c:pt>
                <c:pt idx="51">
                  <c:v>900565.16500000004</c:v>
                </c:pt>
                <c:pt idx="52">
                  <c:v>921288.66500000004</c:v>
                </c:pt>
                <c:pt idx="53">
                  <c:v>943335.86499999999</c:v>
                </c:pt>
                <c:pt idx="54">
                  <c:v>963390.86499999999</c:v>
                </c:pt>
                <c:pt idx="55">
                  <c:v>985438.06499999994</c:v>
                </c:pt>
                <c:pt idx="56">
                  <c:v>1006774.0649999999</c:v>
                </c:pt>
                <c:pt idx="57">
                  <c:v>1028821.2649999999</c:v>
                </c:pt>
                <c:pt idx="58">
                  <c:v>1047427.4649999999</c:v>
                </c:pt>
                <c:pt idx="59">
                  <c:v>1066813.9649999999</c:v>
                </c:pt>
                <c:pt idx="60">
                  <c:v>1085333.3649999998</c:v>
                </c:pt>
                <c:pt idx="61">
                  <c:v>1103681.3649999998</c:v>
                </c:pt>
                <c:pt idx="62">
                  <c:v>1123521.3649999998</c:v>
                </c:pt>
                <c:pt idx="63">
                  <c:v>1142721.3649999998</c:v>
                </c:pt>
                <c:pt idx="64">
                  <c:v>1162561.3649999998</c:v>
                </c:pt>
                <c:pt idx="65">
                  <c:v>1182711.3649999998</c:v>
                </c:pt>
                <c:pt idx="66">
                  <c:v>1203618.3649999998</c:v>
                </c:pt>
                <c:pt idx="67">
                  <c:v>1225665.5649999997</c:v>
                </c:pt>
                <c:pt idx="68">
                  <c:v>1247001.5649999997</c:v>
                </c:pt>
                <c:pt idx="69">
                  <c:v>1268605.4649999996</c:v>
                </c:pt>
                <c:pt idx="70">
                  <c:v>1290652.6649999996</c:v>
                </c:pt>
                <c:pt idx="71">
                  <c:v>1310564.8649999995</c:v>
                </c:pt>
                <c:pt idx="72">
                  <c:v>1332610.5149999994</c:v>
                </c:pt>
                <c:pt idx="73">
                  <c:v>1353945.0149999994</c:v>
                </c:pt>
                <c:pt idx="74">
                  <c:v>1375992.2149999994</c:v>
                </c:pt>
                <c:pt idx="75">
                  <c:v>1396473.2149999994</c:v>
                </c:pt>
                <c:pt idx="76">
                  <c:v>1417636.9149999993</c:v>
                </c:pt>
                <c:pt idx="77">
                  <c:v>1438800.6149999993</c:v>
                </c:pt>
                <c:pt idx="78">
                  <c:v>1459281.6149999993</c:v>
                </c:pt>
                <c:pt idx="79">
                  <c:v>1480445.3149999992</c:v>
                </c:pt>
                <c:pt idx="80">
                  <c:v>1500926.3149999992</c:v>
                </c:pt>
                <c:pt idx="81">
                  <c:v>1525176.5299999993</c:v>
                </c:pt>
                <c:pt idx="82">
                  <c:v>1549426.7449999994</c:v>
                </c:pt>
                <c:pt idx="83">
                  <c:v>1571330.1649999993</c:v>
                </c:pt>
                <c:pt idx="84">
                  <c:v>1595580.3799999994</c:v>
                </c:pt>
                <c:pt idx="85">
                  <c:v>1619048.3299999994</c:v>
                </c:pt>
                <c:pt idx="86">
                  <c:v>1645503.1099999994</c:v>
                </c:pt>
                <c:pt idx="87">
                  <c:v>1671105.1099999994</c:v>
                </c:pt>
                <c:pt idx="88">
                  <c:v>1697559.8899999994</c:v>
                </c:pt>
                <c:pt idx="89">
                  <c:v>1697559.8899999994</c:v>
                </c:pt>
              </c:numCache>
            </c:numRef>
          </c:xVal>
          <c:yVal>
            <c:numRef>
              <c:f>'H-1'!$I$2:$I$91</c:f>
              <c:numCache>
                <c:formatCode>General</c:formatCode>
                <c:ptCount val="90"/>
                <c:pt idx="0">
                  <c:v>68787.460521000001</c:v>
                </c:pt>
                <c:pt idx="1">
                  <c:v>175410.621702</c:v>
                </c:pt>
                <c:pt idx="2">
                  <c:v>264542.62272500002</c:v>
                </c:pt>
                <c:pt idx="3">
                  <c:v>358720.32646800001</c:v>
                </c:pt>
                <c:pt idx="4">
                  <c:v>458883.56113619998</c:v>
                </c:pt>
                <c:pt idx="5">
                  <c:v>568506.52920819994</c:v>
                </c:pt>
                <c:pt idx="6">
                  <c:v>678476.56844219996</c:v>
                </c:pt>
                <c:pt idx="7">
                  <c:v>778660.43365519994</c:v>
                </c:pt>
                <c:pt idx="8">
                  <c:v>888992.53264719993</c:v>
                </c:pt>
                <c:pt idx="9">
                  <c:v>1001367.0869481999</c:v>
                </c:pt>
                <c:pt idx="10">
                  <c:v>1102858.9789681998</c:v>
                </c:pt>
                <c:pt idx="11">
                  <c:v>1221463.2279381999</c:v>
                </c:pt>
                <c:pt idx="12">
                  <c:v>1332725.9280001998</c:v>
                </c:pt>
                <c:pt idx="13">
                  <c:v>1430336.6108751998</c:v>
                </c:pt>
                <c:pt idx="14">
                  <c:v>1528845.8545751998</c:v>
                </c:pt>
                <c:pt idx="15">
                  <c:v>1618751.9853151997</c:v>
                </c:pt>
                <c:pt idx="16">
                  <c:v>1708665.7581601997</c:v>
                </c:pt>
                <c:pt idx="17">
                  <c:v>1811502.1829841998</c:v>
                </c:pt>
                <c:pt idx="18">
                  <c:v>1909186.1168681998</c:v>
                </c:pt>
                <c:pt idx="19">
                  <c:v>1944510.3003871997</c:v>
                </c:pt>
                <c:pt idx="20">
                  <c:v>2020532.7102841998</c:v>
                </c:pt>
                <c:pt idx="21">
                  <c:v>2096012.0651381998</c:v>
                </c:pt>
                <c:pt idx="22">
                  <c:v>2179663.2287911996</c:v>
                </c:pt>
                <c:pt idx="23">
                  <c:v>2252742.3833861998</c:v>
                </c:pt>
                <c:pt idx="24">
                  <c:v>2336297.8414391996</c:v>
                </c:pt>
                <c:pt idx="25">
                  <c:v>2426798.1758751995</c:v>
                </c:pt>
                <c:pt idx="26">
                  <c:v>2508593.8548171995</c:v>
                </c:pt>
                <c:pt idx="27">
                  <c:v>2604457.6086351997</c:v>
                </c:pt>
                <c:pt idx="28">
                  <c:v>2702046.6608861997</c:v>
                </c:pt>
                <c:pt idx="29">
                  <c:v>2792917.4142211997</c:v>
                </c:pt>
                <c:pt idx="30">
                  <c:v>2804353.7613041997</c:v>
                </c:pt>
                <c:pt idx="31">
                  <c:v>2804353.7613041997</c:v>
                </c:pt>
                <c:pt idx="32">
                  <c:v>2804353.7613041997</c:v>
                </c:pt>
                <c:pt idx="33">
                  <c:v>2860262.2147641997</c:v>
                </c:pt>
                <c:pt idx="34">
                  <c:v>2897257.0446411995</c:v>
                </c:pt>
                <c:pt idx="35">
                  <c:v>2946289.2245701994</c:v>
                </c:pt>
                <c:pt idx="36">
                  <c:v>2986651.7769021993</c:v>
                </c:pt>
                <c:pt idx="37">
                  <c:v>3029649.5541611994</c:v>
                </c:pt>
                <c:pt idx="38">
                  <c:v>3072216.2348181992</c:v>
                </c:pt>
                <c:pt idx="39">
                  <c:v>3122825.4248541994</c:v>
                </c:pt>
                <c:pt idx="40">
                  <c:v>3186646.9624761995</c:v>
                </c:pt>
                <c:pt idx="41">
                  <c:v>3264097.8865901995</c:v>
                </c:pt>
                <c:pt idx="42">
                  <c:v>3348942.7347761993</c:v>
                </c:pt>
                <c:pt idx="43">
                  <c:v>3435347.5980281993</c:v>
                </c:pt>
                <c:pt idx="44">
                  <c:v>3520084.7711281991</c:v>
                </c:pt>
                <c:pt idx="45">
                  <c:v>3607983.6379951993</c:v>
                </c:pt>
                <c:pt idx="46">
                  <c:v>3695278.7092211992</c:v>
                </c:pt>
                <c:pt idx="47">
                  <c:v>3782315.533836199</c:v>
                </c:pt>
                <c:pt idx="48">
                  <c:v>3838067.553681199</c:v>
                </c:pt>
                <c:pt idx="49">
                  <c:v>3900844.2863371992</c:v>
                </c:pt>
                <c:pt idx="50">
                  <c:v>3959746.7223351994</c:v>
                </c:pt>
                <c:pt idx="51">
                  <c:v>4013302.3817591993</c:v>
                </c:pt>
                <c:pt idx="52">
                  <c:v>4102277.3201891994</c:v>
                </c:pt>
                <c:pt idx="53">
                  <c:v>4193825.0572751993</c:v>
                </c:pt>
                <c:pt idx="54">
                  <c:v>4280855.9820601996</c:v>
                </c:pt>
                <c:pt idx="55">
                  <c:v>4366835.8309431998</c:v>
                </c:pt>
                <c:pt idx="56">
                  <c:v>4454310.6269121999</c:v>
                </c:pt>
                <c:pt idx="57">
                  <c:v>4533442.4686252</c:v>
                </c:pt>
                <c:pt idx="58">
                  <c:v>4612520.2243491998</c:v>
                </c:pt>
                <c:pt idx="59">
                  <c:v>4689718.3425332</c:v>
                </c:pt>
                <c:pt idx="60">
                  <c:v>4773115.7630732004</c:v>
                </c:pt>
                <c:pt idx="61">
                  <c:v>4853919.5468452005</c:v>
                </c:pt>
                <c:pt idx="62">
                  <c:v>4930062.9536232008</c:v>
                </c:pt>
                <c:pt idx="63">
                  <c:v>5005586.7773602009</c:v>
                </c:pt>
                <c:pt idx="64">
                  <c:v>5088073.2587442007</c:v>
                </c:pt>
                <c:pt idx="65">
                  <c:v>5161643.6089792009</c:v>
                </c:pt>
                <c:pt idx="66">
                  <c:v>5241311.002002201</c:v>
                </c:pt>
                <c:pt idx="67">
                  <c:v>5320241.3436842011</c:v>
                </c:pt>
                <c:pt idx="68">
                  <c:v>5397496.7053372012</c:v>
                </c:pt>
                <c:pt idx="69">
                  <c:v>5474115.7719512014</c:v>
                </c:pt>
                <c:pt idx="70">
                  <c:v>5544045.9444642011</c:v>
                </c:pt>
                <c:pt idx="71">
                  <c:v>5627255.853483201</c:v>
                </c:pt>
                <c:pt idx="72">
                  <c:v>5658545.5014012009</c:v>
                </c:pt>
                <c:pt idx="73">
                  <c:v>5684286.1368002007</c:v>
                </c:pt>
                <c:pt idx="74">
                  <c:v>5734392.0862252004</c:v>
                </c:pt>
                <c:pt idx="75">
                  <c:v>5802958.5231762007</c:v>
                </c:pt>
                <c:pt idx="76">
                  <c:v>5866760.9523872007</c:v>
                </c:pt>
                <c:pt idx="77">
                  <c:v>5923551.6320652002</c:v>
                </c:pt>
                <c:pt idx="78">
                  <c:v>5976945.4234872004</c:v>
                </c:pt>
                <c:pt idx="79">
                  <c:v>6026429.7331092004</c:v>
                </c:pt>
                <c:pt idx="80">
                  <c:v>6061944.2522682007</c:v>
                </c:pt>
                <c:pt idx="81">
                  <c:v>6144792.4537612004</c:v>
                </c:pt>
                <c:pt idx="82">
                  <c:v>6221637.7078722008</c:v>
                </c:pt>
                <c:pt idx="83">
                  <c:v>6307205.5119582005</c:v>
                </c:pt>
                <c:pt idx="84">
                  <c:v>6359060.7679792009</c:v>
                </c:pt>
                <c:pt idx="85">
                  <c:v>6441408.4020302007</c:v>
                </c:pt>
                <c:pt idx="86">
                  <c:v>6523827.135980201</c:v>
                </c:pt>
                <c:pt idx="87">
                  <c:v>6597576.6134292008</c:v>
                </c:pt>
                <c:pt idx="88">
                  <c:v>6618186.2438442009</c:v>
                </c:pt>
                <c:pt idx="89">
                  <c:v>6618186.2438442009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AE-4CA4-A805-B41426DF3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196448"/>
        <c:axId val="1602197408"/>
      </c:scatterChart>
      <c:valAx>
        <c:axId val="16021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97408"/>
        <c:crosses val="autoZero"/>
        <c:crossBetween val="midCat"/>
      </c:valAx>
      <c:valAx>
        <c:axId val="16021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9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'H-1z SS'!$I$1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'H-1z SS'!$G$2:$G$34</c:f>
              <c:numCache>
                <c:formatCode>General</c:formatCode>
                <c:ptCount val="33"/>
                <c:pt idx="0">
                  <c:v>0</c:v>
                </c:pt>
                <c:pt idx="1">
                  <c:v>18077.433000000001</c:v>
                </c:pt>
                <c:pt idx="2">
                  <c:v>36154.866000000002</c:v>
                </c:pt>
                <c:pt idx="3">
                  <c:v>68412.63</c:v>
                </c:pt>
                <c:pt idx="4">
                  <c:v>104126.58300000001</c:v>
                </c:pt>
                <c:pt idx="5">
                  <c:v>138688.473</c:v>
                </c:pt>
                <c:pt idx="6">
                  <c:v>174402.42600000001</c:v>
                </c:pt>
                <c:pt idx="7">
                  <c:v>209391.00599999999</c:v>
                </c:pt>
                <c:pt idx="8">
                  <c:v>244664.046</c:v>
                </c:pt>
                <c:pt idx="9">
                  <c:v>268032.435</c:v>
                </c:pt>
                <c:pt idx="10">
                  <c:v>290647.005</c:v>
                </c:pt>
                <c:pt idx="11">
                  <c:v>314015.39400000003</c:v>
                </c:pt>
                <c:pt idx="12">
                  <c:v>336629.96400000004</c:v>
                </c:pt>
                <c:pt idx="13">
                  <c:v>359998.35300000006</c:v>
                </c:pt>
                <c:pt idx="14">
                  <c:v>383366.74200000009</c:v>
                </c:pt>
                <c:pt idx="15">
                  <c:v>393678.41700000007</c:v>
                </c:pt>
                <c:pt idx="16">
                  <c:v>420133.19700000004</c:v>
                </c:pt>
                <c:pt idx="17">
                  <c:v>454268.39700000006</c:v>
                </c:pt>
                <c:pt idx="18">
                  <c:v>489541.43700000003</c:v>
                </c:pt>
                <c:pt idx="19">
                  <c:v>522396.56700000004</c:v>
                </c:pt>
                <c:pt idx="20">
                  <c:v>554583.21600000001</c:v>
                </c:pt>
                <c:pt idx="21">
                  <c:v>589856.25600000005</c:v>
                </c:pt>
                <c:pt idx="22">
                  <c:v>622284.696</c:v>
                </c:pt>
                <c:pt idx="23">
                  <c:v>655794.08400000003</c:v>
                </c:pt>
                <c:pt idx="24">
                  <c:v>688222.52399999998</c:v>
                </c:pt>
                <c:pt idx="25">
                  <c:v>721290.99899999995</c:v>
                </c:pt>
                <c:pt idx="26">
                  <c:v>754359.47399999993</c:v>
                </c:pt>
                <c:pt idx="27">
                  <c:v>784227.77399999998</c:v>
                </c:pt>
                <c:pt idx="28">
                  <c:v>817296.24899999995</c:v>
                </c:pt>
                <c:pt idx="29">
                  <c:v>849297.99899999995</c:v>
                </c:pt>
                <c:pt idx="30">
                  <c:v>886334.69099999999</c:v>
                </c:pt>
                <c:pt idx="31">
                  <c:v>922176.65099999995</c:v>
                </c:pt>
                <c:pt idx="32">
                  <c:v>922176.65099999995</c:v>
                </c:pt>
              </c:numCache>
            </c:numRef>
          </c:xVal>
          <c:yVal>
            <c:numRef>
              <c:f>'H-1z SS'!$I$2:$I$34</c:f>
              <c:numCache>
                <c:formatCode>General</c:formatCode>
                <c:ptCount val="33"/>
                <c:pt idx="0">
                  <c:v>3528.7098860000001</c:v>
                </c:pt>
                <c:pt idx="1">
                  <c:v>14984.876129</c:v>
                </c:pt>
                <c:pt idx="2">
                  <c:v>44160.327281999998</c:v>
                </c:pt>
                <c:pt idx="3">
                  <c:v>99629.104850000003</c:v>
                </c:pt>
                <c:pt idx="4">
                  <c:v>151778.51594900002</c:v>
                </c:pt>
                <c:pt idx="5">
                  <c:v>207362.75537700002</c:v>
                </c:pt>
                <c:pt idx="6">
                  <c:v>264838.93519700004</c:v>
                </c:pt>
                <c:pt idx="7">
                  <c:v>327113.13799200003</c:v>
                </c:pt>
                <c:pt idx="8">
                  <c:v>385910.86769100005</c:v>
                </c:pt>
                <c:pt idx="9">
                  <c:v>436349.74252100004</c:v>
                </c:pt>
                <c:pt idx="10">
                  <c:v>480742.27034600003</c:v>
                </c:pt>
                <c:pt idx="11">
                  <c:v>498201.35881100001</c:v>
                </c:pt>
                <c:pt idx="12">
                  <c:v>502216.07525300002</c:v>
                </c:pt>
                <c:pt idx="13">
                  <c:v>578275.60754900007</c:v>
                </c:pt>
                <c:pt idx="14">
                  <c:v>654838.38045700011</c:v>
                </c:pt>
                <c:pt idx="15">
                  <c:v>715409.82631293719</c:v>
                </c:pt>
                <c:pt idx="16">
                  <c:v>772190.30286545726</c:v>
                </c:pt>
                <c:pt idx="17">
                  <c:v>840985.63821445731</c:v>
                </c:pt>
                <c:pt idx="18">
                  <c:v>900804.43517645728</c:v>
                </c:pt>
                <c:pt idx="19">
                  <c:v>962113.04674645723</c:v>
                </c:pt>
                <c:pt idx="20">
                  <c:v>1024548.3438964572</c:v>
                </c:pt>
                <c:pt idx="21">
                  <c:v>1080805.6045064572</c:v>
                </c:pt>
                <c:pt idx="22">
                  <c:v>1120477.9959554572</c:v>
                </c:pt>
                <c:pt idx="23">
                  <c:v>1171791.8888904571</c:v>
                </c:pt>
                <c:pt idx="24">
                  <c:v>1231579.5387624572</c:v>
                </c:pt>
                <c:pt idx="25">
                  <c:v>1287814.8039424573</c:v>
                </c:pt>
                <c:pt idx="26">
                  <c:v>1332988.1475434573</c:v>
                </c:pt>
                <c:pt idx="27">
                  <c:v>1383699.2134694573</c:v>
                </c:pt>
                <c:pt idx="28">
                  <c:v>1449697.8018304573</c:v>
                </c:pt>
                <c:pt idx="29">
                  <c:v>1519091.0895974573</c:v>
                </c:pt>
                <c:pt idx="30">
                  <c:v>1586379.0114804574</c:v>
                </c:pt>
                <c:pt idx="31">
                  <c:v>1652782.6566704575</c:v>
                </c:pt>
                <c:pt idx="32">
                  <c:v>1652782.6566704575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20-4205-883B-291B98997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16128"/>
        <c:axId val="1602207488"/>
      </c:scatterChart>
      <c:valAx>
        <c:axId val="160221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7488"/>
        <c:crosses val="autoZero"/>
        <c:crossBetween val="midCat"/>
      </c:valAx>
      <c:valAx>
        <c:axId val="16022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'H-2'!$I$1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'H-2'!$G$2:$G$103</c:f>
              <c:numCache>
                <c:formatCode>General</c:formatCode>
                <c:ptCount val="102"/>
                <c:pt idx="0">
                  <c:v>0</c:v>
                </c:pt>
                <c:pt idx="1">
                  <c:v>39682.170000000006</c:v>
                </c:pt>
                <c:pt idx="2">
                  <c:v>77230.890000000014</c:v>
                </c:pt>
                <c:pt idx="3">
                  <c:v>116031.23400000001</c:v>
                </c:pt>
                <c:pt idx="4">
                  <c:v>153579.95400000003</c:v>
                </c:pt>
                <c:pt idx="5">
                  <c:v>188852.99400000004</c:v>
                </c:pt>
                <c:pt idx="6">
                  <c:v>224126.03400000004</c:v>
                </c:pt>
                <c:pt idx="7">
                  <c:v>259541.30400000006</c:v>
                </c:pt>
                <c:pt idx="8">
                  <c:v>297018.90900000004</c:v>
                </c:pt>
                <c:pt idx="9">
                  <c:v>334994.31900000002</c:v>
                </c:pt>
                <c:pt idx="10">
                  <c:v>371149.185</c:v>
                </c:pt>
                <c:pt idx="11">
                  <c:v>407744.96399999998</c:v>
                </c:pt>
                <c:pt idx="12">
                  <c:v>441595.70399999997</c:v>
                </c:pt>
                <c:pt idx="13">
                  <c:v>479514.22199999995</c:v>
                </c:pt>
                <c:pt idx="14">
                  <c:v>516209.56199999998</c:v>
                </c:pt>
                <c:pt idx="15">
                  <c:v>551923.51500000001</c:v>
                </c:pt>
                <c:pt idx="16">
                  <c:v>586485.40500000003</c:v>
                </c:pt>
                <c:pt idx="17">
                  <c:v>625726.66200000001</c:v>
                </c:pt>
                <c:pt idx="18">
                  <c:v>663204.26699999999</c:v>
                </c:pt>
                <c:pt idx="19">
                  <c:v>693072.56700000004</c:v>
                </c:pt>
                <c:pt idx="20">
                  <c:v>732754.73700000008</c:v>
                </c:pt>
                <c:pt idx="21">
                  <c:v>770730.14700000011</c:v>
                </c:pt>
                <c:pt idx="22">
                  <c:v>808207.75200000009</c:v>
                </c:pt>
                <c:pt idx="23">
                  <c:v>848330.83500000008</c:v>
                </c:pt>
                <c:pt idx="24">
                  <c:v>884172.79500000004</c:v>
                </c:pt>
                <c:pt idx="25">
                  <c:v>923414.05200000003</c:v>
                </c:pt>
                <c:pt idx="26">
                  <c:v>960962.772</c:v>
                </c:pt>
                <c:pt idx="27">
                  <c:v>1001085.855</c:v>
                </c:pt>
                <c:pt idx="28">
                  <c:v>1039914.645</c:v>
                </c:pt>
                <c:pt idx="29">
                  <c:v>1075187.6850000001</c:v>
                </c:pt>
                <c:pt idx="30">
                  <c:v>1115751.6810000001</c:v>
                </c:pt>
                <c:pt idx="31">
                  <c:v>1154153.7810000002</c:v>
                </c:pt>
                <c:pt idx="32">
                  <c:v>1192954.1250000002</c:v>
                </c:pt>
                <c:pt idx="33">
                  <c:v>1226235.9450000003</c:v>
                </c:pt>
                <c:pt idx="34">
                  <c:v>1264154.4630000002</c:v>
                </c:pt>
                <c:pt idx="35">
                  <c:v>1299427.5030000003</c:v>
                </c:pt>
                <c:pt idx="36">
                  <c:v>1329950.0610000002</c:v>
                </c:pt>
                <c:pt idx="37">
                  <c:v>1362136.7100000002</c:v>
                </c:pt>
                <c:pt idx="38">
                  <c:v>1396271.9100000001</c:v>
                </c:pt>
                <c:pt idx="39">
                  <c:v>1431985.8630000001</c:v>
                </c:pt>
                <c:pt idx="40">
                  <c:v>1466121.0630000001</c:v>
                </c:pt>
                <c:pt idx="41">
                  <c:v>1501394.1030000001</c:v>
                </c:pt>
                <c:pt idx="42">
                  <c:v>1540635.36</c:v>
                </c:pt>
                <c:pt idx="43">
                  <c:v>1575197.25</c:v>
                </c:pt>
                <c:pt idx="44">
                  <c:v>1610911.203</c:v>
                </c:pt>
                <c:pt idx="45">
                  <c:v>1649313.3030000001</c:v>
                </c:pt>
                <c:pt idx="46">
                  <c:v>1688995.473</c:v>
                </c:pt>
                <c:pt idx="47">
                  <c:v>1726913.9909999999</c:v>
                </c:pt>
                <c:pt idx="48">
                  <c:v>1762357.7069999999</c:v>
                </c:pt>
                <c:pt idx="49">
                  <c:v>1801598.9639999999</c:v>
                </c:pt>
                <c:pt idx="50">
                  <c:v>1839574.3739999998</c:v>
                </c:pt>
                <c:pt idx="51">
                  <c:v>1878815.6309999998</c:v>
                </c:pt>
                <c:pt idx="52">
                  <c:v>1917644.4209999999</c:v>
                </c:pt>
                <c:pt idx="53">
                  <c:v>1953799.2869999998</c:v>
                </c:pt>
                <c:pt idx="54">
                  <c:v>1989954.1529999997</c:v>
                </c:pt>
                <c:pt idx="55">
                  <c:v>2024942.7329999998</c:v>
                </c:pt>
                <c:pt idx="56">
                  <c:v>2061097.5989999997</c:v>
                </c:pt>
                <c:pt idx="57">
                  <c:v>2096086.1789999998</c:v>
                </c:pt>
                <c:pt idx="58">
                  <c:v>2132241.0449999999</c:v>
                </c:pt>
                <c:pt idx="59">
                  <c:v>2168395.9109999998</c:v>
                </c:pt>
                <c:pt idx="60">
                  <c:v>2201051.9189999998</c:v>
                </c:pt>
                <c:pt idx="61">
                  <c:v>2237206.7849999997</c:v>
                </c:pt>
                <c:pt idx="62">
                  <c:v>2272195.3649999998</c:v>
                </c:pt>
                <c:pt idx="63">
                  <c:v>2308350.2309999997</c:v>
                </c:pt>
                <c:pt idx="64">
                  <c:v>2343338.8109999998</c:v>
                </c:pt>
                <c:pt idx="65">
                  <c:v>2379493.6769999997</c:v>
                </c:pt>
                <c:pt idx="66">
                  <c:v>2415648.5429999996</c:v>
                </c:pt>
                <c:pt idx="67">
                  <c:v>2449357.0529999994</c:v>
                </c:pt>
                <c:pt idx="68">
                  <c:v>2484189.1799999992</c:v>
                </c:pt>
                <c:pt idx="69">
                  <c:v>2517897.689999999</c:v>
                </c:pt>
                <c:pt idx="70">
                  <c:v>2552729.8169999989</c:v>
                </c:pt>
                <c:pt idx="71">
                  <c:v>2587561.416999999</c:v>
                </c:pt>
                <c:pt idx="72">
                  <c:v>2620615.416999999</c:v>
                </c:pt>
                <c:pt idx="73">
                  <c:v>2657651.1169999992</c:v>
                </c:pt>
                <c:pt idx="74">
                  <c:v>2693493.0769999991</c:v>
                </c:pt>
                <c:pt idx="75">
                  <c:v>2733204.0769999991</c:v>
                </c:pt>
                <c:pt idx="76">
                  <c:v>2733204.0769999991</c:v>
                </c:pt>
                <c:pt idx="77">
                  <c:v>2772886.246999999</c:v>
                </c:pt>
                <c:pt idx="78">
                  <c:v>2794059.246999999</c:v>
                </c:pt>
                <c:pt idx="79">
                  <c:v>2833314.246999999</c:v>
                </c:pt>
                <c:pt idx="80">
                  <c:v>2876559.246999999</c:v>
                </c:pt>
                <c:pt idx="81">
                  <c:v>2918374.8669999992</c:v>
                </c:pt>
                <c:pt idx="82">
                  <c:v>2961584.3409999991</c:v>
                </c:pt>
                <c:pt idx="83">
                  <c:v>2996857.3809999991</c:v>
                </c:pt>
                <c:pt idx="84">
                  <c:v>3029854.740999999</c:v>
                </c:pt>
                <c:pt idx="85">
                  <c:v>3065114.1457933644</c:v>
                </c:pt>
                <c:pt idx="86">
                  <c:v>3099236.1504321047</c:v>
                </c:pt>
                <c:pt idx="87">
                  <c:v>3138034.5111293215</c:v>
                </c:pt>
                <c:pt idx="88">
                  <c:v>3174321.7545929146</c:v>
                </c:pt>
                <c:pt idx="89">
                  <c:v>3214452.6468476234</c:v>
                </c:pt>
                <c:pt idx="90">
                  <c:v>3254121.8014231082</c:v>
                </c:pt>
                <c:pt idx="91">
                  <c:v>3292523.9014231083</c:v>
                </c:pt>
                <c:pt idx="92">
                  <c:v>3332646.9844231084</c:v>
                </c:pt>
                <c:pt idx="93">
                  <c:v>3371475.7744231084</c:v>
                </c:pt>
                <c:pt idx="94">
                  <c:v>3411598.8574231085</c:v>
                </c:pt>
                <c:pt idx="95">
                  <c:v>3451721.9404231086</c:v>
                </c:pt>
                <c:pt idx="96">
                  <c:v>3487962.1444231085</c:v>
                </c:pt>
                <c:pt idx="97">
                  <c:v>3529407.9664231087</c:v>
                </c:pt>
                <c:pt idx="98">
                  <c:v>3569516.8264231086</c:v>
                </c:pt>
                <c:pt idx="99">
                  <c:v>3610962.6484231087</c:v>
                </c:pt>
                <c:pt idx="100">
                  <c:v>3651071.5084231086</c:v>
                </c:pt>
                <c:pt idx="101">
                  <c:v>3651071.5084231086</c:v>
                </c:pt>
              </c:numCache>
            </c:numRef>
          </c:xVal>
          <c:yVal>
            <c:numRef>
              <c:f>'H-2'!$I$2:$I$103</c:f>
              <c:numCache>
                <c:formatCode>General</c:formatCode>
                <c:ptCount val="102"/>
                <c:pt idx="0">
                  <c:v>62209.637999999992</c:v>
                </c:pt>
                <c:pt idx="1">
                  <c:v>167222.45313399998</c:v>
                </c:pt>
                <c:pt idx="2">
                  <c:v>252651.692927</c:v>
                </c:pt>
                <c:pt idx="3">
                  <c:v>330220.82125199999</c:v>
                </c:pt>
                <c:pt idx="4">
                  <c:v>419801.788199</c:v>
                </c:pt>
                <c:pt idx="5">
                  <c:v>489612.184053</c:v>
                </c:pt>
                <c:pt idx="6">
                  <c:v>542735.06120600004</c:v>
                </c:pt>
                <c:pt idx="7">
                  <c:v>594645.20202600001</c:v>
                </c:pt>
                <c:pt idx="8">
                  <c:v>635677.50484000007</c:v>
                </c:pt>
                <c:pt idx="9">
                  <c:v>644899.55299100012</c:v>
                </c:pt>
                <c:pt idx="10">
                  <c:v>670809.52238900017</c:v>
                </c:pt>
                <c:pt idx="11">
                  <c:v>710170.82661800017</c:v>
                </c:pt>
                <c:pt idx="12">
                  <c:v>757634.46251200011</c:v>
                </c:pt>
                <c:pt idx="13">
                  <c:v>822277.96378300013</c:v>
                </c:pt>
                <c:pt idx="14">
                  <c:v>895385.27781000012</c:v>
                </c:pt>
                <c:pt idx="15">
                  <c:v>965961.68324600009</c:v>
                </c:pt>
                <c:pt idx="16">
                  <c:v>1038682.8538740001</c:v>
                </c:pt>
                <c:pt idx="17">
                  <c:v>1104763.1152850001</c:v>
                </c:pt>
                <c:pt idx="18">
                  <c:v>1163163.7447500001</c:v>
                </c:pt>
                <c:pt idx="19">
                  <c:v>1228027.4896560002</c:v>
                </c:pt>
                <c:pt idx="20">
                  <c:v>1292732.5051650002</c:v>
                </c:pt>
                <c:pt idx="21">
                  <c:v>1355916.1753000002</c:v>
                </c:pt>
                <c:pt idx="22">
                  <c:v>1427773.0141900002</c:v>
                </c:pt>
                <c:pt idx="23">
                  <c:v>1497863.4319410003</c:v>
                </c:pt>
                <c:pt idx="24">
                  <c:v>1568139.8893930004</c:v>
                </c:pt>
                <c:pt idx="25">
                  <c:v>1641259.1100140004</c:v>
                </c:pt>
                <c:pt idx="26">
                  <c:v>1710120.2115100005</c:v>
                </c:pt>
                <c:pt idx="27">
                  <c:v>1757839.7542070006</c:v>
                </c:pt>
                <c:pt idx="28">
                  <c:v>1803039.0369430005</c:v>
                </c:pt>
                <c:pt idx="29">
                  <c:v>1876563.4024530004</c:v>
                </c:pt>
                <c:pt idx="30">
                  <c:v>1951416.0856630004</c:v>
                </c:pt>
                <c:pt idx="31">
                  <c:v>2024942.9608010002</c:v>
                </c:pt>
                <c:pt idx="32">
                  <c:v>2098818.5613170001</c:v>
                </c:pt>
                <c:pt idx="33">
                  <c:v>2178012.5085169999</c:v>
                </c:pt>
                <c:pt idx="34">
                  <c:v>2255096.74358</c:v>
                </c:pt>
                <c:pt idx="35">
                  <c:v>2322539.4637259999</c:v>
                </c:pt>
                <c:pt idx="36">
                  <c:v>2387522.5135610001</c:v>
                </c:pt>
                <c:pt idx="37">
                  <c:v>2447996.6951020001</c:v>
                </c:pt>
                <c:pt idx="38">
                  <c:v>2505245.7376669999</c:v>
                </c:pt>
                <c:pt idx="39">
                  <c:v>2560139.8665299998</c:v>
                </c:pt>
                <c:pt idx="40">
                  <c:v>2620730.9565829998</c:v>
                </c:pt>
                <c:pt idx="41">
                  <c:v>2688528.2264649998</c:v>
                </c:pt>
                <c:pt idx="42">
                  <c:v>2745085.0262169996</c:v>
                </c:pt>
                <c:pt idx="43">
                  <c:v>2806067.5305259996</c:v>
                </c:pt>
                <c:pt idx="44">
                  <c:v>2872224.8545679995</c:v>
                </c:pt>
                <c:pt idx="45">
                  <c:v>2932689.7523659994</c:v>
                </c:pt>
                <c:pt idx="46">
                  <c:v>2985912.1907619992</c:v>
                </c:pt>
                <c:pt idx="47">
                  <c:v>3032871.8375589992</c:v>
                </c:pt>
                <c:pt idx="48">
                  <c:v>3087127.2686799993</c:v>
                </c:pt>
                <c:pt idx="49">
                  <c:v>3111598.5343819992</c:v>
                </c:pt>
                <c:pt idx="50">
                  <c:v>3127816.3622669992</c:v>
                </c:pt>
                <c:pt idx="51">
                  <c:v>3161523.784144999</c:v>
                </c:pt>
                <c:pt idx="52">
                  <c:v>3208194.4586639991</c:v>
                </c:pt>
                <c:pt idx="53">
                  <c:v>3255813.5280989991</c:v>
                </c:pt>
                <c:pt idx="54">
                  <c:v>3289517.2641559988</c:v>
                </c:pt>
                <c:pt idx="55">
                  <c:v>3321205.0752819986</c:v>
                </c:pt>
                <c:pt idx="56">
                  <c:v>3353295.7606779984</c:v>
                </c:pt>
                <c:pt idx="57">
                  <c:v>3374372.6792039983</c:v>
                </c:pt>
                <c:pt idx="58">
                  <c:v>3424799.7355009983</c:v>
                </c:pt>
                <c:pt idx="59">
                  <c:v>3471068.2150499984</c:v>
                </c:pt>
                <c:pt idx="60">
                  <c:v>3522408.8899509986</c:v>
                </c:pt>
                <c:pt idx="61">
                  <c:v>3553596.2279809988</c:v>
                </c:pt>
                <c:pt idx="62">
                  <c:v>3603004.8021259988</c:v>
                </c:pt>
                <c:pt idx="63">
                  <c:v>3653098.2285579988</c:v>
                </c:pt>
                <c:pt idx="64">
                  <c:v>3699849.8402239988</c:v>
                </c:pt>
                <c:pt idx="65">
                  <c:v>3751315.0468759988</c:v>
                </c:pt>
                <c:pt idx="66">
                  <c:v>3800874.7649109988</c:v>
                </c:pt>
                <c:pt idx="67">
                  <c:v>3837635.7903419989</c:v>
                </c:pt>
                <c:pt idx="68">
                  <c:v>3855016.7909399988</c:v>
                </c:pt>
                <c:pt idx="69">
                  <c:v>3877359.544298999</c:v>
                </c:pt>
                <c:pt idx="70">
                  <c:v>3902787.4382649991</c:v>
                </c:pt>
                <c:pt idx="71">
                  <c:v>3917642.8074109992</c:v>
                </c:pt>
                <c:pt idx="72">
                  <c:v>3944647.8687279993</c:v>
                </c:pt>
                <c:pt idx="73">
                  <c:v>3996761.1260589994</c:v>
                </c:pt>
                <c:pt idx="74">
                  <c:v>4051464.9570209994</c:v>
                </c:pt>
                <c:pt idx="75">
                  <c:v>4100536.5739959995</c:v>
                </c:pt>
                <c:pt idx="76">
                  <c:v>4100536.5739959995</c:v>
                </c:pt>
                <c:pt idx="77">
                  <c:v>4118297.8559009996</c:v>
                </c:pt>
                <c:pt idx="78">
                  <c:v>4171982.6008879994</c:v>
                </c:pt>
                <c:pt idx="79">
                  <c:v>4224134.3203419996</c:v>
                </c:pt>
                <c:pt idx="80">
                  <c:v>4287339.149367</c:v>
                </c:pt>
                <c:pt idx="81">
                  <c:v>4354673.8799390001</c:v>
                </c:pt>
                <c:pt idx="82">
                  <c:v>4420332.7813609997</c:v>
                </c:pt>
                <c:pt idx="83">
                  <c:v>4480182.8197569996</c:v>
                </c:pt>
                <c:pt idx="84">
                  <c:v>4543004.2365089441</c:v>
                </c:pt>
                <c:pt idx="85">
                  <c:v>4600585.2397262091</c:v>
                </c:pt>
                <c:pt idx="86">
                  <c:v>4659419.1546422094</c:v>
                </c:pt>
                <c:pt idx="87">
                  <c:v>4706492.4329692097</c:v>
                </c:pt>
                <c:pt idx="88">
                  <c:v>4751855.6530512096</c:v>
                </c:pt>
                <c:pt idx="89">
                  <c:v>4796402.9728612099</c:v>
                </c:pt>
                <c:pt idx="90">
                  <c:v>4897141.6424642103</c:v>
                </c:pt>
                <c:pt idx="91">
                  <c:v>4998761.9910712102</c:v>
                </c:pt>
                <c:pt idx="92">
                  <c:v>5099868.8655652106</c:v>
                </c:pt>
                <c:pt idx="93">
                  <c:v>5139864.7602962106</c:v>
                </c:pt>
                <c:pt idx="94">
                  <c:v>5192996.0846562106</c:v>
                </c:pt>
                <c:pt idx="95">
                  <c:v>5238869.7911962103</c:v>
                </c:pt>
                <c:pt idx="96">
                  <c:v>5290367.0632532099</c:v>
                </c:pt>
                <c:pt idx="97">
                  <c:v>5338091.6063432097</c:v>
                </c:pt>
                <c:pt idx="98">
                  <c:v>5386577.9448492099</c:v>
                </c:pt>
                <c:pt idx="99">
                  <c:v>5433130.86802221</c:v>
                </c:pt>
                <c:pt idx="100">
                  <c:v>5487070.1360592097</c:v>
                </c:pt>
                <c:pt idx="101">
                  <c:v>5487070.1360592097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45-4138-8AB6-6A469454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19968"/>
        <c:axId val="1602220448"/>
      </c:scatterChart>
      <c:valAx>
        <c:axId val="160221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0448"/>
        <c:crosses val="autoZero"/>
        <c:crossBetween val="midCat"/>
      </c:valAx>
      <c:valAx>
        <c:axId val="16022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'H-3'!$I$1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'H-3'!$G$2:$G$93</c:f>
              <c:numCache>
                <c:formatCode>General</c:formatCode>
                <c:ptCount val="92"/>
                <c:pt idx="0">
                  <c:v>0</c:v>
                </c:pt>
                <c:pt idx="1">
                  <c:v>37035.700000000004</c:v>
                </c:pt>
                <c:pt idx="2">
                  <c:v>70887.700000000012</c:v>
                </c:pt>
                <c:pt idx="3">
                  <c:v>108365.30500000002</c:v>
                </c:pt>
                <c:pt idx="4">
                  <c:v>144633.95500000002</c:v>
                </c:pt>
                <c:pt idx="5">
                  <c:v>185637.65500000003</c:v>
                </c:pt>
                <c:pt idx="6">
                  <c:v>225318.65500000003</c:v>
                </c:pt>
                <c:pt idx="7">
                  <c:v>266322.35500000004</c:v>
                </c:pt>
                <c:pt idx="8">
                  <c:v>307326.05500000005</c:v>
                </c:pt>
                <c:pt idx="9">
                  <c:v>307326.05500000005</c:v>
                </c:pt>
                <c:pt idx="10">
                  <c:v>348773.05500000005</c:v>
                </c:pt>
                <c:pt idx="11">
                  <c:v>388028.05500000005</c:v>
                </c:pt>
                <c:pt idx="12">
                  <c:v>426387.45500000007</c:v>
                </c:pt>
                <c:pt idx="13">
                  <c:v>466070.55500000005</c:v>
                </c:pt>
                <c:pt idx="14">
                  <c:v>501512.95500000007</c:v>
                </c:pt>
                <c:pt idx="15">
                  <c:v>542076.45500000007</c:v>
                </c:pt>
                <c:pt idx="16">
                  <c:v>578346.45500000007</c:v>
                </c:pt>
                <c:pt idx="17">
                  <c:v>618469.75500000012</c:v>
                </c:pt>
                <c:pt idx="18">
                  <c:v>657298.54500000016</c:v>
                </c:pt>
                <c:pt idx="19">
                  <c:v>693894.04500000016</c:v>
                </c:pt>
                <c:pt idx="20">
                  <c:v>734017.3450000002</c:v>
                </c:pt>
                <c:pt idx="21">
                  <c:v>773272.3450000002</c:v>
                </c:pt>
                <c:pt idx="22">
                  <c:v>813395.64500000025</c:v>
                </c:pt>
                <c:pt idx="23">
                  <c:v>850943.64500000025</c:v>
                </c:pt>
                <c:pt idx="24">
                  <c:v>890626.74500000023</c:v>
                </c:pt>
                <c:pt idx="25">
                  <c:v>926341.8450000002</c:v>
                </c:pt>
                <c:pt idx="26">
                  <c:v>960988.14500000025</c:v>
                </c:pt>
                <c:pt idx="27">
                  <c:v>997583.64500000025</c:v>
                </c:pt>
                <c:pt idx="28">
                  <c:v>1035986.6450000003</c:v>
                </c:pt>
                <c:pt idx="29">
                  <c:v>1075226.4450000003</c:v>
                </c:pt>
                <c:pt idx="30">
                  <c:v>1114481.4450000003</c:v>
                </c:pt>
                <c:pt idx="31">
                  <c:v>1155045.4410000003</c:v>
                </c:pt>
                <c:pt idx="32">
                  <c:v>1194728.5410000004</c:v>
                </c:pt>
                <c:pt idx="33">
                  <c:v>1233557.5410000004</c:v>
                </c:pt>
                <c:pt idx="34">
                  <c:v>1273680.6240000005</c:v>
                </c:pt>
                <c:pt idx="35">
                  <c:v>1312083.6240000005</c:v>
                </c:pt>
                <c:pt idx="36">
                  <c:v>1351766.7240000006</c:v>
                </c:pt>
                <c:pt idx="37">
                  <c:v>1391449.8240000007</c:v>
                </c:pt>
                <c:pt idx="38">
                  <c:v>1427292.6240000008</c:v>
                </c:pt>
                <c:pt idx="39">
                  <c:v>1466974.7940000007</c:v>
                </c:pt>
                <c:pt idx="40">
                  <c:v>1505376.8940000008</c:v>
                </c:pt>
                <c:pt idx="41">
                  <c:v>1541532.1940000008</c:v>
                </c:pt>
                <c:pt idx="42">
                  <c:v>1579935.1940000008</c:v>
                </c:pt>
                <c:pt idx="43">
                  <c:v>1617414.1940000008</c:v>
                </c:pt>
                <c:pt idx="44">
                  <c:v>1654891.7990000008</c:v>
                </c:pt>
                <c:pt idx="45">
                  <c:v>1691159.0990000009</c:v>
                </c:pt>
                <c:pt idx="46">
                  <c:v>1728633.9140000008</c:v>
                </c:pt>
                <c:pt idx="47">
                  <c:v>1764898.5140000009</c:v>
                </c:pt>
                <c:pt idx="48">
                  <c:v>1802370.5390000008</c:v>
                </c:pt>
                <c:pt idx="49">
                  <c:v>1839841.1690000007</c:v>
                </c:pt>
                <c:pt idx="50">
                  <c:v>1873684.3490000006</c:v>
                </c:pt>
                <c:pt idx="51">
                  <c:v>1911152.1890000007</c:v>
                </c:pt>
                <c:pt idx="52">
                  <c:v>1947410.0390000008</c:v>
                </c:pt>
                <c:pt idx="53">
                  <c:v>1984875.0890000009</c:v>
                </c:pt>
                <c:pt idx="54">
                  <c:v>2021130.239000001</c:v>
                </c:pt>
                <c:pt idx="55">
                  <c:v>2058592.499000001</c:v>
                </c:pt>
                <c:pt idx="56">
                  <c:v>2096053.364000001</c:v>
                </c:pt>
                <c:pt idx="57">
                  <c:v>2130188.5640000012</c:v>
                </c:pt>
                <c:pt idx="58">
                  <c:v>2165461.6040000012</c:v>
                </c:pt>
                <c:pt idx="59">
                  <c:v>2199596.8040000014</c:v>
                </c:pt>
                <c:pt idx="60">
                  <c:v>2234869.8440000014</c:v>
                </c:pt>
                <c:pt idx="61">
                  <c:v>2267497.3440000014</c:v>
                </c:pt>
                <c:pt idx="62">
                  <c:v>2301746.9440000015</c:v>
                </c:pt>
                <c:pt idx="63">
                  <c:v>2341870.2440000013</c:v>
                </c:pt>
                <c:pt idx="64">
                  <c:v>2380699.0340000014</c:v>
                </c:pt>
                <c:pt idx="65">
                  <c:v>2425680.0340000014</c:v>
                </c:pt>
                <c:pt idx="66">
                  <c:v>2469210.0340000014</c:v>
                </c:pt>
                <c:pt idx="67">
                  <c:v>2514191.0340000014</c:v>
                </c:pt>
                <c:pt idx="68">
                  <c:v>2535364.0340000014</c:v>
                </c:pt>
                <c:pt idx="69">
                  <c:v>2572912.0340000014</c:v>
                </c:pt>
                <c:pt idx="70">
                  <c:v>2616157.0340000014</c:v>
                </c:pt>
                <c:pt idx="71">
                  <c:v>2657972.6540000015</c:v>
                </c:pt>
                <c:pt idx="72">
                  <c:v>2701182.1280000014</c:v>
                </c:pt>
                <c:pt idx="73">
                  <c:v>2744391.6020000014</c:v>
                </c:pt>
                <c:pt idx="74">
                  <c:v>2784813.3680000012</c:v>
                </c:pt>
                <c:pt idx="75">
                  <c:v>2823599.3330548229</c:v>
                </c:pt>
                <c:pt idx="76">
                  <c:v>2861134.1379465857</c:v>
                </c:pt>
                <c:pt idx="77">
                  <c:v>2901265.0302012945</c:v>
                </c:pt>
                <c:pt idx="78">
                  <c:v>2939681.5251408503</c:v>
                </c:pt>
                <c:pt idx="79">
                  <c:v>2981578.7964368863</c:v>
                </c:pt>
                <c:pt idx="80">
                  <c:v>3025654.6018838924</c:v>
                </c:pt>
                <c:pt idx="81">
                  <c:v>3068323.6018838924</c:v>
                </c:pt>
                <c:pt idx="82">
                  <c:v>3109787.0256960937</c:v>
                </c:pt>
                <c:pt idx="83">
                  <c:v>3149912.9197079013</c:v>
                </c:pt>
                <c:pt idx="84">
                  <c:v>3191376.3435201026</c:v>
                </c:pt>
                <c:pt idx="85">
                  <c:v>3232839.7673323038</c:v>
                </c:pt>
                <c:pt idx="86">
                  <c:v>3270290.6017433242</c:v>
                </c:pt>
                <c:pt idx="87">
                  <c:v>3312618.2497433242</c:v>
                </c:pt>
                <c:pt idx="88">
                  <c:v>3353580.4897433245</c:v>
                </c:pt>
                <c:pt idx="89">
                  <c:v>3396349.0507433247</c:v>
                </c:pt>
                <c:pt idx="90">
                  <c:v>3437737.9807433248</c:v>
                </c:pt>
                <c:pt idx="91">
                  <c:v>3437737.9807433248</c:v>
                </c:pt>
              </c:numCache>
            </c:numRef>
          </c:xVal>
          <c:yVal>
            <c:numRef>
              <c:f>'H-3'!$I$2:$I$93</c:f>
              <c:numCache>
                <c:formatCode>General</c:formatCode>
                <c:ptCount val="92"/>
                <c:pt idx="0">
                  <c:v>9892.2137619999994</c:v>
                </c:pt>
                <c:pt idx="1">
                  <c:v>34604.485736000002</c:v>
                </c:pt>
                <c:pt idx="2">
                  <c:v>62021.686198000003</c:v>
                </c:pt>
                <c:pt idx="3">
                  <c:v>82771.434485000005</c:v>
                </c:pt>
                <c:pt idx="4">
                  <c:v>106237.96124600001</c:v>
                </c:pt>
                <c:pt idx="5">
                  <c:v>130536.61596900001</c:v>
                </c:pt>
                <c:pt idx="6">
                  <c:v>167220.28315</c:v>
                </c:pt>
                <c:pt idx="7">
                  <c:v>200918.113086</c:v>
                </c:pt>
                <c:pt idx="8">
                  <c:v>226400.89813699998</c:v>
                </c:pt>
                <c:pt idx="9">
                  <c:v>226400.89813699998</c:v>
                </c:pt>
                <c:pt idx="10">
                  <c:v>256989.84975599998</c:v>
                </c:pt>
                <c:pt idx="11">
                  <c:v>291103.391443</c:v>
                </c:pt>
                <c:pt idx="12">
                  <c:v>325035.12645799998</c:v>
                </c:pt>
                <c:pt idx="13">
                  <c:v>358048.68904999999</c:v>
                </c:pt>
                <c:pt idx="14">
                  <c:v>387948.53017799999</c:v>
                </c:pt>
                <c:pt idx="15">
                  <c:v>415466.37372699997</c:v>
                </c:pt>
                <c:pt idx="16">
                  <c:v>442327.07155399997</c:v>
                </c:pt>
                <c:pt idx="17">
                  <c:v>461190.61574699997</c:v>
                </c:pt>
                <c:pt idx="18">
                  <c:v>480479.46993099997</c:v>
                </c:pt>
                <c:pt idx="19">
                  <c:v>512737.01114199997</c:v>
                </c:pt>
                <c:pt idx="20">
                  <c:v>547419.10042499995</c:v>
                </c:pt>
                <c:pt idx="21">
                  <c:v>581666.28777900001</c:v>
                </c:pt>
                <c:pt idx="22">
                  <c:v>617291.92254499998</c:v>
                </c:pt>
                <c:pt idx="23">
                  <c:v>653137.37323899998</c:v>
                </c:pt>
                <c:pt idx="24">
                  <c:v>687500.22372699995</c:v>
                </c:pt>
                <c:pt idx="25">
                  <c:v>719676.59506999992</c:v>
                </c:pt>
                <c:pt idx="26">
                  <c:v>752160.97791199991</c:v>
                </c:pt>
                <c:pt idx="27">
                  <c:v>783108.65569399996</c:v>
                </c:pt>
                <c:pt idx="28">
                  <c:v>813819.96907899994</c:v>
                </c:pt>
                <c:pt idx="29">
                  <c:v>844090.04670399998</c:v>
                </c:pt>
                <c:pt idx="30">
                  <c:v>874547.07605799998</c:v>
                </c:pt>
                <c:pt idx="31">
                  <c:v>907352.23241599998</c:v>
                </c:pt>
                <c:pt idx="32">
                  <c:v>936628.49019299995</c:v>
                </c:pt>
                <c:pt idx="33">
                  <c:v>968668.5930179999</c:v>
                </c:pt>
                <c:pt idx="34">
                  <c:v>1000930.4867699998</c:v>
                </c:pt>
                <c:pt idx="35">
                  <c:v>1035883.9997959998</c:v>
                </c:pt>
                <c:pt idx="36">
                  <c:v>1066938.5098329999</c:v>
                </c:pt>
                <c:pt idx="37">
                  <c:v>1093798.6415809998</c:v>
                </c:pt>
                <c:pt idx="38">
                  <c:v>1125009.7865049997</c:v>
                </c:pt>
                <c:pt idx="39">
                  <c:v>1137330.9449109996</c:v>
                </c:pt>
                <c:pt idx="40">
                  <c:v>1146824.3098769996</c:v>
                </c:pt>
                <c:pt idx="41">
                  <c:v>1167588.7385589995</c:v>
                </c:pt>
                <c:pt idx="42">
                  <c:v>1197482.3339199994</c:v>
                </c:pt>
                <c:pt idx="43">
                  <c:v>1249741.6781399995</c:v>
                </c:pt>
                <c:pt idx="44">
                  <c:v>1298712.8847459995</c:v>
                </c:pt>
                <c:pt idx="45">
                  <c:v>1344754.9503639995</c:v>
                </c:pt>
                <c:pt idx="46">
                  <c:v>1391382.4454049994</c:v>
                </c:pt>
                <c:pt idx="47">
                  <c:v>1422007.0224489993</c:v>
                </c:pt>
                <c:pt idx="48">
                  <c:v>1495277.1039209994</c:v>
                </c:pt>
                <c:pt idx="49">
                  <c:v>1562504.7820979995</c:v>
                </c:pt>
                <c:pt idx="50">
                  <c:v>1637102.3573099994</c:v>
                </c:pt>
                <c:pt idx="51">
                  <c:v>1682417.2905979995</c:v>
                </c:pt>
                <c:pt idx="52">
                  <c:v>1754207.5267959994</c:v>
                </c:pt>
                <c:pt idx="53">
                  <c:v>1826992.8533839993</c:v>
                </c:pt>
                <c:pt idx="54">
                  <c:v>1894922.5424299992</c:v>
                </c:pt>
                <c:pt idx="55">
                  <c:v>1969701.0688999991</c:v>
                </c:pt>
                <c:pt idx="56">
                  <c:v>2041710.9197539992</c:v>
                </c:pt>
                <c:pt idx="57">
                  <c:v>2078067.9827819993</c:v>
                </c:pt>
                <c:pt idx="58">
                  <c:v>2095257.9747329992</c:v>
                </c:pt>
                <c:pt idx="59">
                  <c:v>2117355.2120379992</c:v>
                </c:pt>
                <c:pt idx="60">
                  <c:v>2142503.7067999993</c:v>
                </c:pt>
                <c:pt idx="61">
                  <c:v>2160262.6426099995</c:v>
                </c:pt>
                <c:pt idx="62">
                  <c:v>2210253.4257999994</c:v>
                </c:pt>
                <c:pt idx="63">
                  <c:v>2299884.9312929995</c:v>
                </c:pt>
                <c:pt idx="64">
                  <c:v>2371741.7072879993</c:v>
                </c:pt>
                <c:pt idx="65">
                  <c:v>2449323.6039039996</c:v>
                </c:pt>
                <c:pt idx="66">
                  <c:v>2522186.4396989997</c:v>
                </c:pt>
                <c:pt idx="67">
                  <c:v>2586687.6027919999</c:v>
                </c:pt>
                <c:pt idx="68">
                  <c:v>2650436.8894819999</c:v>
                </c:pt>
                <c:pt idx="69">
                  <c:v>2708530.0546550001</c:v>
                </c:pt>
                <c:pt idx="70">
                  <c:v>2764567.8012450002</c:v>
                </c:pt>
                <c:pt idx="71">
                  <c:v>2817005.4738760004</c:v>
                </c:pt>
                <c:pt idx="72">
                  <c:v>2868138.0759050003</c:v>
                </c:pt>
                <c:pt idx="73">
                  <c:v>2922197.6552350004</c:v>
                </c:pt>
                <c:pt idx="74">
                  <c:v>2981435.3197973073</c:v>
                </c:pt>
                <c:pt idx="75">
                  <c:v>3033854.8211682839</c:v>
                </c:pt>
                <c:pt idx="76">
                  <c:v>3087163.517885284</c:v>
                </c:pt>
                <c:pt idx="77">
                  <c:v>3131708.0953372838</c:v>
                </c:pt>
                <c:pt idx="78">
                  <c:v>3175426.4572412837</c:v>
                </c:pt>
                <c:pt idx="79">
                  <c:v>3218572.0825412837</c:v>
                </c:pt>
                <c:pt idx="80">
                  <c:v>3291917.0063442835</c:v>
                </c:pt>
                <c:pt idx="81">
                  <c:v>3365903.8419762836</c:v>
                </c:pt>
                <c:pt idx="82">
                  <c:v>3440658.3036722834</c:v>
                </c:pt>
                <c:pt idx="83">
                  <c:v>3481272.6618582834</c:v>
                </c:pt>
                <c:pt idx="84">
                  <c:v>3537793.6789382836</c:v>
                </c:pt>
                <c:pt idx="85">
                  <c:v>3586994.1361762835</c:v>
                </c:pt>
                <c:pt idx="86">
                  <c:v>3642225.9706912837</c:v>
                </c:pt>
                <c:pt idx="87">
                  <c:v>3689739.0947322836</c:v>
                </c:pt>
                <c:pt idx="88">
                  <c:v>3737558.1860962836</c:v>
                </c:pt>
                <c:pt idx="89">
                  <c:v>3783005.0102002835</c:v>
                </c:pt>
                <c:pt idx="90">
                  <c:v>3832674.0638302835</c:v>
                </c:pt>
                <c:pt idx="91">
                  <c:v>3832674.0638302835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7-4B64-AFC7-B2EE0835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26688"/>
        <c:axId val="1602229568"/>
      </c:scatterChart>
      <c:valAx>
        <c:axId val="160222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9568"/>
        <c:crosses val="autoZero"/>
        <c:crossBetween val="midCat"/>
      </c:valAx>
      <c:valAx>
        <c:axId val="16022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'H-4'!$I$1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'H-4'!$G$2:$G$70</c:f>
              <c:numCache>
                <c:formatCode>General</c:formatCode>
                <c:ptCount val="69"/>
                <c:pt idx="0">
                  <c:v>0</c:v>
                </c:pt>
                <c:pt idx="1">
                  <c:v>37035.700000000004</c:v>
                </c:pt>
                <c:pt idx="2">
                  <c:v>75395.100000000006</c:v>
                </c:pt>
                <c:pt idx="3">
                  <c:v>107567.70000000001</c:v>
                </c:pt>
                <c:pt idx="4">
                  <c:v>141518.90000000002</c:v>
                </c:pt>
                <c:pt idx="5">
                  <c:v>176507.90000000002</c:v>
                </c:pt>
                <c:pt idx="6">
                  <c:v>212223.00000000003</c:v>
                </c:pt>
                <c:pt idx="7">
                  <c:v>245505.00000000003</c:v>
                </c:pt>
                <c:pt idx="8">
                  <c:v>279896.21400000004</c:v>
                </c:pt>
                <c:pt idx="9">
                  <c:v>314728.34100000001</c:v>
                </c:pt>
                <c:pt idx="10">
                  <c:v>348436.85100000002</c:v>
                </c:pt>
                <c:pt idx="11">
                  <c:v>383268.978</c:v>
                </c:pt>
                <c:pt idx="12">
                  <c:v>419964.978</c:v>
                </c:pt>
                <c:pt idx="13">
                  <c:v>439364.77799999999</c:v>
                </c:pt>
                <c:pt idx="14">
                  <c:v>461411.978</c:v>
                </c:pt>
                <c:pt idx="15">
                  <c:v>478934.37800000003</c:v>
                </c:pt>
                <c:pt idx="16">
                  <c:v>498334.55000000005</c:v>
                </c:pt>
                <c:pt idx="17">
                  <c:v>517108.91000000003</c:v>
                </c:pt>
                <c:pt idx="18">
                  <c:v>534745.43000000005</c:v>
                </c:pt>
                <c:pt idx="19">
                  <c:v>551813.03</c:v>
                </c:pt>
                <c:pt idx="20">
                  <c:v>571654.11499999999</c:v>
                </c:pt>
                <c:pt idx="21">
                  <c:v>591495.19999999995</c:v>
                </c:pt>
                <c:pt idx="22">
                  <c:v>610696.25</c:v>
                </c:pt>
                <c:pt idx="23">
                  <c:v>630537.33499999996</c:v>
                </c:pt>
                <c:pt idx="24">
                  <c:v>649738.38500000001</c:v>
                </c:pt>
                <c:pt idx="25">
                  <c:v>669579.47</c:v>
                </c:pt>
                <c:pt idx="26">
                  <c:v>689420.55499999993</c:v>
                </c:pt>
                <c:pt idx="27">
                  <c:v>707341.53499999992</c:v>
                </c:pt>
                <c:pt idx="28">
                  <c:v>727182.61999999988</c:v>
                </c:pt>
                <c:pt idx="29">
                  <c:v>746383.66999999993</c:v>
                </c:pt>
                <c:pt idx="30">
                  <c:v>766224.75499999989</c:v>
                </c:pt>
                <c:pt idx="31">
                  <c:v>785425.80499999993</c:v>
                </c:pt>
                <c:pt idx="32">
                  <c:v>805266.8899999999</c:v>
                </c:pt>
                <c:pt idx="33">
                  <c:v>825107.97499999986</c:v>
                </c:pt>
                <c:pt idx="34">
                  <c:v>859243.17499999981</c:v>
                </c:pt>
                <c:pt idx="35">
                  <c:v>894516.21499999985</c:v>
                </c:pt>
                <c:pt idx="36">
                  <c:v>928651.4149999998</c:v>
                </c:pt>
                <c:pt idx="37">
                  <c:v>963924.45499999984</c:v>
                </c:pt>
                <c:pt idx="38">
                  <c:v>1000079.7549999999</c:v>
                </c:pt>
                <c:pt idx="39">
                  <c:v>1029947.3549999999</c:v>
                </c:pt>
                <c:pt idx="40">
                  <c:v>1067426.355</c:v>
                </c:pt>
                <c:pt idx="41">
                  <c:v>1103695.0049999999</c:v>
                </c:pt>
                <c:pt idx="42">
                  <c:v>1143377.1749999998</c:v>
                </c:pt>
                <c:pt idx="43">
                  <c:v>1181779.2749999999</c:v>
                </c:pt>
                <c:pt idx="44">
                  <c:v>1221461.4449999998</c:v>
                </c:pt>
                <c:pt idx="45">
                  <c:v>1259839.4449999998</c:v>
                </c:pt>
                <c:pt idx="46">
                  <c:v>1298242.4449999998</c:v>
                </c:pt>
                <c:pt idx="47">
                  <c:v>1331319.4449999998</c:v>
                </c:pt>
                <c:pt idx="48">
                  <c:v>1363321.1949999998</c:v>
                </c:pt>
                <c:pt idx="49">
                  <c:v>1396389.67</c:v>
                </c:pt>
                <c:pt idx="50">
                  <c:v>1429021.1986055665</c:v>
                </c:pt>
                <c:pt idx="51">
                  <c:v>1459532.9723966827</c:v>
                </c:pt>
                <c:pt idx="52">
                  <c:v>1492149.0064492552</c:v>
                </c:pt>
                <c:pt idx="53">
                  <c:v>1523724.0664492552</c:v>
                </c:pt>
                <c:pt idx="54">
                  <c:v>1558989.6690638179</c:v>
                </c:pt>
                <c:pt idx="55">
                  <c:v>1593117.67159404</c:v>
                </c:pt>
                <c:pt idx="56">
                  <c:v>1629281.9582822605</c:v>
                </c:pt>
                <c:pt idx="57">
                  <c:v>1665424.5525962892</c:v>
                </c:pt>
                <c:pt idx="58">
                  <c:v>1700413.1325962893</c:v>
                </c:pt>
                <c:pt idx="59">
                  <c:v>1737449.8245962893</c:v>
                </c:pt>
                <c:pt idx="60">
                  <c:v>1773291.7845962893</c:v>
                </c:pt>
                <c:pt idx="61">
                  <c:v>1809887.5635962894</c:v>
                </c:pt>
                <c:pt idx="62">
                  <c:v>1846483.3425962895</c:v>
                </c:pt>
                <c:pt idx="63">
                  <c:v>1879537.5945962896</c:v>
                </c:pt>
                <c:pt idx="64">
                  <c:v>1917897.0255962897</c:v>
                </c:pt>
                <c:pt idx="65">
                  <c:v>1955019.0555962897</c:v>
                </c:pt>
                <c:pt idx="66">
                  <c:v>1993378.4865962898</c:v>
                </c:pt>
                <c:pt idx="67">
                  <c:v>2030500.5165962898</c:v>
                </c:pt>
                <c:pt idx="68">
                  <c:v>2030500.5165962898</c:v>
                </c:pt>
              </c:numCache>
            </c:numRef>
          </c:xVal>
          <c:yVal>
            <c:numRef>
              <c:f>'H-4'!$I$2:$I$70</c:f>
              <c:numCache>
                <c:formatCode>General</c:formatCode>
                <c:ptCount val="69"/>
                <c:pt idx="0">
                  <c:v>66742.438976999998</c:v>
                </c:pt>
                <c:pt idx="1">
                  <c:v>170295.347503</c:v>
                </c:pt>
                <c:pt idx="2">
                  <c:v>258550.537828</c:v>
                </c:pt>
                <c:pt idx="3">
                  <c:v>341674.95588799997</c:v>
                </c:pt>
                <c:pt idx="4">
                  <c:v>419693.16335199995</c:v>
                </c:pt>
                <c:pt idx="5">
                  <c:v>491749.55872899992</c:v>
                </c:pt>
                <c:pt idx="6">
                  <c:v>560151.85076699988</c:v>
                </c:pt>
                <c:pt idx="7">
                  <c:v>657599.47057399992</c:v>
                </c:pt>
                <c:pt idx="8">
                  <c:v>771323.93545499991</c:v>
                </c:pt>
                <c:pt idx="9">
                  <c:v>855948.65950999991</c:v>
                </c:pt>
                <c:pt idx="10">
                  <c:v>943840.51324799994</c:v>
                </c:pt>
                <c:pt idx="11">
                  <c:v>1050018.941539</c:v>
                </c:pt>
                <c:pt idx="12">
                  <c:v>1131942.366319</c:v>
                </c:pt>
                <c:pt idx="13">
                  <c:v>1172654.6063699999</c:v>
                </c:pt>
                <c:pt idx="14">
                  <c:v>1212863.951751</c:v>
                </c:pt>
                <c:pt idx="15">
                  <c:v>1264285.4631640001</c:v>
                </c:pt>
                <c:pt idx="16">
                  <c:v>1289389.2940550002</c:v>
                </c:pt>
                <c:pt idx="17">
                  <c:v>1306266.3873260003</c:v>
                </c:pt>
                <c:pt idx="18">
                  <c:v>1335026.8940840003</c:v>
                </c:pt>
                <c:pt idx="19">
                  <c:v>1367368.4921790003</c:v>
                </c:pt>
                <c:pt idx="20">
                  <c:v>1395467.9975640003</c:v>
                </c:pt>
                <c:pt idx="21">
                  <c:v>1411599.6992150003</c:v>
                </c:pt>
                <c:pt idx="22">
                  <c:v>1426766.4952260002</c:v>
                </c:pt>
                <c:pt idx="23">
                  <c:v>1442126.1239280002</c:v>
                </c:pt>
                <c:pt idx="24">
                  <c:v>1452214.2146410001</c:v>
                </c:pt>
                <c:pt idx="25">
                  <c:v>1476350.2465870001</c:v>
                </c:pt>
                <c:pt idx="26">
                  <c:v>1498495.8398740001</c:v>
                </c:pt>
                <c:pt idx="27">
                  <c:v>1523069.170165</c:v>
                </c:pt>
                <c:pt idx="28">
                  <c:v>1537996.4443069999</c:v>
                </c:pt>
                <c:pt idx="29">
                  <c:v>1561644.991592</c:v>
                </c:pt>
                <c:pt idx="30">
                  <c:v>1585621.356964</c:v>
                </c:pt>
                <c:pt idx="31">
                  <c:v>1607998.1821660001</c:v>
                </c:pt>
                <c:pt idx="32">
                  <c:v>1632631.1271830001</c:v>
                </c:pt>
                <c:pt idx="33">
                  <c:v>1656352.0008770002</c:v>
                </c:pt>
                <c:pt idx="34">
                  <c:v>1709190.9124290003</c:v>
                </c:pt>
                <c:pt idx="35">
                  <c:v>1734173.7212750004</c:v>
                </c:pt>
                <c:pt idx="36">
                  <c:v>1766288.3582270003</c:v>
                </c:pt>
                <c:pt idx="37">
                  <c:v>1802837.4928740002</c:v>
                </c:pt>
                <c:pt idx="38">
                  <c:v>1825759.5431020001</c:v>
                </c:pt>
                <c:pt idx="39">
                  <c:v>1870252.3240510002</c:v>
                </c:pt>
                <c:pt idx="40">
                  <c:v>1937477.9706220003</c:v>
                </c:pt>
                <c:pt idx="41">
                  <c:v>2003771.6197910004</c:v>
                </c:pt>
                <c:pt idx="42">
                  <c:v>2038885.3780530004</c:v>
                </c:pt>
                <c:pt idx="43">
                  <c:v>2070727.7358550003</c:v>
                </c:pt>
                <c:pt idx="44">
                  <c:v>2091807.7175130004</c:v>
                </c:pt>
                <c:pt idx="45">
                  <c:v>2129142.1462720004</c:v>
                </c:pt>
                <c:pt idx="46">
                  <c:v>2180675.1318120002</c:v>
                </c:pt>
                <c:pt idx="47">
                  <c:v>2229387.1735</c:v>
                </c:pt>
                <c:pt idx="48">
                  <c:v>2330488.601026</c:v>
                </c:pt>
                <c:pt idx="49">
                  <c:v>2429073.7940619998</c:v>
                </c:pt>
                <c:pt idx="50">
                  <c:v>2506688.2089459999</c:v>
                </c:pt>
                <c:pt idx="51">
                  <c:v>2584055.5248221019</c:v>
                </c:pt>
                <c:pt idx="52">
                  <c:v>2653274.7455617748</c:v>
                </c:pt>
                <c:pt idx="53">
                  <c:v>2722147.6718827747</c:v>
                </c:pt>
                <c:pt idx="54">
                  <c:v>2783721.8639687747</c:v>
                </c:pt>
                <c:pt idx="55">
                  <c:v>2845721.3282997748</c:v>
                </c:pt>
                <c:pt idx="56">
                  <c:v>2906847.6300197747</c:v>
                </c:pt>
                <c:pt idx="57">
                  <c:v>3007586.2807517746</c:v>
                </c:pt>
                <c:pt idx="58">
                  <c:v>3109206.6293577747</c:v>
                </c:pt>
                <c:pt idx="59">
                  <c:v>3212381.2756027747</c:v>
                </c:pt>
                <c:pt idx="60">
                  <c:v>3273199.7607977749</c:v>
                </c:pt>
                <c:pt idx="61">
                  <c:v>3345333.3571777749</c:v>
                </c:pt>
                <c:pt idx="62">
                  <c:v>3406264.8700777749</c:v>
                </c:pt>
                <c:pt idx="63">
                  <c:v>3474665.8412557747</c:v>
                </c:pt>
                <c:pt idx="64">
                  <c:v>3532675.3457987746</c:v>
                </c:pt>
                <c:pt idx="65">
                  <c:v>3590947.9086447745</c:v>
                </c:pt>
                <c:pt idx="66">
                  <c:v>3646112.8259777743</c:v>
                </c:pt>
                <c:pt idx="67">
                  <c:v>3704996.4806337743</c:v>
                </c:pt>
                <c:pt idx="68">
                  <c:v>3704996.4806337743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F6-489F-97E6-5B8B0903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02688"/>
        <c:axId val="1602201248"/>
      </c:scatterChart>
      <c:valAx>
        <c:axId val="160220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1248"/>
        <c:crosses val="autoZero"/>
        <c:crossBetween val="midCat"/>
      </c:valAx>
      <c:valAx>
        <c:axId val="16022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'H-5'!$I$1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'H-5'!$G$2:$G$46</c:f>
              <c:numCache>
                <c:formatCode>General</c:formatCode>
                <c:ptCount val="45"/>
                <c:pt idx="0">
                  <c:v>0</c:v>
                </c:pt>
                <c:pt idx="1">
                  <c:v>33950.300999999999</c:v>
                </c:pt>
                <c:pt idx="2">
                  <c:v>64615.089</c:v>
                </c:pt>
                <c:pt idx="3">
                  <c:v>64615.089</c:v>
                </c:pt>
                <c:pt idx="4">
                  <c:v>82536.069000000003</c:v>
                </c:pt>
                <c:pt idx="5">
                  <c:v>101054.41500000001</c:v>
                </c:pt>
                <c:pt idx="6">
                  <c:v>118975.395</c:v>
                </c:pt>
                <c:pt idx="7">
                  <c:v>137493.74100000001</c:v>
                </c:pt>
                <c:pt idx="8">
                  <c:v>156012.087</c:v>
                </c:pt>
                <c:pt idx="9">
                  <c:v>173933.06700000001</c:v>
                </c:pt>
                <c:pt idx="10">
                  <c:v>192451.413</c:v>
                </c:pt>
                <c:pt idx="11">
                  <c:v>192451.413</c:v>
                </c:pt>
                <c:pt idx="12">
                  <c:v>192451.413</c:v>
                </c:pt>
                <c:pt idx="13">
                  <c:v>192451.413</c:v>
                </c:pt>
                <c:pt idx="14">
                  <c:v>192451.413</c:v>
                </c:pt>
                <c:pt idx="15">
                  <c:v>192451.413</c:v>
                </c:pt>
                <c:pt idx="16">
                  <c:v>192451.413</c:v>
                </c:pt>
                <c:pt idx="17">
                  <c:v>192451.413</c:v>
                </c:pt>
                <c:pt idx="18">
                  <c:v>197998.383</c:v>
                </c:pt>
                <c:pt idx="19">
                  <c:v>203730.25200000001</c:v>
                </c:pt>
                <c:pt idx="20">
                  <c:v>247821.55200000003</c:v>
                </c:pt>
                <c:pt idx="21">
                  <c:v>252088.45200000002</c:v>
                </c:pt>
                <c:pt idx="22">
                  <c:v>256497.58200000002</c:v>
                </c:pt>
                <c:pt idx="23">
                  <c:v>260764.48200000002</c:v>
                </c:pt>
                <c:pt idx="24">
                  <c:v>265173.61200000002</c:v>
                </c:pt>
                <c:pt idx="25">
                  <c:v>268700.91600000003</c:v>
                </c:pt>
                <c:pt idx="26">
                  <c:v>272000.652</c:v>
                </c:pt>
                <c:pt idx="27">
                  <c:v>286991.69400000002</c:v>
                </c:pt>
                <c:pt idx="28">
                  <c:v>309179.57400000002</c:v>
                </c:pt>
                <c:pt idx="29">
                  <c:v>332107.05000000005</c:v>
                </c:pt>
                <c:pt idx="30">
                  <c:v>333387.12000000005</c:v>
                </c:pt>
                <c:pt idx="31">
                  <c:v>337796.25000000006</c:v>
                </c:pt>
                <c:pt idx="32">
                  <c:v>339559.90200000006</c:v>
                </c:pt>
                <c:pt idx="33">
                  <c:v>340413.28200000006</c:v>
                </c:pt>
                <c:pt idx="34">
                  <c:v>341736.02100000007</c:v>
                </c:pt>
                <c:pt idx="35">
                  <c:v>343016.09100000007</c:v>
                </c:pt>
                <c:pt idx="36">
                  <c:v>344338.83000000007</c:v>
                </c:pt>
                <c:pt idx="37">
                  <c:v>345661.56900000008</c:v>
                </c:pt>
                <c:pt idx="38">
                  <c:v>346856.30100000009</c:v>
                </c:pt>
                <c:pt idx="39">
                  <c:v>348179.0400000001</c:v>
                </c:pt>
                <c:pt idx="40">
                  <c:v>349459.1100000001</c:v>
                </c:pt>
                <c:pt idx="41">
                  <c:v>350340.9360000001</c:v>
                </c:pt>
                <c:pt idx="42">
                  <c:v>350340.9360000001</c:v>
                </c:pt>
                <c:pt idx="43">
                  <c:v>350340.9360000001</c:v>
                </c:pt>
              </c:numCache>
            </c:numRef>
          </c:xVal>
          <c:yVal>
            <c:numRef>
              <c:f>'H-5'!$I$2:$I$46</c:f>
              <c:numCache>
                <c:formatCode>General</c:formatCode>
                <c:ptCount val="45"/>
                <c:pt idx="0">
                  <c:v>21939.011095999998</c:v>
                </c:pt>
                <c:pt idx="1">
                  <c:v>48377.386590000002</c:v>
                </c:pt>
                <c:pt idx="2">
                  <c:v>74429.373380000005</c:v>
                </c:pt>
                <c:pt idx="3">
                  <c:v>92512.932056999998</c:v>
                </c:pt>
                <c:pt idx="4">
                  <c:v>130036.035947</c:v>
                </c:pt>
                <c:pt idx="5">
                  <c:v>216920.64740399999</c:v>
                </c:pt>
                <c:pt idx="6">
                  <c:v>302745.50303799997</c:v>
                </c:pt>
                <c:pt idx="7">
                  <c:v>394759.95586699998</c:v>
                </c:pt>
                <c:pt idx="8">
                  <c:v>481383.43998499995</c:v>
                </c:pt>
                <c:pt idx="9">
                  <c:v>564196.77082699991</c:v>
                </c:pt>
                <c:pt idx="10">
                  <c:v>603351.80735799996</c:v>
                </c:pt>
                <c:pt idx="11">
                  <c:v>642099.51014799997</c:v>
                </c:pt>
                <c:pt idx="12">
                  <c:v>647380.62750099995</c:v>
                </c:pt>
                <c:pt idx="13">
                  <c:v>647380.8539339999</c:v>
                </c:pt>
                <c:pt idx="14">
                  <c:v>647380.8539339999</c:v>
                </c:pt>
                <c:pt idx="15">
                  <c:v>647380.8539339999</c:v>
                </c:pt>
                <c:pt idx="16">
                  <c:v>651112.91305399989</c:v>
                </c:pt>
                <c:pt idx="17">
                  <c:v>660172.94224799983</c:v>
                </c:pt>
                <c:pt idx="18">
                  <c:v>690329.53930299985</c:v>
                </c:pt>
                <c:pt idx="19">
                  <c:v>718859.44312199985</c:v>
                </c:pt>
                <c:pt idx="20">
                  <c:v>748597.16465499985</c:v>
                </c:pt>
                <c:pt idx="21">
                  <c:v>781967.95643599983</c:v>
                </c:pt>
                <c:pt idx="22">
                  <c:v>789437.32036799984</c:v>
                </c:pt>
                <c:pt idx="23">
                  <c:v>791154.90750299988</c:v>
                </c:pt>
                <c:pt idx="24">
                  <c:v>823694.79783599987</c:v>
                </c:pt>
                <c:pt idx="25">
                  <c:v>859568.44570599985</c:v>
                </c:pt>
                <c:pt idx="26">
                  <c:v>898357.50164643337</c:v>
                </c:pt>
                <c:pt idx="27">
                  <c:v>933940.7273901453</c:v>
                </c:pt>
                <c:pt idx="28">
                  <c:v>960811.96063014527</c:v>
                </c:pt>
                <c:pt idx="29">
                  <c:v>960811.96063014527</c:v>
                </c:pt>
                <c:pt idx="30">
                  <c:v>980532.0434981453</c:v>
                </c:pt>
                <c:pt idx="31">
                  <c:v>998642.15141814528</c:v>
                </c:pt>
                <c:pt idx="32">
                  <c:v>1014147.7034801453</c:v>
                </c:pt>
                <c:pt idx="33">
                  <c:v>1028517.1478361454</c:v>
                </c:pt>
                <c:pt idx="34">
                  <c:v>1037993.6435601454</c:v>
                </c:pt>
                <c:pt idx="35">
                  <c:v>1044685.3995171454</c:v>
                </c:pt>
                <c:pt idx="36">
                  <c:v>1044685.3995171454</c:v>
                </c:pt>
                <c:pt idx="37">
                  <c:v>1050638.3807241453</c:v>
                </c:pt>
                <c:pt idx="38">
                  <c:v>1050749.1755511453</c:v>
                </c:pt>
                <c:pt idx="39">
                  <c:v>1076404.9867111454</c:v>
                </c:pt>
                <c:pt idx="40">
                  <c:v>1076663.3654051453</c:v>
                </c:pt>
                <c:pt idx="41">
                  <c:v>1077232.9634031453</c:v>
                </c:pt>
                <c:pt idx="42">
                  <c:v>1077232.9634031453</c:v>
                </c:pt>
                <c:pt idx="43">
                  <c:v>1077232.9634031453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5-49A6-BFDB-FC2FCDC6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10848"/>
        <c:axId val="1602228608"/>
      </c:scatterChart>
      <c:valAx>
        <c:axId val="16022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8608"/>
        <c:crosses val="autoZero"/>
        <c:crossBetween val="midCat"/>
      </c:valAx>
      <c:valAx>
        <c:axId val="16022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  <a:endParaRPr lang="en-IN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'H-6'!$I$1</c:f>
              <c:strCache>
                <c:ptCount val="1"/>
                <c:pt idx="0">
                  <c:v>CUMM MONTHLY WI (BBL)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'H-6'!$G$2:$G$42</c:f>
              <c:numCache>
                <c:formatCode>General</c:formatCode>
                <c:ptCount val="41"/>
                <c:pt idx="0">
                  <c:v>0</c:v>
                </c:pt>
                <c:pt idx="1">
                  <c:v>27734.85</c:v>
                </c:pt>
                <c:pt idx="2">
                  <c:v>56394.195</c:v>
                </c:pt>
                <c:pt idx="3">
                  <c:v>84129.044999999998</c:v>
                </c:pt>
                <c:pt idx="4">
                  <c:v>112788.39</c:v>
                </c:pt>
                <c:pt idx="5">
                  <c:v>141447.73499999999</c:v>
                </c:pt>
                <c:pt idx="6">
                  <c:v>176436.315</c:v>
                </c:pt>
                <c:pt idx="7">
                  <c:v>212591.18100000001</c:v>
                </c:pt>
                <c:pt idx="8">
                  <c:v>247579.761</c:v>
                </c:pt>
                <c:pt idx="9">
                  <c:v>283734.62699999998</c:v>
                </c:pt>
                <c:pt idx="10">
                  <c:v>310189.40700000001</c:v>
                </c:pt>
                <c:pt idx="11">
                  <c:v>334084.04700000002</c:v>
                </c:pt>
                <c:pt idx="12">
                  <c:v>362743.39199999999</c:v>
                </c:pt>
                <c:pt idx="13">
                  <c:v>390478.24199999997</c:v>
                </c:pt>
                <c:pt idx="14">
                  <c:v>420460.326</c:v>
                </c:pt>
                <c:pt idx="15">
                  <c:v>420460.326</c:v>
                </c:pt>
                <c:pt idx="16">
                  <c:v>450442.41000000003</c:v>
                </c:pt>
                <c:pt idx="17">
                  <c:v>482629.05900000001</c:v>
                </c:pt>
                <c:pt idx="18">
                  <c:v>514204.11900000001</c:v>
                </c:pt>
                <c:pt idx="19">
                  <c:v>546831.68099999998</c:v>
                </c:pt>
                <c:pt idx="20">
                  <c:v>578406.74099999992</c:v>
                </c:pt>
                <c:pt idx="21">
                  <c:v>611034.30299999996</c:v>
                </c:pt>
                <c:pt idx="22">
                  <c:v>634402.69199999992</c:v>
                </c:pt>
                <c:pt idx="23">
                  <c:v>656263.44299999997</c:v>
                </c:pt>
                <c:pt idx="24">
                  <c:v>679631.83199999994</c:v>
                </c:pt>
                <c:pt idx="25">
                  <c:v>702246.40199999989</c:v>
                </c:pt>
                <c:pt idx="26">
                  <c:v>723411.96138993523</c:v>
                </c:pt>
                <c:pt idx="27">
                  <c:v>743894.7607995501</c:v>
                </c:pt>
                <c:pt idx="28">
                  <c:v>765959.00426314306</c:v>
                </c:pt>
                <c:pt idx="29">
                  <c:v>787998.4564419454</c:v>
                </c:pt>
                <c:pt idx="30">
                  <c:v>809332.9564419454</c:v>
                </c:pt>
                <c:pt idx="31">
                  <c:v>831819.51944194536</c:v>
                </c:pt>
                <c:pt idx="32">
                  <c:v>853580.70944194542</c:v>
                </c:pt>
                <c:pt idx="33">
                  <c:v>875626.35944194545</c:v>
                </c:pt>
                <c:pt idx="34">
                  <c:v>897672.00944194547</c:v>
                </c:pt>
                <c:pt idx="35">
                  <c:v>917584.20944194542</c:v>
                </c:pt>
                <c:pt idx="36">
                  <c:v>941393.51144194545</c:v>
                </c:pt>
                <c:pt idx="37">
                  <c:v>964434.77144194546</c:v>
                </c:pt>
                <c:pt idx="38">
                  <c:v>988684.98644194542</c:v>
                </c:pt>
                <c:pt idx="39">
                  <c:v>1012152.9364419454</c:v>
                </c:pt>
                <c:pt idx="40">
                  <c:v>1012152.9364419454</c:v>
                </c:pt>
              </c:numCache>
            </c:numRef>
          </c:xVal>
          <c:yVal>
            <c:numRef>
              <c:f>'H-6'!$I$2:$I$42</c:f>
              <c:numCache>
                <c:formatCode>General</c:formatCode>
                <c:ptCount val="41"/>
                <c:pt idx="0">
                  <c:v>7956.6032889999988</c:v>
                </c:pt>
                <c:pt idx="1">
                  <c:v>37526.078963</c:v>
                </c:pt>
                <c:pt idx="2">
                  <c:v>67505.429455999998</c:v>
                </c:pt>
                <c:pt idx="3">
                  <c:v>95484.79965999999</c:v>
                </c:pt>
                <c:pt idx="4">
                  <c:v>126285.13258899999</c:v>
                </c:pt>
                <c:pt idx="5">
                  <c:v>155945.09332599997</c:v>
                </c:pt>
                <c:pt idx="6">
                  <c:v>277539.19243699999</c:v>
                </c:pt>
                <c:pt idx="7">
                  <c:v>335030.20989399997</c:v>
                </c:pt>
                <c:pt idx="8">
                  <c:v>408933.18991199997</c:v>
                </c:pt>
                <c:pt idx="9">
                  <c:v>493040.87982699997</c:v>
                </c:pt>
                <c:pt idx="10">
                  <c:v>538194.47345499997</c:v>
                </c:pt>
                <c:pt idx="11">
                  <c:v>586182.20064499998</c:v>
                </c:pt>
                <c:pt idx="12">
                  <c:v>651084.40138699999</c:v>
                </c:pt>
                <c:pt idx="13">
                  <c:v>717378.04426699993</c:v>
                </c:pt>
                <c:pt idx="14">
                  <c:v>750397.91552799998</c:v>
                </c:pt>
                <c:pt idx="15">
                  <c:v>750397.91552799998</c:v>
                </c:pt>
                <c:pt idx="16">
                  <c:v>770787.22682700003</c:v>
                </c:pt>
                <c:pt idx="17">
                  <c:v>811017.99526700005</c:v>
                </c:pt>
                <c:pt idx="18">
                  <c:v>859045.70042800007</c:v>
                </c:pt>
                <c:pt idx="19">
                  <c:v>869396.11354000005</c:v>
                </c:pt>
                <c:pt idx="20">
                  <c:v>897910.14190600009</c:v>
                </c:pt>
                <c:pt idx="21">
                  <c:v>945362.72033300006</c:v>
                </c:pt>
                <c:pt idx="22">
                  <c:v>978815.43047000002</c:v>
                </c:pt>
                <c:pt idx="23">
                  <c:v>1010647.7717339339</c:v>
                </c:pt>
                <c:pt idx="24">
                  <c:v>1041654.4271784022</c:v>
                </c:pt>
                <c:pt idx="25">
                  <c:v>1079942.2449494023</c:v>
                </c:pt>
                <c:pt idx="26">
                  <c:v>1114656.5380104023</c:v>
                </c:pt>
                <c:pt idx="27">
                  <c:v>1148763.4439554024</c:v>
                </c:pt>
                <c:pt idx="28">
                  <c:v>1182236.3003254023</c:v>
                </c:pt>
                <c:pt idx="29">
                  <c:v>1255581.2304184022</c:v>
                </c:pt>
                <c:pt idx="30">
                  <c:v>1329568.0786274022</c:v>
                </c:pt>
                <c:pt idx="31">
                  <c:v>1401519.4217654022</c:v>
                </c:pt>
                <c:pt idx="32">
                  <c:v>1429533.2286254021</c:v>
                </c:pt>
                <c:pt idx="33">
                  <c:v>1467070.3210354021</c:v>
                </c:pt>
                <c:pt idx="34">
                  <c:v>1498586.6093154021</c:v>
                </c:pt>
                <c:pt idx="35">
                  <c:v>1533966.4135374022</c:v>
                </c:pt>
                <c:pt idx="36">
                  <c:v>1565822.7661454021</c:v>
                </c:pt>
                <c:pt idx="37">
                  <c:v>1598072.847652402</c:v>
                </c:pt>
                <c:pt idx="38">
                  <c:v>1628514.1021864021</c:v>
                </c:pt>
                <c:pt idx="39">
                  <c:v>1660428.1385494021</c:v>
                </c:pt>
                <c:pt idx="40">
                  <c:v>1660428.1385494021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7A-43C4-B466-960F44C6B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33408"/>
        <c:axId val="1602233888"/>
      </c:scatterChart>
      <c:valAx>
        <c:axId val="160223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3888"/>
        <c:crosses val="autoZero"/>
        <c:crossBetween val="midCat"/>
      </c:valAx>
      <c:valAx>
        <c:axId val="16022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CUMM (ITHP * TIME)  V/S CUMM WI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CUMM (ITHP * TIME)  V/S CUMM WI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'H-7'!$I:$I</c:f>
              <c:strCache>
                <c:ptCount val="39"/>
                <c:pt idx="0">
                  <c:v>CUMM MONTHLY WI (BBL)</c:v>
                </c:pt>
                <c:pt idx="1">
                  <c:v>60.35063</c:v>
                </c:pt>
                <c:pt idx="2">
                  <c:v>21313.00617</c:v>
                </c:pt>
                <c:pt idx="3">
                  <c:v>140764.6547</c:v>
                </c:pt>
                <c:pt idx="4">
                  <c:v>254679.7697</c:v>
                </c:pt>
                <c:pt idx="5">
                  <c:v>308540.0693</c:v>
                </c:pt>
                <c:pt idx="6">
                  <c:v>377775.9045</c:v>
                </c:pt>
                <c:pt idx="7">
                  <c:v>456572.003</c:v>
                </c:pt>
                <c:pt idx="8">
                  <c:v>567829.3064</c:v>
                </c:pt>
                <c:pt idx="9">
                  <c:v>685246.0349</c:v>
                </c:pt>
                <c:pt idx="10">
                  <c:v>795286.8721</c:v>
                </c:pt>
                <c:pt idx="11">
                  <c:v>912575.5465</c:v>
                </c:pt>
                <c:pt idx="12">
                  <c:v>1033856.388</c:v>
                </c:pt>
                <c:pt idx="13">
                  <c:v>1146047.199</c:v>
                </c:pt>
                <c:pt idx="14">
                  <c:v>1232615.578</c:v>
                </c:pt>
                <c:pt idx="15">
                  <c:v>1283978.424</c:v>
                </c:pt>
                <c:pt idx="16">
                  <c:v>1337376.631</c:v>
                </c:pt>
                <c:pt idx="17">
                  <c:v>1350447.647</c:v>
                </c:pt>
                <c:pt idx="18">
                  <c:v>1353453.329</c:v>
                </c:pt>
                <c:pt idx="19">
                  <c:v>1410396.454</c:v>
                </c:pt>
                <c:pt idx="20">
                  <c:v>1467716.326</c:v>
                </c:pt>
                <c:pt idx="21">
                  <c:v>1525576.275</c:v>
                </c:pt>
                <c:pt idx="22">
                  <c:v>1550745.641</c:v>
                </c:pt>
                <c:pt idx="23">
                  <c:v>1565388.849</c:v>
                </c:pt>
                <c:pt idx="24">
                  <c:v>1586360.193</c:v>
                </c:pt>
                <c:pt idx="25">
                  <c:v>1605172.463</c:v>
                </c:pt>
                <c:pt idx="26">
                  <c:v>1648010.612</c:v>
                </c:pt>
                <c:pt idx="27">
                  <c:v>1743186.544</c:v>
                </c:pt>
                <c:pt idx="28">
                  <c:v>1832400.187</c:v>
                </c:pt>
                <c:pt idx="29">
                  <c:v>1920025.02</c:v>
                </c:pt>
                <c:pt idx="30">
                  <c:v>2007940.523</c:v>
                </c:pt>
                <c:pt idx="31">
                  <c:v>2007940.523</c:v>
                </c:pt>
                <c:pt idx="32">
                  <c:v>2084453.877</c:v>
                </c:pt>
                <c:pt idx="33">
                  <c:v>2085877.888</c:v>
                </c:pt>
                <c:pt idx="34">
                  <c:v>2161123.501</c:v>
                </c:pt>
                <c:pt idx="35">
                  <c:v>2161881.29</c:v>
                </c:pt>
                <c:pt idx="36">
                  <c:v>2162679.025</c:v>
                </c:pt>
                <c:pt idx="37">
                  <c:v>2162679.025</c:v>
                </c:pt>
                <c:pt idx="38">
                  <c:v>2162679.025</c:v>
                </c:pt>
              </c:strCache>
            </c:strRef>
          </c:xVal>
          <c:yVal>
            <c:numRef>
              <c:f>'H-7'!$G:$G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1763.652</c:v>
                </c:pt>
                <c:pt idx="3">
                  <c:v>3527.3040000000001</c:v>
                </c:pt>
                <c:pt idx="4">
                  <c:v>5234.0640000000003</c:v>
                </c:pt>
                <c:pt idx="5">
                  <c:v>6997.7160000000003</c:v>
                </c:pt>
                <c:pt idx="6">
                  <c:v>8704.4760000000006</c:v>
                </c:pt>
                <c:pt idx="7">
                  <c:v>10468.128000000001</c:v>
                </c:pt>
                <c:pt idx="8">
                  <c:v>42213.864000000001</c:v>
                </c:pt>
                <c:pt idx="9">
                  <c:v>70887.432000000001</c:v>
                </c:pt>
                <c:pt idx="10">
                  <c:v>102633.16800000001</c:v>
                </c:pt>
                <c:pt idx="11">
                  <c:v>133354.848</c:v>
                </c:pt>
                <c:pt idx="12">
                  <c:v>165100.584</c:v>
                </c:pt>
                <c:pt idx="13">
                  <c:v>195822.264</c:v>
                </c:pt>
                <c:pt idx="14">
                  <c:v>211254.21899999998</c:v>
                </c:pt>
                <c:pt idx="15">
                  <c:v>226686.17399999997</c:v>
                </c:pt>
                <c:pt idx="16">
                  <c:v>241620.32399999996</c:v>
                </c:pt>
                <c:pt idx="17">
                  <c:v>257052.27899999995</c:v>
                </c:pt>
                <c:pt idx="18">
                  <c:v>271986.42899999995</c:v>
                </c:pt>
                <c:pt idx="19">
                  <c:v>287418.38399999996</c:v>
                </c:pt>
                <c:pt idx="20">
                  <c:v>302850.33899999998</c:v>
                </c:pt>
                <c:pt idx="21">
                  <c:v>314399.41499999998</c:v>
                </c:pt>
                <c:pt idx="22">
                  <c:v>314399.41499999998</c:v>
                </c:pt>
                <c:pt idx="23">
                  <c:v>314399.41499999998</c:v>
                </c:pt>
                <c:pt idx="24">
                  <c:v>323658.58799999999</c:v>
                </c:pt>
                <c:pt idx="25">
                  <c:v>347553.228</c:v>
                </c:pt>
                <c:pt idx="26">
                  <c:v>357253.31400000001</c:v>
                </c:pt>
                <c:pt idx="27">
                  <c:v>366953.4</c:v>
                </c:pt>
                <c:pt idx="28">
                  <c:v>407062.26</c:v>
                </c:pt>
                <c:pt idx="29">
                  <c:v>444539.86499999999</c:v>
                </c:pt>
                <c:pt idx="30">
                  <c:v>480808.51500000001</c:v>
                </c:pt>
                <c:pt idx="31">
                  <c:v>480808.51500000001</c:v>
                </c:pt>
                <c:pt idx="32">
                  <c:v>518286.12</c:v>
                </c:pt>
                <c:pt idx="33">
                  <c:v>552136.86</c:v>
                </c:pt>
                <c:pt idx="34">
                  <c:v>589614.46499999997</c:v>
                </c:pt>
                <c:pt idx="35">
                  <c:v>625883.11499999999</c:v>
                </c:pt>
                <c:pt idx="36">
                  <c:v>666006.19799999997</c:v>
                </c:pt>
                <c:pt idx="37">
                  <c:v>666006.19799999997</c:v>
                </c:pt>
                <c:pt idx="38">
                  <c:v>666006.19799999997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E8-401B-BF14-7DADC8C03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488864"/>
        <c:axId val="1442505664"/>
      </c:scatterChart>
      <c:valAx>
        <c:axId val="14424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WI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05664"/>
        <c:crosses val="autoZero"/>
        <c:crossBetween val="midCat"/>
      </c:valAx>
      <c:valAx>
        <c:axId val="14425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CUMM (ITHP * TIME)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201930</xdr:rowOff>
    </xdr:from>
    <xdr:to>
      <xdr:col>16</xdr:col>
      <xdr:colOff>571500</xdr:colOff>
      <xdr:row>15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D3022-0022-EB99-EA6F-07F356AD6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929640</xdr:colOff>
      <xdr:row>5</xdr:row>
      <xdr:rowOff>72390</xdr:rowOff>
    </xdr:from>
    <xdr:to>
      <xdr:col>9</xdr:col>
      <xdr:colOff>579120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6D212-1CAE-2CE1-285A-FD09F82E4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5</xdr:row>
      <xdr:rowOff>118110</xdr:rowOff>
    </xdr:from>
    <xdr:to>
      <xdr:col>14</xdr:col>
      <xdr:colOff>388620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BDFF3-321C-F421-3870-A5B740E29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784860</xdr:colOff>
      <xdr:row>5</xdr:row>
      <xdr:rowOff>72390</xdr:rowOff>
    </xdr:from>
    <xdr:to>
      <xdr:col>9</xdr:col>
      <xdr:colOff>289560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9C1C6-DB8B-80AF-752B-A984AD7D6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777240</xdr:colOff>
      <xdr:row>5</xdr:row>
      <xdr:rowOff>72390</xdr:rowOff>
    </xdr:from>
    <xdr:to>
      <xdr:col>9</xdr:col>
      <xdr:colOff>487680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6EDCC-86E0-9057-07B8-AB7AB36A6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5</xdr:row>
      <xdr:rowOff>72390</xdr:rowOff>
    </xdr:from>
    <xdr:to>
      <xdr:col>9</xdr:col>
      <xdr:colOff>243840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1E525-FD5D-F1F2-5C92-7D42580E5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5</xdr:row>
      <xdr:rowOff>72390</xdr:rowOff>
    </xdr:from>
    <xdr:to>
      <xdr:col>9</xdr:col>
      <xdr:colOff>472440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D8225-480B-44FE-EF21-C312F4052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160020</xdr:colOff>
      <xdr:row>1</xdr:row>
      <xdr:rowOff>179070</xdr:rowOff>
    </xdr:from>
    <xdr:to>
      <xdr:col>17</xdr:col>
      <xdr:colOff>464820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4CE61-5EF4-2A29-3F75-731FC7EA4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topLeftCell="A3" workbookViewId="0">
      <selection activeCell="I16" sqref="I16"/>
    </sheetView>
  </sheetViews>
  <sheetFormatPr defaultRowHeight="14.4" x14ac:dyDescent="0.3"/>
  <cols>
    <col min="6" max="6" width="11.5546875" customWidth="1"/>
    <col min="7" max="7" width="20.33203125" customWidth="1"/>
    <col min="8" max="8" width="20.5546875" customWidth="1"/>
    <col min="9" max="9" width="26.10937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3">
        <v>42095</v>
      </c>
      <c r="B2" s="4">
        <v>10936.351000190785</v>
      </c>
      <c r="C2" s="7">
        <v>88.996695493215213</v>
      </c>
      <c r="D2">
        <f>14.223*C2</f>
        <v>1265.8</v>
      </c>
      <c r="E2">
        <v>0</v>
      </c>
      <c r="F2">
        <f>D2*E2</f>
        <v>0</v>
      </c>
      <c r="G2">
        <f>F2</f>
        <v>0</v>
      </c>
      <c r="H2">
        <f>6.2898*B2</f>
        <v>68787.460521000001</v>
      </c>
      <c r="I2">
        <f>H2</f>
        <v>68787.460521000001</v>
      </c>
    </row>
    <row r="3" spans="1:9" x14ac:dyDescent="0.3">
      <c r="A3" s="3">
        <v>42125</v>
      </c>
      <c r="B3" s="4">
        <v>16951.757000381571</v>
      </c>
      <c r="C3" s="7">
        <v>39.000210925964986</v>
      </c>
      <c r="D3">
        <f t="shared" ref="D3:D66" si="0">14.223*C3</f>
        <v>554.70000000000005</v>
      </c>
      <c r="E3">
        <f>A3 -A2</f>
        <v>30</v>
      </c>
      <c r="F3">
        <f t="shared" ref="F3:F66" si="1">D3*E3</f>
        <v>16641</v>
      </c>
      <c r="G3">
        <f>G2+F3</f>
        <v>16641</v>
      </c>
      <c r="H3">
        <f t="shared" ref="H3:H66" si="2">6.2898*B3</f>
        <v>106623.161181</v>
      </c>
      <c r="I3">
        <f>I2+H3</f>
        <v>175410.621702</v>
      </c>
    </row>
    <row r="4" spans="1:9" x14ac:dyDescent="0.3">
      <c r="A4" s="3">
        <v>42156</v>
      </c>
      <c r="B4" s="4">
        <v>14170.879999841014</v>
      </c>
      <c r="C4" s="7">
        <v>37.003445124094767</v>
      </c>
      <c r="D4">
        <f t="shared" si="0"/>
        <v>526.29999999999995</v>
      </c>
      <c r="E4">
        <f t="shared" ref="E4:E67" si="3">A4 -A3</f>
        <v>31</v>
      </c>
      <c r="F4">
        <f t="shared" si="1"/>
        <v>16315.3</v>
      </c>
      <c r="G4">
        <f t="shared" ref="G4:G67" si="4">G3+F4</f>
        <v>32956.300000000003</v>
      </c>
      <c r="H4">
        <f t="shared" si="2"/>
        <v>89132.001023000004</v>
      </c>
      <c r="I4">
        <f t="shared" ref="I4:I67" si="5">I3+H4</f>
        <v>264542.62272500002</v>
      </c>
    </row>
    <row r="5" spans="1:9" x14ac:dyDescent="0.3">
      <c r="A5" s="3">
        <v>42186</v>
      </c>
      <c r="B5" s="4">
        <v>14973.083999968205</v>
      </c>
      <c r="C5" s="7">
        <v>47.999718765380017</v>
      </c>
      <c r="D5">
        <f t="shared" si="0"/>
        <v>682.7</v>
      </c>
      <c r="E5">
        <f t="shared" si="3"/>
        <v>30</v>
      </c>
      <c r="F5">
        <f t="shared" si="1"/>
        <v>20481</v>
      </c>
      <c r="G5">
        <f t="shared" si="4"/>
        <v>53437.3</v>
      </c>
      <c r="H5">
        <f t="shared" si="2"/>
        <v>94177.703743000005</v>
      </c>
      <c r="I5">
        <f t="shared" si="5"/>
        <v>358720.32646800001</v>
      </c>
    </row>
    <row r="6" spans="1:9" x14ac:dyDescent="0.3">
      <c r="A6" s="3">
        <v>42217</v>
      </c>
      <c r="B6" s="4">
        <v>15924.708999999999</v>
      </c>
      <c r="C6" s="8">
        <v>43.99915629614005</v>
      </c>
      <c r="D6">
        <f t="shared" si="0"/>
        <v>625.79999999999995</v>
      </c>
      <c r="E6">
        <f t="shared" si="3"/>
        <v>31</v>
      </c>
      <c r="F6">
        <f t="shared" si="1"/>
        <v>19399.8</v>
      </c>
      <c r="G6">
        <f t="shared" si="4"/>
        <v>72837.100000000006</v>
      </c>
      <c r="H6">
        <f t="shared" si="2"/>
        <v>100163.23466819999</v>
      </c>
      <c r="I6">
        <f t="shared" si="5"/>
        <v>458883.56113619998</v>
      </c>
    </row>
    <row r="7" spans="1:9" x14ac:dyDescent="0.3">
      <c r="A7" s="3">
        <v>42248</v>
      </c>
      <c r="B7" s="4">
        <v>17428.688999968203</v>
      </c>
      <c r="C7" s="7">
        <v>40.996976727835197</v>
      </c>
      <c r="D7">
        <f t="shared" si="0"/>
        <v>583.1</v>
      </c>
      <c r="E7">
        <f t="shared" si="3"/>
        <v>31</v>
      </c>
      <c r="F7">
        <f t="shared" si="1"/>
        <v>18076.100000000002</v>
      </c>
      <c r="G7">
        <f t="shared" si="4"/>
        <v>90913.200000000012</v>
      </c>
      <c r="H7">
        <f t="shared" si="2"/>
        <v>109622.96807199999</v>
      </c>
      <c r="I7">
        <f t="shared" si="5"/>
        <v>568506.52920819994</v>
      </c>
    </row>
    <row r="8" spans="1:9" x14ac:dyDescent="0.3">
      <c r="A8" s="3">
        <v>42278</v>
      </c>
      <c r="B8" s="4">
        <v>17483.868999650229</v>
      </c>
      <c r="C8" s="7">
        <v>44.997539197075156</v>
      </c>
      <c r="D8">
        <f t="shared" si="0"/>
        <v>640</v>
      </c>
      <c r="E8">
        <f t="shared" si="3"/>
        <v>30</v>
      </c>
      <c r="F8">
        <f t="shared" si="1"/>
        <v>19200</v>
      </c>
      <c r="G8">
        <f t="shared" si="4"/>
        <v>110113.20000000001</v>
      </c>
      <c r="H8">
        <f t="shared" si="2"/>
        <v>109970.039234</v>
      </c>
      <c r="I8">
        <f t="shared" si="5"/>
        <v>678476.56844219996</v>
      </c>
    </row>
    <row r="9" spans="1:9" x14ac:dyDescent="0.3">
      <c r="A9" s="3">
        <v>42309</v>
      </c>
      <c r="B9" s="4">
        <v>15927.989000127191</v>
      </c>
      <c r="C9" s="7">
        <v>44.997539197075156</v>
      </c>
      <c r="D9">
        <f t="shared" si="0"/>
        <v>640</v>
      </c>
      <c r="E9">
        <f t="shared" si="3"/>
        <v>31</v>
      </c>
      <c r="F9">
        <f t="shared" si="1"/>
        <v>19840</v>
      </c>
      <c r="G9">
        <f t="shared" si="4"/>
        <v>129953.20000000001</v>
      </c>
      <c r="H9">
        <f t="shared" si="2"/>
        <v>100183.865213</v>
      </c>
      <c r="I9">
        <f t="shared" si="5"/>
        <v>778660.43365519994</v>
      </c>
    </row>
    <row r="10" spans="1:9" x14ac:dyDescent="0.3">
      <c r="A10" s="3">
        <v>42339</v>
      </c>
      <c r="B10" s="4">
        <v>17541.431999745622</v>
      </c>
      <c r="C10" s="7">
        <v>39.998593826900091</v>
      </c>
      <c r="D10">
        <f t="shared" si="0"/>
        <v>568.9</v>
      </c>
      <c r="E10">
        <f t="shared" si="3"/>
        <v>30</v>
      </c>
      <c r="F10">
        <f t="shared" si="1"/>
        <v>17067</v>
      </c>
      <c r="G10">
        <f t="shared" si="4"/>
        <v>147020.20000000001</v>
      </c>
      <c r="H10">
        <f t="shared" si="2"/>
        <v>110332.09899200001</v>
      </c>
      <c r="I10">
        <f t="shared" si="5"/>
        <v>888992.53264719993</v>
      </c>
    </row>
    <row r="11" spans="1:9" x14ac:dyDescent="0.3">
      <c r="A11" s="3">
        <v>42370</v>
      </c>
      <c r="B11" s="4">
        <v>17866.157000381572</v>
      </c>
      <c r="C11" s="7">
        <v>39.000210925964986</v>
      </c>
      <c r="D11">
        <f t="shared" si="0"/>
        <v>554.70000000000005</v>
      </c>
      <c r="E11">
        <f t="shared" si="3"/>
        <v>31</v>
      </c>
      <c r="F11">
        <f t="shared" si="1"/>
        <v>17195.7</v>
      </c>
      <c r="G11">
        <f t="shared" si="4"/>
        <v>164215.90000000002</v>
      </c>
      <c r="H11">
        <f t="shared" si="2"/>
        <v>112374.55430100001</v>
      </c>
      <c r="I11">
        <f t="shared" si="5"/>
        <v>1001367.0869481999</v>
      </c>
    </row>
    <row r="12" spans="1:9" x14ac:dyDescent="0.3">
      <c r="A12" s="3">
        <v>42401</v>
      </c>
      <c r="B12" s="4">
        <v>16135.948999968203</v>
      </c>
      <c r="C12" s="7">
        <v>39.000210925964986</v>
      </c>
      <c r="D12">
        <f t="shared" si="0"/>
        <v>554.70000000000005</v>
      </c>
      <c r="E12">
        <f t="shared" si="3"/>
        <v>31</v>
      </c>
      <c r="F12">
        <f t="shared" si="1"/>
        <v>17195.7</v>
      </c>
      <c r="G12">
        <f t="shared" si="4"/>
        <v>181411.60000000003</v>
      </c>
      <c r="H12">
        <f t="shared" si="2"/>
        <v>101491.89202</v>
      </c>
      <c r="I12">
        <f t="shared" si="5"/>
        <v>1102858.9789681998</v>
      </c>
    </row>
    <row r="13" spans="1:9" x14ac:dyDescent="0.3">
      <c r="A13" s="3">
        <v>42430</v>
      </c>
      <c r="B13" s="4">
        <v>18856.601000031798</v>
      </c>
      <c r="C13" s="7">
        <v>39.000210925964986</v>
      </c>
      <c r="D13">
        <f t="shared" si="0"/>
        <v>554.70000000000005</v>
      </c>
      <c r="E13">
        <f t="shared" si="3"/>
        <v>29</v>
      </c>
      <c r="F13">
        <f t="shared" si="1"/>
        <v>16086.300000000001</v>
      </c>
      <c r="G13">
        <f t="shared" si="4"/>
        <v>197497.90000000002</v>
      </c>
      <c r="H13">
        <f t="shared" si="2"/>
        <v>118604.24897</v>
      </c>
      <c r="I13">
        <f t="shared" si="5"/>
        <v>1221463.2279381999</v>
      </c>
    </row>
    <row r="14" spans="1:9" x14ac:dyDescent="0.3">
      <c r="A14" s="3">
        <v>42461</v>
      </c>
      <c r="B14" s="4">
        <v>17689.385999872811</v>
      </c>
      <c r="C14" s="7">
        <v>52.000281234619983</v>
      </c>
      <c r="D14">
        <f t="shared" si="0"/>
        <v>739.6</v>
      </c>
      <c r="E14">
        <f t="shared" si="3"/>
        <v>31</v>
      </c>
      <c r="F14">
        <f t="shared" si="1"/>
        <v>22927.600000000002</v>
      </c>
      <c r="G14">
        <f t="shared" si="4"/>
        <v>220425.50000000003</v>
      </c>
      <c r="H14">
        <f t="shared" si="2"/>
        <v>111262.700062</v>
      </c>
      <c r="I14">
        <f t="shared" si="5"/>
        <v>1332725.9280001998</v>
      </c>
    </row>
    <row r="15" spans="1:9" x14ac:dyDescent="0.3">
      <c r="A15" s="3">
        <v>42491</v>
      </c>
      <c r="B15" s="4">
        <v>15518.885000317976</v>
      </c>
      <c r="C15" s="7">
        <v>50.003515432749772</v>
      </c>
      <c r="D15">
        <f t="shared" si="0"/>
        <v>711.2</v>
      </c>
      <c r="E15">
        <f t="shared" si="3"/>
        <v>30</v>
      </c>
      <c r="F15">
        <f t="shared" si="1"/>
        <v>21336</v>
      </c>
      <c r="G15">
        <f t="shared" si="4"/>
        <v>241761.50000000003</v>
      </c>
      <c r="H15">
        <f t="shared" si="2"/>
        <v>97610.682874999999</v>
      </c>
      <c r="I15">
        <f t="shared" si="5"/>
        <v>1430336.6108751998</v>
      </c>
    </row>
    <row r="16" spans="1:9" x14ac:dyDescent="0.3">
      <c r="A16" s="3">
        <v>42522</v>
      </c>
      <c r="B16" s="4">
        <v>15661.744999841014</v>
      </c>
      <c r="C16" s="7">
        <v>52.998664135555082</v>
      </c>
      <c r="D16">
        <f t="shared" si="0"/>
        <v>753.8</v>
      </c>
      <c r="E16">
        <f t="shared" si="3"/>
        <v>31</v>
      </c>
      <c r="F16">
        <f t="shared" si="1"/>
        <v>23367.8</v>
      </c>
      <c r="G16">
        <f t="shared" si="4"/>
        <v>265129.30000000005</v>
      </c>
      <c r="H16">
        <f t="shared" si="2"/>
        <v>98509.243700000006</v>
      </c>
      <c r="I16">
        <f t="shared" si="5"/>
        <v>1528845.8545751998</v>
      </c>
    </row>
    <row r="17" spans="1:9" x14ac:dyDescent="0.3">
      <c r="A17" s="3">
        <v>42552</v>
      </c>
      <c r="B17" s="4">
        <v>14293.957000222583</v>
      </c>
      <c r="C17" s="7">
        <v>46.002952963509806</v>
      </c>
      <c r="D17">
        <f t="shared" si="0"/>
        <v>654.29999999999995</v>
      </c>
      <c r="E17">
        <f t="shared" si="3"/>
        <v>30</v>
      </c>
      <c r="F17">
        <f t="shared" si="1"/>
        <v>19629</v>
      </c>
      <c r="G17">
        <f t="shared" si="4"/>
        <v>284758.30000000005</v>
      </c>
      <c r="H17">
        <f t="shared" si="2"/>
        <v>89906.130739999993</v>
      </c>
      <c r="I17">
        <f t="shared" si="5"/>
        <v>1618751.9853151997</v>
      </c>
    </row>
    <row r="18" spans="1:9" x14ac:dyDescent="0.3">
      <c r="A18" s="3">
        <v>42583</v>
      </c>
      <c r="B18" s="4">
        <v>14295.171999904609</v>
      </c>
      <c r="C18" s="7">
        <v>46.002952963509806</v>
      </c>
      <c r="D18">
        <f t="shared" si="0"/>
        <v>654.29999999999995</v>
      </c>
      <c r="E18">
        <f t="shared" si="3"/>
        <v>31</v>
      </c>
      <c r="F18">
        <f t="shared" si="1"/>
        <v>20283.3</v>
      </c>
      <c r="G18">
        <f t="shared" si="4"/>
        <v>305041.60000000003</v>
      </c>
      <c r="H18">
        <f t="shared" si="2"/>
        <v>89913.772845</v>
      </c>
      <c r="I18">
        <f t="shared" si="5"/>
        <v>1708665.7581601997</v>
      </c>
    </row>
    <row r="19" spans="1:9" x14ac:dyDescent="0.3">
      <c r="A19" s="3">
        <v>42614</v>
      </c>
      <c r="B19" s="4">
        <v>16349.712999459443</v>
      </c>
      <c r="C19" s="7">
        <v>50.003515432749772</v>
      </c>
      <c r="D19">
        <f t="shared" si="0"/>
        <v>711.2</v>
      </c>
      <c r="E19">
        <f t="shared" si="3"/>
        <v>31</v>
      </c>
      <c r="F19">
        <f t="shared" si="1"/>
        <v>22047.200000000001</v>
      </c>
      <c r="G19">
        <f t="shared" si="4"/>
        <v>327088.80000000005</v>
      </c>
      <c r="H19">
        <f t="shared" si="2"/>
        <v>102836.424824</v>
      </c>
      <c r="I19">
        <f t="shared" si="5"/>
        <v>1811502.1829841998</v>
      </c>
    </row>
    <row r="20" spans="1:9" x14ac:dyDescent="0.3">
      <c r="A20" s="3">
        <v>42644</v>
      </c>
      <c r="B20" s="4">
        <v>15530.531000031799</v>
      </c>
      <c r="C20" s="7">
        <v>50.003515432749772</v>
      </c>
      <c r="D20">
        <f t="shared" si="0"/>
        <v>711.2</v>
      </c>
      <c r="E20">
        <f t="shared" si="3"/>
        <v>30</v>
      </c>
      <c r="F20">
        <f t="shared" si="1"/>
        <v>21336</v>
      </c>
      <c r="G20">
        <f t="shared" si="4"/>
        <v>348424.80000000005</v>
      </c>
      <c r="H20">
        <f t="shared" si="2"/>
        <v>97683.933883999998</v>
      </c>
      <c r="I20">
        <f t="shared" si="5"/>
        <v>1909186.1168681998</v>
      </c>
    </row>
    <row r="21" spans="1:9" x14ac:dyDescent="0.3">
      <c r="A21" s="3">
        <v>42675</v>
      </c>
      <c r="B21" s="4">
        <v>5616.1060000317975</v>
      </c>
      <c r="C21" s="7">
        <v>50</v>
      </c>
      <c r="D21">
        <f t="shared" si="0"/>
        <v>711.15000000000009</v>
      </c>
      <c r="E21">
        <f t="shared" si="3"/>
        <v>31</v>
      </c>
      <c r="F21">
        <f t="shared" si="1"/>
        <v>22045.65</v>
      </c>
      <c r="G21">
        <f t="shared" si="4"/>
        <v>370470.45000000007</v>
      </c>
      <c r="H21">
        <f t="shared" si="2"/>
        <v>35324.183518999998</v>
      </c>
      <c r="I21">
        <f t="shared" si="5"/>
        <v>1944510.3003871997</v>
      </c>
    </row>
    <row r="22" spans="1:9" x14ac:dyDescent="0.3">
      <c r="A22" s="3">
        <v>42705</v>
      </c>
      <c r="B22" s="4">
        <v>12086.618000095394</v>
      </c>
      <c r="C22" s="7">
        <v>39.998593826900091</v>
      </c>
      <c r="D22">
        <f t="shared" si="0"/>
        <v>568.9</v>
      </c>
      <c r="E22">
        <f t="shared" si="3"/>
        <v>30</v>
      </c>
      <c r="F22">
        <f t="shared" si="1"/>
        <v>17067</v>
      </c>
      <c r="G22">
        <f t="shared" si="4"/>
        <v>387537.45000000007</v>
      </c>
      <c r="H22">
        <f t="shared" si="2"/>
        <v>76022.409897000005</v>
      </c>
      <c r="I22">
        <f t="shared" si="5"/>
        <v>2020532.7102841998</v>
      </c>
    </row>
    <row r="23" spans="1:9" x14ac:dyDescent="0.3">
      <c r="A23" s="3">
        <v>42736</v>
      </c>
      <c r="B23" s="4">
        <v>12000.278999968205</v>
      </c>
      <c r="C23" s="7">
        <v>43.000773395204952</v>
      </c>
      <c r="D23">
        <f t="shared" si="0"/>
        <v>611.6</v>
      </c>
      <c r="E23">
        <f t="shared" si="3"/>
        <v>31</v>
      </c>
      <c r="F23">
        <f t="shared" si="1"/>
        <v>18959.600000000002</v>
      </c>
      <c r="G23">
        <f t="shared" si="4"/>
        <v>406497.05000000005</v>
      </c>
      <c r="H23">
        <f t="shared" si="2"/>
        <v>75479.354854000005</v>
      </c>
      <c r="I23">
        <f t="shared" si="5"/>
        <v>2096012.0651381998</v>
      </c>
    </row>
    <row r="24" spans="1:9" x14ac:dyDescent="0.3">
      <c r="A24" s="3">
        <v>42767</v>
      </c>
      <c r="B24" s="4">
        <v>13299.495000317975</v>
      </c>
      <c r="C24" s="7">
        <v>43.99915629614005</v>
      </c>
      <c r="D24">
        <f t="shared" si="0"/>
        <v>625.79999999999995</v>
      </c>
      <c r="E24">
        <f t="shared" si="3"/>
        <v>31</v>
      </c>
      <c r="F24">
        <f t="shared" si="1"/>
        <v>19399.8</v>
      </c>
      <c r="G24">
        <f t="shared" si="4"/>
        <v>425896.85000000003</v>
      </c>
      <c r="H24">
        <f t="shared" si="2"/>
        <v>83651.163652999996</v>
      </c>
      <c r="I24">
        <f t="shared" si="5"/>
        <v>2179663.2287911996</v>
      </c>
    </row>
    <row r="25" spans="1:9" x14ac:dyDescent="0.3">
      <c r="A25" s="3">
        <v>42795</v>
      </c>
      <c r="B25" s="4">
        <v>11618.677000063595</v>
      </c>
      <c r="C25" s="7">
        <v>44.997539197075156</v>
      </c>
      <c r="D25">
        <f t="shared" si="0"/>
        <v>640</v>
      </c>
      <c r="E25">
        <f t="shared" si="3"/>
        <v>28</v>
      </c>
      <c r="F25">
        <f t="shared" si="1"/>
        <v>17920</v>
      </c>
      <c r="G25">
        <f t="shared" si="4"/>
        <v>443816.85000000003</v>
      </c>
      <c r="H25">
        <f t="shared" si="2"/>
        <v>73079.154595</v>
      </c>
      <c r="I25">
        <f t="shared" si="5"/>
        <v>2252742.3833861998</v>
      </c>
    </row>
    <row r="26" spans="1:9" x14ac:dyDescent="0.3">
      <c r="A26" s="3">
        <v>42826</v>
      </c>
      <c r="B26" s="4">
        <v>13284.278999809216</v>
      </c>
      <c r="C26" s="7">
        <v>45</v>
      </c>
      <c r="D26">
        <f t="shared" si="0"/>
        <v>640.03500000000008</v>
      </c>
      <c r="E26">
        <f t="shared" si="3"/>
        <v>31</v>
      </c>
      <c r="F26">
        <f t="shared" si="1"/>
        <v>19841.085000000003</v>
      </c>
      <c r="G26">
        <f t="shared" si="4"/>
        <v>463657.93500000006</v>
      </c>
      <c r="H26">
        <f t="shared" si="2"/>
        <v>83555.458052999995</v>
      </c>
      <c r="I26">
        <f t="shared" si="5"/>
        <v>2336297.8414391996</v>
      </c>
    </row>
    <row r="27" spans="1:9" x14ac:dyDescent="0.3">
      <c r="A27" s="3">
        <v>42856</v>
      </c>
      <c r="B27" s="4">
        <v>14388.428000254382</v>
      </c>
      <c r="C27" s="9">
        <v>43.99915629614005</v>
      </c>
      <c r="D27">
        <f t="shared" si="0"/>
        <v>625.79999999999995</v>
      </c>
      <c r="E27">
        <f t="shared" si="3"/>
        <v>30</v>
      </c>
      <c r="F27">
        <f t="shared" si="1"/>
        <v>18774</v>
      </c>
      <c r="G27">
        <f t="shared" si="4"/>
        <v>482431.93500000006</v>
      </c>
      <c r="H27">
        <f t="shared" si="2"/>
        <v>90500.334436000005</v>
      </c>
      <c r="I27">
        <f t="shared" si="5"/>
        <v>2426798.1758751995</v>
      </c>
    </row>
    <row r="28" spans="1:9" x14ac:dyDescent="0.3">
      <c r="A28" s="3">
        <v>42887</v>
      </c>
      <c r="B28" s="4">
        <v>13004.496000190786</v>
      </c>
      <c r="C28" s="7">
        <v>42.002390494269839</v>
      </c>
      <c r="D28">
        <f t="shared" si="0"/>
        <v>597.4</v>
      </c>
      <c r="E28">
        <f t="shared" si="3"/>
        <v>31</v>
      </c>
      <c r="F28">
        <f t="shared" si="1"/>
        <v>18519.399999999998</v>
      </c>
      <c r="G28">
        <f t="shared" si="4"/>
        <v>500951.33500000008</v>
      </c>
      <c r="H28">
        <f t="shared" si="2"/>
        <v>81795.678941999999</v>
      </c>
      <c r="I28">
        <f t="shared" si="5"/>
        <v>2508593.8548171995</v>
      </c>
    </row>
    <row r="29" spans="1:9" x14ac:dyDescent="0.3">
      <c r="A29" s="3">
        <v>42917</v>
      </c>
      <c r="B29" s="4">
        <v>15241.144999523038</v>
      </c>
      <c r="C29" s="9">
        <v>43.000773395204952</v>
      </c>
      <c r="D29">
        <f t="shared" si="0"/>
        <v>611.6</v>
      </c>
      <c r="E29">
        <f t="shared" si="3"/>
        <v>30</v>
      </c>
      <c r="F29">
        <f t="shared" si="1"/>
        <v>18348</v>
      </c>
      <c r="G29">
        <f t="shared" si="4"/>
        <v>519299.33500000008</v>
      </c>
      <c r="H29">
        <f t="shared" si="2"/>
        <v>95863.753817999997</v>
      </c>
      <c r="I29">
        <f t="shared" si="5"/>
        <v>2604457.6086351997</v>
      </c>
    </row>
    <row r="30" spans="1:9" x14ac:dyDescent="0.3">
      <c r="A30" s="3">
        <v>42948</v>
      </c>
      <c r="B30" s="4">
        <v>15515.446000031799</v>
      </c>
      <c r="C30" s="7">
        <v>42.002390494269839</v>
      </c>
      <c r="D30">
        <f t="shared" si="0"/>
        <v>597.4</v>
      </c>
      <c r="E30">
        <f t="shared" si="3"/>
        <v>31</v>
      </c>
      <c r="F30">
        <f t="shared" si="1"/>
        <v>18519.399999999998</v>
      </c>
      <c r="G30">
        <f t="shared" si="4"/>
        <v>537818.7350000001</v>
      </c>
      <c r="H30">
        <f t="shared" si="2"/>
        <v>97589.052251000001</v>
      </c>
      <c r="I30">
        <f t="shared" si="5"/>
        <v>2702046.6608861997</v>
      </c>
    </row>
    <row r="31" spans="1:9" x14ac:dyDescent="0.3">
      <c r="A31" s="3">
        <v>42979</v>
      </c>
      <c r="B31" s="4">
        <v>14447.319999841013</v>
      </c>
      <c r="C31" s="9">
        <v>42</v>
      </c>
      <c r="D31">
        <f t="shared" si="0"/>
        <v>597.36599999999999</v>
      </c>
      <c r="E31">
        <f t="shared" si="3"/>
        <v>31</v>
      </c>
      <c r="F31">
        <f t="shared" si="1"/>
        <v>18518.345999999998</v>
      </c>
      <c r="G31">
        <f t="shared" si="4"/>
        <v>556337.08100000012</v>
      </c>
      <c r="H31">
        <f t="shared" si="2"/>
        <v>90870.753335000001</v>
      </c>
      <c r="I31">
        <f t="shared" si="5"/>
        <v>2792917.4142211997</v>
      </c>
    </row>
    <row r="32" spans="1:9" x14ac:dyDescent="0.3">
      <c r="A32" s="3">
        <v>43009</v>
      </c>
      <c r="B32" s="4">
        <v>1818.2370000635951</v>
      </c>
      <c r="C32" s="7">
        <v>42</v>
      </c>
      <c r="D32">
        <f t="shared" si="0"/>
        <v>597.36599999999999</v>
      </c>
      <c r="E32">
        <f t="shared" si="3"/>
        <v>30</v>
      </c>
      <c r="F32">
        <f t="shared" si="1"/>
        <v>17920.98</v>
      </c>
      <c r="G32">
        <f t="shared" si="4"/>
        <v>574258.0610000001</v>
      </c>
      <c r="H32">
        <f t="shared" si="2"/>
        <v>11436.347083000001</v>
      </c>
      <c r="I32">
        <f t="shared" si="5"/>
        <v>2804353.7613041997</v>
      </c>
    </row>
    <row r="33" spans="1:9" x14ac:dyDescent="0.3">
      <c r="A33" s="3">
        <v>43040</v>
      </c>
      <c r="B33" s="4"/>
      <c r="D33">
        <f t="shared" si="0"/>
        <v>0</v>
      </c>
      <c r="E33">
        <f t="shared" si="3"/>
        <v>31</v>
      </c>
      <c r="F33">
        <f t="shared" si="1"/>
        <v>0</v>
      </c>
      <c r="G33">
        <f t="shared" si="4"/>
        <v>574258.0610000001</v>
      </c>
      <c r="H33">
        <f t="shared" si="2"/>
        <v>0</v>
      </c>
      <c r="I33">
        <f t="shared" si="5"/>
        <v>2804353.7613041997</v>
      </c>
    </row>
    <row r="34" spans="1:9" x14ac:dyDescent="0.3">
      <c r="A34" s="3">
        <v>43070</v>
      </c>
      <c r="B34" s="4"/>
      <c r="D34">
        <f t="shared" si="0"/>
        <v>0</v>
      </c>
      <c r="E34">
        <f t="shared" si="3"/>
        <v>30</v>
      </c>
      <c r="F34">
        <f t="shared" si="1"/>
        <v>0</v>
      </c>
      <c r="G34">
        <f t="shared" si="4"/>
        <v>574258.0610000001</v>
      </c>
      <c r="H34">
        <f t="shared" si="2"/>
        <v>0</v>
      </c>
      <c r="I34">
        <f t="shared" si="5"/>
        <v>2804353.7613041997</v>
      </c>
    </row>
    <row r="35" spans="1:9" x14ac:dyDescent="0.3">
      <c r="A35" s="3">
        <v>43101</v>
      </c>
      <c r="B35" s="4">
        <v>8888.748999968202</v>
      </c>
      <c r="C35" s="9">
        <v>25.001757716374886</v>
      </c>
      <c r="D35">
        <f t="shared" si="0"/>
        <v>355.6</v>
      </c>
      <c r="E35">
        <f t="shared" si="3"/>
        <v>31</v>
      </c>
      <c r="F35">
        <f t="shared" si="1"/>
        <v>11023.6</v>
      </c>
      <c r="G35">
        <f t="shared" si="4"/>
        <v>585281.66100000008</v>
      </c>
      <c r="H35">
        <f t="shared" si="2"/>
        <v>55908.453459999997</v>
      </c>
      <c r="I35">
        <f t="shared" si="5"/>
        <v>2860262.2147641997</v>
      </c>
    </row>
    <row r="36" spans="1:9" x14ac:dyDescent="0.3">
      <c r="A36" s="3">
        <v>43132</v>
      </c>
      <c r="B36" s="4">
        <v>5881.7180000953922</v>
      </c>
      <c r="C36" s="7">
        <v>25.001757716374886</v>
      </c>
      <c r="D36">
        <f t="shared" si="0"/>
        <v>355.6</v>
      </c>
      <c r="E36">
        <f t="shared" si="3"/>
        <v>31</v>
      </c>
      <c r="F36">
        <f t="shared" si="1"/>
        <v>11023.6</v>
      </c>
      <c r="G36">
        <f t="shared" si="4"/>
        <v>596305.26100000006</v>
      </c>
      <c r="H36">
        <f t="shared" si="2"/>
        <v>36994.829876999996</v>
      </c>
      <c r="I36">
        <f t="shared" si="5"/>
        <v>2897257.0446411995</v>
      </c>
    </row>
    <row r="37" spans="1:9" x14ac:dyDescent="0.3">
      <c r="A37" s="3">
        <v>43160</v>
      </c>
      <c r="B37" s="4">
        <v>7795.5070000635951</v>
      </c>
      <c r="C37" s="10">
        <v>24.003374815439777</v>
      </c>
      <c r="D37">
        <f t="shared" si="0"/>
        <v>341.4</v>
      </c>
      <c r="E37">
        <f t="shared" si="3"/>
        <v>28</v>
      </c>
      <c r="F37">
        <f t="shared" si="1"/>
        <v>9559.1999999999989</v>
      </c>
      <c r="G37">
        <f t="shared" si="4"/>
        <v>605864.46100000001</v>
      </c>
      <c r="H37">
        <f t="shared" si="2"/>
        <v>49032.179928999998</v>
      </c>
      <c r="I37">
        <f t="shared" si="5"/>
        <v>2946289.2245701994</v>
      </c>
    </row>
    <row r="38" spans="1:9" x14ac:dyDescent="0.3">
      <c r="A38" s="3">
        <v>43191</v>
      </c>
      <c r="B38" s="4">
        <v>6417.1440001271903</v>
      </c>
      <c r="C38" s="10">
        <v>26.998523518245094</v>
      </c>
      <c r="D38">
        <f t="shared" si="0"/>
        <v>384</v>
      </c>
      <c r="E38">
        <f t="shared" si="3"/>
        <v>31</v>
      </c>
      <c r="F38">
        <f t="shared" si="1"/>
        <v>11904</v>
      </c>
      <c r="G38">
        <f t="shared" si="4"/>
        <v>617768.46100000001</v>
      </c>
      <c r="H38">
        <f t="shared" si="2"/>
        <v>40362.552331999999</v>
      </c>
      <c r="I38">
        <f t="shared" si="5"/>
        <v>2986651.7769021993</v>
      </c>
    </row>
    <row r="39" spans="1:9" x14ac:dyDescent="0.3">
      <c r="A39" s="3">
        <v>43221</v>
      </c>
      <c r="B39" s="4">
        <v>6836.1120002225834</v>
      </c>
      <c r="C39" s="10">
        <v>22.997961049005134</v>
      </c>
      <c r="D39">
        <f t="shared" si="0"/>
        <v>327.10000000000002</v>
      </c>
      <c r="E39">
        <f t="shared" si="3"/>
        <v>30</v>
      </c>
      <c r="F39">
        <f t="shared" si="1"/>
        <v>9813</v>
      </c>
      <c r="G39">
        <f t="shared" si="4"/>
        <v>627581.46100000001</v>
      </c>
      <c r="H39">
        <f t="shared" si="2"/>
        <v>42997.777259000002</v>
      </c>
      <c r="I39">
        <f t="shared" si="5"/>
        <v>3029649.5541611994</v>
      </c>
    </row>
    <row r="40" spans="1:9" x14ac:dyDescent="0.3">
      <c r="A40" s="3">
        <v>43252</v>
      </c>
      <c r="B40" s="4">
        <v>6767.5730002543796</v>
      </c>
      <c r="C40" s="10">
        <v>26.998523518245094</v>
      </c>
      <c r="D40">
        <f t="shared" si="0"/>
        <v>384</v>
      </c>
      <c r="E40">
        <f t="shared" si="3"/>
        <v>31</v>
      </c>
      <c r="F40">
        <f t="shared" si="1"/>
        <v>11904</v>
      </c>
      <c r="G40">
        <f t="shared" si="4"/>
        <v>639485.46100000001</v>
      </c>
      <c r="H40">
        <f t="shared" si="2"/>
        <v>42566.680656999997</v>
      </c>
      <c r="I40">
        <f t="shared" si="5"/>
        <v>3072216.2348181992</v>
      </c>
    </row>
    <row r="41" spans="1:9" x14ac:dyDescent="0.3">
      <c r="A41" s="3">
        <v>43282</v>
      </c>
      <c r="B41" s="4">
        <v>8046.2320003815703</v>
      </c>
      <c r="C41" s="10">
        <v>27</v>
      </c>
      <c r="D41">
        <f t="shared" si="0"/>
        <v>384.02100000000002</v>
      </c>
      <c r="E41">
        <f t="shared" si="3"/>
        <v>30</v>
      </c>
      <c r="F41">
        <f t="shared" si="1"/>
        <v>11520.630000000001</v>
      </c>
      <c r="G41">
        <f t="shared" si="4"/>
        <v>651006.09100000001</v>
      </c>
      <c r="H41">
        <f t="shared" si="2"/>
        <v>50609.190036</v>
      </c>
      <c r="I41">
        <f t="shared" si="5"/>
        <v>3122825.4248541994</v>
      </c>
    </row>
    <row r="42" spans="1:9" x14ac:dyDescent="0.3">
      <c r="A42" s="3">
        <v>43313</v>
      </c>
      <c r="B42" s="4">
        <v>10146.830999713824</v>
      </c>
      <c r="C42" s="10">
        <v>44.997539197075156</v>
      </c>
      <c r="D42">
        <f t="shared" si="0"/>
        <v>640</v>
      </c>
      <c r="E42">
        <f t="shared" si="3"/>
        <v>31</v>
      </c>
      <c r="F42">
        <f t="shared" si="1"/>
        <v>19840</v>
      </c>
      <c r="G42">
        <f t="shared" si="4"/>
        <v>670846.09100000001</v>
      </c>
      <c r="H42">
        <f t="shared" si="2"/>
        <v>63821.537622000003</v>
      </c>
      <c r="I42">
        <f t="shared" si="5"/>
        <v>3186646.9624761995</v>
      </c>
    </row>
    <row r="43" spans="1:9" x14ac:dyDescent="0.3">
      <c r="A43" s="3">
        <v>43344</v>
      </c>
      <c r="B43" s="4">
        <v>12313.73400012719</v>
      </c>
      <c r="C43" s="10">
        <v>48.998101666315122</v>
      </c>
      <c r="D43">
        <f t="shared" si="0"/>
        <v>696.9</v>
      </c>
      <c r="E43">
        <f t="shared" si="3"/>
        <v>31</v>
      </c>
      <c r="F43">
        <f t="shared" si="1"/>
        <v>21603.899999999998</v>
      </c>
      <c r="G43">
        <f t="shared" si="4"/>
        <v>692449.99100000004</v>
      </c>
      <c r="H43">
        <f t="shared" si="2"/>
        <v>77450.924113999994</v>
      </c>
      <c r="I43">
        <f t="shared" si="5"/>
        <v>3264097.8865901995</v>
      </c>
    </row>
    <row r="44" spans="1:9" x14ac:dyDescent="0.3">
      <c r="A44" s="3">
        <v>43374</v>
      </c>
      <c r="B44" s="4">
        <v>13489.276000190786</v>
      </c>
      <c r="C44" s="7">
        <v>44.997539197075156</v>
      </c>
      <c r="D44">
        <f t="shared" si="0"/>
        <v>640</v>
      </c>
      <c r="E44">
        <f t="shared" si="3"/>
        <v>30</v>
      </c>
      <c r="F44">
        <f t="shared" si="1"/>
        <v>19200</v>
      </c>
      <c r="G44">
        <f t="shared" si="4"/>
        <v>711649.99100000004</v>
      </c>
      <c r="H44">
        <f t="shared" si="2"/>
        <v>84844.848186000003</v>
      </c>
      <c r="I44">
        <f t="shared" si="5"/>
        <v>3348942.7347761993</v>
      </c>
    </row>
    <row r="45" spans="1:9" x14ac:dyDescent="0.3">
      <c r="A45" s="3">
        <v>43405</v>
      </c>
      <c r="B45" s="4">
        <v>13737.299000286177</v>
      </c>
      <c r="C45" s="7">
        <v>44.997539197075156</v>
      </c>
      <c r="D45">
        <f t="shared" si="0"/>
        <v>640</v>
      </c>
      <c r="E45">
        <f t="shared" si="3"/>
        <v>31</v>
      </c>
      <c r="F45">
        <f t="shared" si="1"/>
        <v>19840</v>
      </c>
      <c r="G45">
        <f t="shared" si="4"/>
        <v>731489.99100000004</v>
      </c>
      <c r="H45">
        <f t="shared" si="2"/>
        <v>86404.863251999996</v>
      </c>
      <c r="I45">
        <f t="shared" si="5"/>
        <v>3435347.5980281993</v>
      </c>
    </row>
    <row r="46" spans="1:9" x14ac:dyDescent="0.3">
      <c r="A46" s="3">
        <v>43435</v>
      </c>
      <c r="B46" s="4">
        <v>13472.157000222584</v>
      </c>
      <c r="C46" s="7">
        <v>46.002952963509806</v>
      </c>
      <c r="D46">
        <f t="shared" si="0"/>
        <v>654.29999999999995</v>
      </c>
      <c r="E46">
        <f t="shared" si="3"/>
        <v>30</v>
      </c>
      <c r="F46">
        <f t="shared" si="1"/>
        <v>19629</v>
      </c>
      <c r="G46">
        <f t="shared" si="4"/>
        <v>751118.99100000004</v>
      </c>
      <c r="H46">
        <f t="shared" si="2"/>
        <v>84737.1731</v>
      </c>
      <c r="I46">
        <f t="shared" si="5"/>
        <v>3520084.7711281991</v>
      </c>
    </row>
    <row r="47" spans="1:9" x14ac:dyDescent="0.3">
      <c r="A47" s="3">
        <v>43466</v>
      </c>
      <c r="B47" s="4">
        <v>13974.827000381572</v>
      </c>
      <c r="C47" s="7">
        <v>46</v>
      </c>
      <c r="D47">
        <f t="shared" si="0"/>
        <v>654.25800000000004</v>
      </c>
      <c r="E47">
        <f t="shared" si="3"/>
        <v>31</v>
      </c>
      <c r="F47">
        <f t="shared" si="1"/>
        <v>20281.998</v>
      </c>
      <c r="G47">
        <f t="shared" si="4"/>
        <v>771400.98900000006</v>
      </c>
      <c r="H47">
        <f t="shared" si="2"/>
        <v>87898.866867000004</v>
      </c>
      <c r="I47">
        <f t="shared" si="5"/>
        <v>3607983.6379951993</v>
      </c>
    </row>
    <row r="48" spans="1:9" x14ac:dyDescent="0.3">
      <c r="A48" s="3">
        <v>43497</v>
      </c>
      <c r="B48" s="4">
        <v>13878.831000349774</v>
      </c>
      <c r="C48" s="7">
        <v>48.998101666315122</v>
      </c>
      <c r="D48">
        <f t="shared" si="0"/>
        <v>696.9</v>
      </c>
      <c r="E48">
        <f t="shared" si="3"/>
        <v>31</v>
      </c>
      <c r="F48">
        <f t="shared" si="1"/>
        <v>21603.899999999998</v>
      </c>
      <c r="G48">
        <f t="shared" si="4"/>
        <v>793004.88900000008</v>
      </c>
      <c r="H48">
        <f t="shared" si="2"/>
        <v>87295.071226</v>
      </c>
      <c r="I48">
        <f t="shared" si="5"/>
        <v>3695278.7092211992</v>
      </c>
    </row>
    <row r="49" spans="1:9" x14ac:dyDescent="0.3">
      <c r="A49" s="3">
        <v>43525</v>
      </c>
      <c r="B49" s="4">
        <v>13837.772999936407</v>
      </c>
      <c r="C49" s="7">
        <v>50.003515432749772</v>
      </c>
      <c r="D49">
        <f t="shared" si="0"/>
        <v>711.2</v>
      </c>
      <c r="E49">
        <f t="shared" si="3"/>
        <v>28</v>
      </c>
      <c r="F49">
        <f t="shared" si="1"/>
        <v>19913.600000000002</v>
      </c>
      <c r="G49">
        <f t="shared" si="4"/>
        <v>812918.48900000006</v>
      </c>
      <c r="H49">
        <f t="shared" si="2"/>
        <v>87036.824615000005</v>
      </c>
      <c r="I49">
        <f t="shared" si="5"/>
        <v>3782315.533836199</v>
      </c>
    </row>
    <row r="50" spans="1:9" x14ac:dyDescent="0.3">
      <c r="A50" s="3">
        <v>43556</v>
      </c>
      <c r="B50" s="4">
        <v>8863.8780000953939</v>
      </c>
      <c r="C50" s="11">
        <v>50.003515432749772</v>
      </c>
      <c r="D50">
        <f t="shared" si="0"/>
        <v>711.2</v>
      </c>
      <c r="E50">
        <f t="shared" si="3"/>
        <v>31</v>
      </c>
      <c r="F50">
        <f t="shared" si="1"/>
        <v>22047.200000000001</v>
      </c>
      <c r="G50">
        <f t="shared" si="4"/>
        <v>834965.68900000001</v>
      </c>
      <c r="H50">
        <f t="shared" si="2"/>
        <v>55752.019845000003</v>
      </c>
      <c r="I50">
        <f t="shared" si="5"/>
        <v>3838067.553681199</v>
      </c>
    </row>
    <row r="51" spans="1:9" x14ac:dyDescent="0.3">
      <c r="A51" s="3">
        <v>43586</v>
      </c>
      <c r="B51" s="4">
        <v>9980.7200000000012</v>
      </c>
      <c r="C51" s="8">
        <v>50.003515432749772</v>
      </c>
      <c r="D51">
        <f t="shared" si="0"/>
        <v>711.2</v>
      </c>
      <c r="E51">
        <f t="shared" si="3"/>
        <v>30</v>
      </c>
      <c r="F51">
        <f t="shared" si="1"/>
        <v>21336</v>
      </c>
      <c r="G51">
        <f t="shared" si="4"/>
        <v>856301.68900000001</v>
      </c>
      <c r="H51">
        <f t="shared" si="2"/>
        <v>62776.732656</v>
      </c>
      <c r="I51">
        <f t="shared" si="5"/>
        <v>3900844.2863371992</v>
      </c>
    </row>
    <row r="52" spans="1:9" x14ac:dyDescent="0.3">
      <c r="A52" s="3">
        <v>43617</v>
      </c>
      <c r="B52" s="4">
        <v>9364.7549998410122</v>
      </c>
      <c r="C52" s="7">
        <v>52</v>
      </c>
      <c r="D52">
        <f t="shared" si="0"/>
        <v>739.596</v>
      </c>
      <c r="E52">
        <f t="shared" si="3"/>
        <v>31</v>
      </c>
      <c r="F52">
        <f t="shared" si="1"/>
        <v>22927.475999999999</v>
      </c>
      <c r="G52">
        <f t="shared" si="4"/>
        <v>879229.16500000004</v>
      </c>
      <c r="H52">
        <f t="shared" si="2"/>
        <v>58902.435997999994</v>
      </c>
      <c r="I52">
        <f t="shared" si="5"/>
        <v>3959746.7223351994</v>
      </c>
    </row>
    <row r="53" spans="1:9" x14ac:dyDescent="0.3">
      <c r="A53" s="3">
        <v>43647</v>
      </c>
      <c r="B53" s="4">
        <v>8514.6840001271903</v>
      </c>
      <c r="C53" s="8">
        <v>50.003515432749772</v>
      </c>
      <c r="D53">
        <f t="shared" si="0"/>
        <v>711.2</v>
      </c>
      <c r="E53">
        <f t="shared" si="3"/>
        <v>30</v>
      </c>
      <c r="F53">
        <f t="shared" si="1"/>
        <v>21336</v>
      </c>
      <c r="G53">
        <f t="shared" si="4"/>
        <v>900565.16500000004</v>
      </c>
      <c r="H53">
        <f t="shared" si="2"/>
        <v>53555.659423999998</v>
      </c>
      <c r="I53">
        <f t="shared" si="5"/>
        <v>4013302.3817591993</v>
      </c>
    </row>
    <row r="54" spans="1:9" x14ac:dyDescent="0.3">
      <c r="A54" s="3">
        <v>43678</v>
      </c>
      <c r="B54" s="4">
        <v>14145.909000286178</v>
      </c>
      <c r="C54" s="8">
        <v>47.001335864444911</v>
      </c>
      <c r="D54">
        <f t="shared" si="0"/>
        <v>668.5</v>
      </c>
      <c r="E54">
        <f t="shared" si="3"/>
        <v>31</v>
      </c>
      <c r="F54">
        <f t="shared" si="1"/>
        <v>20723.5</v>
      </c>
      <c r="G54">
        <f t="shared" si="4"/>
        <v>921288.66500000004</v>
      </c>
      <c r="H54">
        <f t="shared" si="2"/>
        <v>88974.938429999995</v>
      </c>
      <c r="I54">
        <f t="shared" si="5"/>
        <v>4102277.3201891994</v>
      </c>
    </row>
    <row r="55" spans="1:9" x14ac:dyDescent="0.3">
      <c r="A55" s="3">
        <v>43709</v>
      </c>
      <c r="B55" s="4">
        <v>14554.951999427645</v>
      </c>
      <c r="C55" s="7">
        <v>50.003515432749772</v>
      </c>
      <c r="D55">
        <f t="shared" si="0"/>
        <v>711.2</v>
      </c>
      <c r="E55">
        <f t="shared" si="3"/>
        <v>31</v>
      </c>
      <c r="F55">
        <f t="shared" si="1"/>
        <v>22047.200000000001</v>
      </c>
      <c r="G55">
        <f t="shared" si="4"/>
        <v>943335.86499999999</v>
      </c>
      <c r="H55">
        <f t="shared" si="2"/>
        <v>91547.737085999994</v>
      </c>
      <c r="I55">
        <f t="shared" si="5"/>
        <v>4193825.0572751993</v>
      </c>
    </row>
    <row r="56" spans="1:9" x14ac:dyDescent="0.3">
      <c r="A56" s="3">
        <v>43739</v>
      </c>
      <c r="B56" s="5">
        <v>13836.835000317975</v>
      </c>
      <c r="C56" s="7">
        <v>47.001335864444911</v>
      </c>
      <c r="D56">
        <f t="shared" si="0"/>
        <v>668.5</v>
      </c>
      <c r="E56">
        <f t="shared" si="3"/>
        <v>30</v>
      </c>
      <c r="F56">
        <f t="shared" si="1"/>
        <v>20055</v>
      </c>
      <c r="G56">
        <f t="shared" si="4"/>
        <v>963390.86499999999</v>
      </c>
      <c r="H56">
        <f t="shared" si="2"/>
        <v>87030.924784999996</v>
      </c>
      <c r="I56">
        <f t="shared" si="5"/>
        <v>4280855.9820601996</v>
      </c>
    </row>
    <row r="57" spans="1:9" x14ac:dyDescent="0.3">
      <c r="A57" s="3">
        <v>43770</v>
      </c>
      <c r="B57" s="5">
        <v>13669.726999745621</v>
      </c>
      <c r="C57" s="7">
        <v>50.003515432749772</v>
      </c>
      <c r="D57">
        <f t="shared" si="0"/>
        <v>711.2</v>
      </c>
      <c r="E57">
        <f t="shared" si="3"/>
        <v>31</v>
      </c>
      <c r="F57">
        <f t="shared" si="1"/>
        <v>22047.200000000001</v>
      </c>
      <c r="G57">
        <f t="shared" si="4"/>
        <v>985438.06499999994</v>
      </c>
      <c r="H57">
        <f t="shared" si="2"/>
        <v>85979.848882999999</v>
      </c>
      <c r="I57">
        <f t="shared" si="5"/>
        <v>4366835.8309431998</v>
      </c>
    </row>
    <row r="58" spans="1:9" x14ac:dyDescent="0.3">
      <c r="A58" s="6">
        <v>43800</v>
      </c>
      <c r="B58" s="4">
        <v>13907.405000000001</v>
      </c>
      <c r="C58" s="8">
        <v>50.003515432749772</v>
      </c>
      <c r="D58">
        <f t="shared" si="0"/>
        <v>711.2</v>
      </c>
      <c r="E58">
        <f t="shared" si="3"/>
        <v>30</v>
      </c>
      <c r="F58">
        <f t="shared" si="1"/>
        <v>21336</v>
      </c>
      <c r="G58">
        <f t="shared" si="4"/>
        <v>1006774.0649999999</v>
      </c>
      <c r="H58">
        <f t="shared" si="2"/>
        <v>87474.795968999999</v>
      </c>
      <c r="I58">
        <f t="shared" si="5"/>
        <v>4454310.6269121999</v>
      </c>
    </row>
    <row r="59" spans="1:9" x14ac:dyDescent="0.3">
      <c r="A59" s="6">
        <v>43831</v>
      </c>
      <c r="B59" s="4">
        <v>12580.978999809216</v>
      </c>
      <c r="C59" s="7">
        <v>50.003515432749772</v>
      </c>
      <c r="D59">
        <f t="shared" si="0"/>
        <v>711.2</v>
      </c>
      <c r="E59">
        <f t="shared" si="3"/>
        <v>31</v>
      </c>
      <c r="F59">
        <f t="shared" si="1"/>
        <v>22047.200000000001</v>
      </c>
      <c r="G59">
        <f t="shared" si="4"/>
        <v>1028821.2649999999</v>
      </c>
      <c r="H59">
        <f t="shared" si="2"/>
        <v>79131.841713000002</v>
      </c>
      <c r="I59">
        <f t="shared" si="5"/>
        <v>4533442.4686252</v>
      </c>
    </row>
    <row r="60" spans="1:9" x14ac:dyDescent="0.3">
      <c r="A60" s="6">
        <v>43862</v>
      </c>
      <c r="B60" s="4">
        <v>12572.380000000001</v>
      </c>
      <c r="C60" s="9">
        <v>42.199254728257053</v>
      </c>
      <c r="D60">
        <f t="shared" si="0"/>
        <v>600.20000000000005</v>
      </c>
      <c r="E60">
        <f t="shared" si="3"/>
        <v>31</v>
      </c>
      <c r="F60">
        <f t="shared" si="1"/>
        <v>18606.2</v>
      </c>
      <c r="G60">
        <f t="shared" si="4"/>
        <v>1047427.4649999999</v>
      </c>
      <c r="H60">
        <f t="shared" si="2"/>
        <v>79077.755724000002</v>
      </c>
      <c r="I60">
        <f t="shared" si="5"/>
        <v>4612520.2243491998</v>
      </c>
    </row>
    <row r="61" spans="1:9" x14ac:dyDescent="0.3">
      <c r="A61" s="6">
        <v>43891</v>
      </c>
      <c r="B61" s="4">
        <v>12273.541000349775</v>
      </c>
      <c r="C61" s="7">
        <v>47.001335864444911</v>
      </c>
      <c r="D61">
        <f t="shared" si="0"/>
        <v>668.5</v>
      </c>
      <c r="E61">
        <f t="shared" si="3"/>
        <v>29</v>
      </c>
      <c r="F61">
        <f t="shared" si="1"/>
        <v>19386.5</v>
      </c>
      <c r="G61">
        <f t="shared" si="4"/>
        <v>1066813.9649999999</v>
      </c>
      <c r="H61">
        <f t="shared" si="2"/>
        <v>77198.118184000006</v>
      </c>
      <c r="I61">
        <f t="shared" si="5"/>
        <v>4689718.3425332</v>
      </c>
    </row>
    <row r="62" spans="1:9" x14ac:dyDescent="0.3">
      <c r="A62" s="6">
        <v>43922</v>
      </c>
      <c r="B62" s="4">
        <v>13259.153000095394</v>
      </c>
      <c r="C62" s="12">
        <v>42.002390494269839</v>
      </c>
      <c r="D62">
        <f t="shared" si="0"/>
        <v>597.4</v>
      </c>
      <c r="E62">
        <f t="shared" si="3"/>
        <v>31</v>
      </c>
      <c r="F62">
        <f t="shared" si="1"/>
        <v>18519.399999999998</v>
      </c>
      <c r="G62">
        <f t="shared" si="4"/>
        <v>1085333.3649999998</v>
      </c>
      <c r="H62">
        <f t="shared" si="2"/>
        <v>83397.420540000006</v>
      </c>
      <c r="I62">
        <f t="shared" si="5"/>
        <v>4773115.7630732004</v>
      </c>
    </row>
    <row r="63" spans="1:9" x14ac:dyDescent="0.3">
      <c r="A63" s="6">
        <v>43952</v>
      </c>
      <c r="B63" s="4">
        <v>12846.797000222583</v>
      </c>
      <c r="C63" s="7">
        <v>43.000773395204952</v>
      </c>
      <c r="D63">
        <f t="shared" si="0"/>
        <v>611.6</v>
      </c>
      <c r="E63">
        <f t="shared" si="3"/>
        <v>30</v>
      </c>
      <c r="F63">
        <f t="shared" si="1"/>
        <v>18348</v>
      </c>
      <c r="G63">
        <f t="shared" si="4"/>
        <v>1103681.3649999998</v>
      </c>
      <c r="H63">
        <f t="shared" si="2"/>
        <v>80803.783771999995</v>
      </c>
      <c r="I63">
        <f t="shared" si="5"/>
        <v>4853919.5468452005</v>
      </c>
    </row>
    <row r="64" spans="1:9" x14ac:dyDescent="0.3">
      <c r="A64" s="6">
        <v>43983</v>
      </c>
      <c r="B64" s="4">
        <v>12105.854999841014</v>
      </c>
      <c r="C64" s="13">
        <v>44.997539197075156</v>
      </c>
      <c r="D64">
        <f t="shared" si="0"/>
        <v>640</v>
      </c>
      <c r="E64">
        <f t="shared" si="3"/>
        <v>31</v>
      </c>
      <c r="F64">
        <f t="shared" si="1"/>
        <v>19840</v>
      </c>
      <c r="G64">
        <f t="shared" si="4"/>
        <v>1123521.3649999998</v>
      </c>
      <c r="H64">
        <f t="shared" si="2"/>
        <v>76143.406778000004</v>
      </c>
      <c r="I64">
        <f t="shared" si="5"/>
        <v>4930062.9536232008</v>
      </c>
    </row>
    <row r="65" spans="1:9" x14ac:dyDescent="0.3">
      <c r="A65" s="6">
        <v>44013</v>
      </c>
      <c r="B65" s="4">
        <v>12007.34899949124</v>
      </c>
      <c r="C65" s="8">
        <v>44.997539197075156</v>
      </c>
      <c r="D65">
        <f t="shared" si="0"/>
        <v>640</v>
      </c>
      <c r="E65">
        <f t="shared" si="3"/>
        <v>30</v>
      </c>
      <c r="F65">
        <f t="shared" si="1"/>
        <v>19200</v>
      </c>
      <c r="G65">
        <f t="shared" si="4"/>
        <v>1142721.3649999998</v>
      </c>
      <c r="H65">
        <f t="shared" si="2"/>
        <v>75523.823736999999</v>
      </c>
      <c r="I65">
        <f t="shared" si="5"/>
        <v>5005586.7773602009</v>
      </c>
    </row>
    <row r="66" spans="1:9" x14ac:dyDescent="0.3">
      <c r="A66" s="6">
        <v>44044</v>
      </c>
      <c r="B66" s="4">
        <v>13114.324999841014</v>
      </c>
      <c r="C66" s="8">
        <v>44.997539197075156</v>
      </c>
      <c r="D66">
        <f t="shared" si="0"/>
        <v>640</v>
      </c>
      <c r="E66">
        <f t="shared" si="3"/>
        <v>31</v>
      </c>
      <c r="F66">
        <f t="shared" si="1"/>
        <v>19840</v>
      </c>
      <c r="G66">
        <f t="shared" si="4"/>
        <v>1162561.3649999998</v>
      </c>
      <c r="H66">
        <f t="shared" si="2"/>
        <v>82486.481383999999</v>
      </c>
      <c r="I66">
        <f t="shared" si="5"/>
        <v>5088073.2587442007</v>
      </c>
    </row>
    <row r="67" spans="1:9" x14ac:dyDescent="0.3">
      <c r="A67" s="6">
        <v>44075</v>
      </c>
      <c r="B67" s="4">
        <v>11696.770999872811</v>
      </c>
      <c r="C67" s="8">
        <v>45.700625747029456</v>
      </c>
      <c r="D67">
        <f t="shared" ref="D67:D91" si="6">14.223*C67</f>
        <v>650</v>
      </c>
      <c r="E67">
        <f t="shared" si="3"/>
        <v>31</v>
      </c>
      <c r="F67">
        <f t="shared" ref="F67:F91" si="7">D67*E67</f>
        <v>20150</v>
      </c>
      <c r="G67">
        <f t="shared" si="4"/>
        <v>1182711.3649999998</v>
      </c>
      <c r="H67">
        <f t="shared" ref="H67:H91" si="8">6.2898*B67</f>
        <v>73570.350235000005</v>
      </c>
      <c r="I67">
        <f t="shared" si="5"/>
        <v>5161643.6089792009</v>
      </c>
    </row>
    <row r="68" spans="1:9" x14ac:dyDescent="0.3">
      <c r="A68" s="6">
        <v>44105</v>
      </c>
      <c r="B68" s="4">
        <v>12666.124999682024</v>
      </c>
      <c r="C68" s="8">
        <v>48.998101666315122</v>
      </c>
      <c r="D68">
        <f t="shared" si="6"/>
        <v>696.9</v>
      </c>
      <c r="E68">
        <f t="shared" ref="E68:E91" si="9">A68 -A67</f>
        <v>30</v>
      </c>
      <c r="F68">
        <f t="shared" si="7"/>
        <v>20907</v>
      </c>
      <c r="G68">
        <f t="shared" ref="G68:G91" si="10">G67+F68</f>
        <v>1203618.3649999998</v>
      </c>
      <c r="H68">
        <f t="shared" si="8"/>
        <v>79667.393022999997</v>
      </c>
      <c r="I68">
        <f t="shared" ref="I68:I91" si="11">I67+H68</f>
        <v>5241311.002002201</v>
      </c>
    </row>
    <row r="69" spans="1:9" x14ac:dyDescent="0.3">
      <c r="A69" s="6">
        <v>44136</v>
      </c>
      <c r="B69" s="4">
        <v>12548.943000095393</v>
      </c>
      <c r="C69" s="15">
        <v>50.003515432749772</v>
      </c>
      <c r="D69">
        <f t="shared" si="6"/>
        <v>711.2</v>
      </c>
      <c r="E69">
        <f t="shared" si="9"/>
        <v>31</v>
      </c>
      <c r="F69">
        <f t="shared" si="7"/>
        <v>22047.200000000001</v>
      </c>
      <c r="G69">
        <f t="shared" si="10"/>
        <v>1225665.5649999997</v>
      </c>
      <c r="H69">
        <f t="shared" si="8"/>
        <v>78930.341681999998</v>
      </c>
      <c r="I69">
        <f t="shared" si="11"/>
        <v>5320241.3436842011</v>
      </c>
    </row>
    <row r="70" spans="1:9" x14ac:dyDescent="0.3">
      <c r="A70" s="6">
        <v>44166</v>
      </c>
      <c r="B70" s="4">
        <v>12282.642000222584</v>
      </c>
      <c r="C70" s="7">
        <v>50.003515432749772</v>
      </c>
      <c r="D70">
        <f t="shared" si="6"/>
        <v>711.2</v>
      </c>
      <c r="E70">
        <f t="shared" si="9"/>
        <v>30</v>
      </c>
      <c r="F70">
        <f t="shared" si="7"/>
        <v>21336</v>
      </c>
      <c r="G70">
        <f t="shared" si="10"/>
        <v>1247001.5649999997</v>
      </c>
      <c r="H70">
        <f t="shared" si="8"/>
        <v>77255.361653</v>
      </c>
      <c r="I70">
        <f t="shared" si="11"/>
        <v>5397496.7053372012</v>
      </c>
    </row>
    <row r="71" spans="1:9" x14ac:dyDescent="0.3">
      <c r="A71" s="6">
        <v>44197</v>
      </c>
      <c r="B71" s="4">
        <v>12181.478999968203</v>
      </c>
      <c r="C71" s="7">
        <v>48.998101666315122</v>
      </c>
      <c r="D71">
        <f t="shared" si="6"/>
        <v>696.9</v>
      </c>
      <c r="E71">
        <f t="shared" si="9"/>
        <v>31</v>
      </c>
      <c r="F71">
        <f t="shared" si="7"/>
        <v>21603.899999999998</v>
      </c>
      <c r="G71">
        <f t="shared" si="10"/>
        <v>1268605.4649999996</v>
      </c>
      <c r="H71">
        <f t="shared" si="8"/>
        <v>76619.066613999996</v>
      </c>
      <c r="I71">
        <f t="shared" si="11"/>
        <v>5474115.7719512014</v>
      </c>
    </row>
    <row r="72" spans="1:9" x14ac:dyDescent="0.3">
      <c r="A72" s="6">
        <v>44228</v>
      </c>
      <c r="B72" s="4">
        <v>11118.027999777418</v>
      </c>
      <c r="C72" s="8">
        <v>50.003515432749772</v>
      </c>
      <c r="D72">
        <f t="shared" si="6"/>
        <v>711.2</v>
      </c>
      <c r="E72">
        <f t="shared" si="9"/>
        <v>31</v>
      </c>
      <c r="F72">
        <f t="shared" si="7"/>
        <v>22047.200000000001</v>
      </c>
      <c r="G72">
        <f t="shared" si="10"/>
        <v>1290652.6649999996</v>
      </c>
      <c r="H72">
        <f t="shared" si="8"/>
        <v>69930.172512999998</v>
      </c>
      <c r="I72">
        <f t="shared" si="11"/>
        <v>5544045.9444642011</v>
      </c>
    </row>
    <row r="73" spans="1:9" x14ac:dyDescent="0.3">
      <c r="A73" s="6">
        <v>44256</v>
      </c>
      <c r="B73" s="4">
        <v>13229.340999554835</v>
      </c>
      <c r="C73">
        <v>50</v>
      </c>
      <c r="D73">
        <f t="shared" si="6"/>
        <v>711.15000000000009</v>
      </c>
      <c r="E73">
        <f t="shared" si="9"/>
        <v>28</v>
      </c>
      <c r="F73">
        <f t="shared" si="7"/>
        <v>19912.200000000004</v>
      </c>
      <c r="G73">
        <f t="shared" si="10"/>
        <v>1310564.8649999995</v>
      </c>
      <c r="H73">
        <f t="shared" si="8"/>
        <v>83209.909018999999</v>
      </c>
      <c r="I73">
        <f t="shared" si="11"/>
        <v>5627255.853483201</v>
      </c>
    </row>
    <row r="74" spans="1:9" x14ac:dyDescent="0.3">
      <c r="A74" s="6">
        <v>44287</v>
      </c>
      <c r="B74" s="4">
        <v>4974.6650001589878</v>
      </c>
      <c r="C74">
        <v>50</v>
      </c>
      <c r="D74">
        <f t="shared" si="6"/>
        <v>711.15000000000009</v>
      </c>
      <c r="E74">
        <f t="shared" si="9"/>
        <v>31</v>
      </c>
      <c r="F74">
        <f t="shared" si="7"/>
        <v>22045.65</v>
      </c>
      <c r="G74">
        <f t="shared" si="10"/>
        <v>1332610.5149999994</v>
      </c>
      <c r="H74">
        <f t="shared" si="8"/>
        <v>31289.647917999999</v>
      </c>
      <c r="I74">
        <f t="shared" si="11"/>
        <v>5658545.5014012009</v>
      </c>
    </row>
    <row r="75" spans="1:9" x14ac:dyDescent="0.3">
      <c r="A75" s="6">
        <v>44317</v>
      </c>
      <c r="B75" s="4">
        <v>4092.4409995548349</v>
      </c>
      <c r="C75">
        <v>50</v>
      </c>
      <c r="D75">
        <f t="shared" si="6"/>
        <v>711.15000000000009</v>
      </c>
      <c r="E75">
        <f t="shared" si="9"/>
        <v>30</v>
      </c>
      <c r="F75">
        <f t="shared" si="7"/>
        <v>21334.500000000004</v>
      </c>
      <c r="G75">
        <f t="shared" si="10"/>
        <v>1353945.0149999994</v>
      </c>
      <c r="H75">
        <f t="shared" si="8"/>
        <v>25740.635398999999</v>
      </c>
      <c r="I75">
        <f t="shared" si="11"/>
        <v>5684286.1368002007</v>
      </c>
    </row>
    <row r="76" spans="1:9" x14ac:dyDescent="0.3">
      <c r="A76" s="6">
        <v>44348</v>
      </c>
      <c r="B76" s="4">
        <v>7966.2229999364054</v>
      </c>
      <c r="C76" s="7">
        <v>50.003515432749772</v>
      </c>
      <c r="D76">
        <f t="shared" si="6"/>
        <v>711.2</v>
      </c>
      <c r="E76">
        <f t="shared" si="9"/>
        <v>31</v>
      </c>
      <c r="F76">
        <f t="shared" si="7"/>
        <v>22047.200000000001</v>
      </c>
      <c r="G76">
        <f t="shared" si="10"/>
        <v>1375992.2149999994</v>
      </c>
      <c r="H76">
        <f t="shared" si="8"/>
        <v>50105.949424999999</v>
      </c>
      <c r="I76">
        <f t="shared" si="11"/>
        <v>5734392.0862252004</v>
      </c>
    </row>
    <row r="77" spans="1:9" x14ac:dyDescent="0.3">
      <c r="A77" s="6">
        <v>44378</v>
      </c>
      <c r="B77" s="4">
        <v>10901.21100050876</v>
      </c>
      <c r="C77" s="7">
        <v>47.999718765380017</v>
      </c>
      <c r="D77">
        <f t="shared" si="6"/>
        <v>682.7</v>
      </c>
      <c r="E77">
        <f t="shared" si="9"/>
        <v>30</v>
      </c>
      <c r="F77">
        <f t="shared" si="7"/>
        <v>20481</v>
      </c>
      <c r="G77">
        <f t="shared" si="10"/>
        <v>1396473.2149999994</v>
      </c>
      <c r="H77">
        <f t="shared" si="8"/>
        <v>68566.436950999996</v>
      </c>
      <c r="I77">
        <f t="shared" si="11"/>
        <v>5802958.5231762007</v>
      </c>
    </row>
    <row r="78" spans="1:9" x14ac:dyDescent="0.3">
      <c r="A78" s="6">
        <v>44409</v>
      </c>
      <c r="B78" s="4">
        <v>10143.792999936406</v>
      </c>
      <c r="C78" s="7">
        <v>47.999718765380017</v>
      </c>
      <c r="D78">
        <f t="shared" si="6"/>
        <v>682.7</v>
      </c>
      <c r="E78">
        <f t="shared" si="9"/>
        <v>31</v>
      </c>
      <c r="F78">
        <f t="shared" si="7"/>
        <v>21163.7</v>
      </c>
      <c r="G78">
        <f t="shared" si="10"/>
        <v>1417636.9149999993</v>
      </c>
      <c r="H78">
        <f t="shared" si="8"/>
        <v>63802.429211000002</v>
      </c>
      <c r="I78">
        <f t="shared" si="11"/>
        <v>5866760.9523872007</v>
      </c>
    </row>
    <row r="79" spans="1:9" x14ac:dyDescent="0.3">
      <c r="A79" s="6">
        <v>44440</v>
      </c>
      <c r="B79" s="4">
        <v>9029.0120000635961</v>
      </c>
      <c r="C79" s="7">
        <v>47.999718765380017</v>
      </c>
      <c r="D79">
        <f t="shared" si="6"/>
        <v>682.7</v>
      </c>
      <c r="E79">
        <f t="shared" si="9"/>
        <v>31</v>
      </c>
      <c r="F79">
        <f t="shared" si="7"/>
        <v>21163.7</v>
      </c>
      <c r="G79">
        <f t="shared" si="10"/>
        <v>1438800.6149999993</v>
      </c>
      <c r="H79">
        <f t="shared" si="8"/>
        <v>56790.679678</v>
      </c>
      <c r="I79">
        <f t="shared" si="11"/>
        <v>5923551.6320652002</v>
      </c>
    </row>
    <row r="80" spans="1:9" x14ac:dyDescent="0.3">
      <c r="A80" s="6">
        <v>44470</v>
      </c>
      <c r="B80" s="4">
        <v>8488.9490002861785</v>
      </c>
      <c r="C80" s="7">
        <v>47.999718765380017</v>
      </c>
      <c r="D80">
        <f t="shared" si="6"/>
        <v>682.7</v>
      </c>
      <c r="E80">
        <f t="shared" si="9"/>
        <v>30</v>
      </c>
      <c r="F80">
        <f t="shared" si="7"/>
        <v>20481</v>
      </c>
      <c r="G80">
        <f t="shared" si="10"/>
        <v>1459281.6149999993</v>
      </c>
      <c r="H80">
        <f t="shared" si="8"/>
        <v>53393.791422000002</v>
      </c>
      <c r="I80">
        <f t="shared" si="11"/>
        <v>5976945.4234872004</v>
      </c>
    </row>
    <row r="81" spans="1:9" x14ac:dyDescent="0.3">
      <c r="A81" s="6">
        <v>44501</v>
      </c>
      <c r="B81" s="4">
        <v>7867.39</v>
      </c>
      <c r="C81" s="7">
        <v>47.999718765380017</v>
      </c>
      <c r="D81">
        <f t="shared" si="6"/>
        <v>682.7</v>
      </c>
      <c r="E81">
        <f t="shared" si="9"/>
        <v>31</v>
      </c>
      <c r="F81">
        <f t="shared" si="7"/>
        <v>21163.7</v>
      </c>
      <c r="G81">
        <f t="shared" si="10"/>
        <v>1480445.3149999992</v>
      </c>
      <c r="H81">
        <f t="shared" si="8"/>
        <v>49484.309622000001</v>
      </c>
      <c r="I81">
        <f t="shared" si="11"/>
        <v>6026429.7331092004</v>
      </c>
    </row>
    <row r="82" spans="1:9" x14ac:dyDescent="0.3">
      <c r="A82" s="6">
        <v>44531</v>
      </c>
      <c r="B82" s="4">
        <v>5646.3670003815714</v>
      </c>
      <c r="C82" s="7">
        <v>47.999718765380017</v>
      </c>
      <c r="D82">
        <f t="shared" si="6"/>
        <v>682.7</v>
      </c>
      <c r="E82">
        <f t="shared" si="9"/>
        <v>30</v>
      </c>
      <c r="F82">
        <f t="shared" si="7"/>
        <v>20481</v>
      </c>
      <c r="G82">
        <f t="shared" si="10"/>
        <v>1500926.3149999992</v>
      </c>
      <c r="H82">
        <f t="shared" si="8"/>
        <v>35514.519159000003</v>
      </c>
      <c r="I82">
        <f t="shared" si="11"/>
        <v>6061944.2522682007</v>
      </c>
    </row>
    <row r="83" spans="1:9" x14ac:dyDescent="0.3">
      <c r="A83" s="6">
        <v>44562</v>
      </c>
      <c r="B83" s="4">
        <v>13171.833999968203</v>
      </c>
      <c r="C83" s="7">
        <v>55</v>
      </c>
      <c r="D83">
        <f t="shared" si="6"/>
        <v>782.26499999999999</v>
      </c>
      <c r="E83">
        <f t="shared" si="9"/>
        <v>31</v>
      </c>
      <c r="F83">
        <f t="shared" si="7"/>
        <v>24250.215</v>
      </c>
      <c r="G83">
        <f t="shared" si="10"/>
        <v>1525176.5299999993</v>
      </c>
      <c r="H83">
        <f t="shared" si="8"/>
        <v>82848.201493</v>
      </c>
      <c r="I83">
        <f t="shared" si="11"/>
        <v>6144792.4537612004</v>
      </c>
    </row>
    <row r="84" spans="1:9" x14ac:dyDescent="0.3">
      <c r="A84" s="6">
        <v>44593</v>
      </c>
      <c r="B84" s="4">
        <v>12217.439999841014</v>
      </c>
      <c r="C84" s="7">
        <v>55</v>
      </c>
      <c r="D84">
        <f t="shared" si="6"/>
        <v>782.26499999999999</v>
      </c>
      <c r="E84">
        <f t="shared" si="9"/>
        <v>31</v>
      </c>
      <c r="F84">
        <f t="shared" si="7"/>
        <v>24250.215</v>
      </c>
      <c r="G84">
        <f t="shared" si="10"/>
        <v>1549426.7449999994</v>
      </c>
      <c r="H84">
        <f t="shared" si="8"/>
        <v>76845.254111000002</v>
      </c>
      <c r="I84">
        <f t="shared" si="11"/>
        <v>6221637.7078722008</v>
      </c>
    </row>
    <row r="85" spans="1:9" x14ac:dyDescent="0.3">
      <c r="A85" s="6">
        <v>44621</v>
      </c>
      <c r="B85" s="4">
        <v>13604.216999904609</v>
      </c>
      <c r="C85" s="7">
        <v>55</v>
      </c>
      <c r="D85">
        <f t="shared" si="6"/>
        <v>782.26499999999999</v>
      </c>
      <c r="E85">
        <f t="shared" si="9"/>
        <v>28</v>
      </c>
      <c r="F85">
        <f t="shared" si="7"/>
        <v>21903.42</v>
      </c>
      <c r="G85">
        <f t="shared" si="10"/>
        <v>1571330.1649999993</v>
      </c>
      <c r="H85">
        <f t="shared" si="8"/>
        <v>85567.804086000004</v>
      </c>
      <c r="I85">
        <f t="shared" si="11"/>
        <v>6307205.5119582005</v>
      </c>
    </row>
    <row r="86" spans="1:9" x14ac:dyDescent="0.3">
      <c r="A86" s="6">
        <v>44652</v>
      </c>
      <c r="B86" s="4">
        <v>8244.3409998728112</v>
      </c>
      <c r="C86" s="7">
        <v>55</v>
      </c>
      <c r="D86">
        <f t="shared" si="6"/>
        <v>782.26499999999999</v>
      </c>
      <c r="E86">
        <f t="shared" si="9"/>
        <v>31</v>
      </c>
      <c r="F86">
        <f t="shared" si="7"/>
        <v>24250.215</v>
      </c>
      <c r="G86">
        <f t="shared" si="10"/>
        <v>1595580.3799999994</v>
      </c>
      <c r="H86">
        <f t="shared" si="8"/>
        <v>51855.256021000001</v>
      </c>
      <c r="I86">
        <f t="shared" si="11"/>
        <v>6359060.7679792009</v>
      </c>
    </row>
    <row r="87" spans="1:9" x14ac:dyDescent="0.3">
      <c r="A87" s="6">
        <v>44682</v>
      </c>
      <c r="B87" s="4">
        <v>13092.250000158989</v>
      </c>
      <c r="C87" s="7">
        <v>55</v>
      </c>
      <c r="D87">
        <f t="shared" si="6"/>
        <v>782.26499999999999</v>
      </c>
      <c r="E87">
        <f t="shared" si="9"/>
        <v>30</v>
      </c>
      <c r="F87">
        <f t="shared" si="7"/>
        <v>23467.95</v>
      </c>
      <c r="G87">
        <f t="shared" si="10"/>
        <v>1619048.3299999994</v>
      </c>
      <c r="H87">
        <f t="shared" si="8"/>
        <v>82347.634051000001</v>
      </c>
      <c r="I87">
        <f t="shared" si="11"/>
        <v>6441408.4020302007</v>
      </c>
    </row>
    <row r="88" spans="1:9" x14ac:dyDescent="0.3">
      <c r="A88" s="6">
        <v>44713</v>
      </c>
      <c r="B88" s="4">
        <v>13103.554000127189</v>
      </c>
      <c r="C88" s="7">
        <v>60</v>
      </c>
      <c r="D88">
        <f t="shared" si="6"/>
        <v>853.38</v>
      </c>
      <c r="E88">
        <f t="shared" si="9"/>
        <v>31</v>
      </c>
      <c r="F88">
        <f t="shared" si="7"/>
        <v>26454.78</v>
      </c>
      <c r="G88">
        <f t="shared" si="10"/>
        <v>1645503.1099999994</v>
      </c>
      <c r="H88">
        <f t="shared" si="8"/>
        <v>82418.733949999994</v>
      </c>
      <c r="I88">
        <f t="shared" si="11"/>
        <v>6523827.135980201</v>
      </c>
    </row>
    <row r="89" spans="1:9" x14ac:dyDescent="0.3">
      <c r="A89" s="6">
        <v>44743</v>
      </c>
      <c r="B89" s="4">
        <v>11725.249999841013</v>
      </c>
      <c r="C89" s="7">
        <v>60.001406173099902</v>
      </c>
      <c r="D89">
        <f t="shared" si="6"/>
        <v>853.4</v>
      </c>
      <c r="E89">
        <f t="shared" si="9"/>
        <v>30</v>
      </c>
      <c r="F89">
        <f t="shared" si="7"/>
        <v>25602</v>
      </c>
      <c r="G89">
        <f t="shared" si="10"/>
        <v>1671105.1099999994</v>
      </c>
      <c r="H89">
        <f t="shared" si="8"/>
        <v>73749.477448999998</v>
      </c>
      <c r="I89">
        <f t="shared" si="11"/>
        <v>6597576.6134292008</v>
      </c>
    </row>
    <row r="90" spans="1:9" x14ac:dyDescent="0.3">
      <c r="A90" s="6">
        <v>44774</v>
      </c>
      <c r="B90" s="4">
        <v>3276.6750000000002</v>
      </c>
      <c r="C90" s="7">
        <v>60</v>
      </c>
      <c r="D90">
        <f t="shared" si="6"/>
        <v>853.38</v>
      </c>
      <c r="E90">
        <f t="shared" si="9"/>
        <v>31</v>
      </c>
      <c r="F90">
        <f t="shared" si="7"/>
        <v>26454.78</v>
      </c>
      <c r="G90">
        <f t="shared" si="10"/>
        <v>1697559.8899999994</v>
      </c>
      <c r="H90">
        <f t="shared" si="8"/>
        <v>20609.630415</v>
      </c>
      <c r="I90">
        <f t="shared" si="11"/>
        <v>6618186.2438442009</v>
      </c>
    </row>
    <row r="91" spans="1:9" x14ac:dyDescent="0.3">
      <c r="A91" s="6">
        <v>44805</v>
      </c>
      <c r="D91">
        <f t="shared" si="6"/>
        <v>0</v>
      </c>
      <c r="E91">
        <f t="shared" si="9"/>
        <v>31</v>
      </c>
      <c r="F91">
        <f t="shared" si="7"/>
        <v>0</v>
      </c>
      <c r="G91">
        <f t="shared" si="10"/>
        <v>1697559.8899999994</v>
      </c>
      <c r="H91">
        <f t="shared" si="8"/>
        <v>0</v>
      </c>
      <c r="I91">
        <f t="shared" si="11"/>
        <v>6618186.2438442009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A3CF-6862-4E03-B49E-9B138F8B1D55}">
  <dimension ref="A1:I34"/>
  <sheetViews>
    <sheetView workbookViewId="0">
      <selection activeCell="G1" activeCellId="1" sqref="I1:I1048576 G1:G1048576"/>
    </sheetView>
  </sheetViews>
  <sheetFormatPr defaultRowHeight="14.4" x14ac:dyDescent="0.3"/>
  <cols>
    <col min="6" max="6" width="12" customWidth="1"/>
    <col min="7" max="7" width="19.6640625" customWidth="1"/>
    <col min="8" max="8" width="24.44140625" customWidth="1"/>
    <col min="9" max="9" width="27.664062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6">
        <v>44896</v>
      </c>
      <c r="B2" s="4">
        <v>561.0210000317976</v>
      </c>
      <c r="C2">
        <v>41</v>
      </c>
      <c r="D2">
        <f>14.223*C2</f>
        <v>583.14300000000003</v>
      </c>
      <c r="E2">
        <v>0</v>
      </c>
      <c r="F2">
        <f>D2*E2</f>
        <v>0</v>
      </c>
      <c r="G2">
        <f>F2</f>
        <v>0</v>
      </c>
      <c r="H2">
        <f>6.2898*B2</f>
        <v>3528.7098860000001</v>
      </c>
      <c r="I2">
        <f>H2</f>
        <v>3528.7098860000001</v>
      </c>
    </row>
    <row r="3" spans="1:9" x14ac:dyDescent="0.3">
      <c r="A3" s="6">
        <v>44927</v>
      </c>
      <c r="B3" s="4">
        <v>1821.3880000953925</v>
      </c>
      <c r="C3">
        <v>41</v>
      </c>
      <c r="D3">
        <f t="shared" ref="D3:D34" si="0">14.223*C3</f>
        <v>583.14300000000003</v>
      </c>
      <c r="E3">
        <f>A3 - A2</f>
        <v>31</v>
      </c>
      <c r="F3">
        <f t="shared" ref="F3:F34" si="1">D3*E3</f>
        <v>18077.433000000001</v>
      </c>
      <c r="G3">
        <f>G2+F3</f>
        <v>18077.433000000001</v>
      </c>
      <c r="H3">
        <f t="shared" ref="H3:H34" si="2">6.2898*B3</f>
        <v>11456.166243</v>
      </c>
      <c r="I3">
        <f>I2+H3</f>
        <v>14984.876129</v>
      </c>
    </row>
    <row r="4" spans="1:9" x14ac:dyDescent="0.3">
      <c r="A4" s="6">
        <v>44958</v>
      </c>
      <c r="B4" s="4">
        <v>4638.5339999682028</v>
      </c>
      <c r="C4">
        <v>41</v>
      </c>
      <c r="D4">
        <f t="shared" si="0"/>
        <v>583.14300000000003</v>
      </c>
      <c r="E4">
        <f t="shared" ref="E4:E34" si="3">A4 - A3</f>
        <v>31</v>
      </c>
      <c r="F4">
        <f t="shared" si="1"/>
        <v>18077.433000000001</v>
      </c>
      <c r="G4">
        <f t="shared" ref="G4:G34" si="4">G3+F4</f>
        <v>36154.866000000002</v>
      </c>
      <c r="H4">
        <f t="shared" si="2"/>
        <v>29175.451153000002</v>
      </c>
      <c r="I4">
        <f t="shared" ref="I4:I34" si="5">I3+H4</f>
        <v>44160.327281999998</v>
      </c>
    </row>
    <row r="5" spans="1:9" x14ac:dyDescent="0.3">
      <c r="A5" s="6">
        <v>44986</v>
      </c>
      <c r="B5" s="4">
        <v>8818.8459995548346</v>
      </c>
      <c r="C5">
        <v>81</v>
      </c>
      <c r="D5">
        <f t="shared" si="0"/>
        <v>1152.0630000000001</v>
      </c>
      <c r="E5">
        <f t="shared" si="3"/>
        <v>28</v>
      </c>
      <c r="F5">
        <f t="shared" si="1"/>
        <v>32257.764000000003</v>
      </c>
      <c r="G5">
        <f t="shared" si="4"/>
        <v>68412.63</v>
      </c>
      <c r="H5">
        <f t="shared" si="2"/>
        <v>55468.777567999998</v>
      </c>
      <c r="I5">
        <f t="shared" si="5"/>
        <v>99629.104850000003</v>
      </c>
    </row>
    <row r="6" spans="1:9" x14ac:dyDescent="0.3">
      <c r="A6" s="6">
        <v>45017</v>
      </c>
      <c r="B6" s="4">
        <v>8291.1080000953934</v>
      </c>
      <c r="C6">
        <v>81</v>
      </c>
      <c r="D6">
        <f t="shared" si="0"/>
        <v>1152.0630000000001</v>
      </c>
      <c r="E6">
        <f t="shared" si="3"/>
        <v>31</v>
      </c>
      <c r="F6">
        <f t="shared" si="1"/>
        <v>35713.953000000001</v>
      </c>
      <c r="G6">
        <f t="shared" si="4"/>
        <v>104126.58300000001</v>
      </c>
      <c r="H6">
        <f t="shared" si="2"/>
        <v>52149.411099000004</v>
      </c>
      <c r="I6">
        <f t="shared" si="5"/>
        <v>151778.51594900002</v>
      </c>
    </row>
    <row r="7" spans="1:9" x14ac:dyDescent="0.3">
      <c r="A7" s="6">
        <v>45047</v>
      </c>
      <c r="B7" s="4">
        <v>8837.2029997774189</v>
      </c>
      <c r="C7">
        <v>81</v>
      </c>
      <c r="D7">
        <f t="shared" si="0"/>
        <v>1152.0630000000001</v>
      </c>
      <c r="E7">
        <f t="shared" si="3"/>
        <v>30</v>
      </c>
      <c r="F7">
        <f t="shared" si="1"/>
        <v>34561.89</v>
      </c>
      <c r="G7">
        <f t="shared" si="4"/>
        <v>138688.473</v>
      </c>
      <c r="H7">
        <f t="shared" si="2"/>
        <v>55584.239428000008</v>
      </c>
      <c r="I7">
        <f t="shared" si="5"/>
        <v>207362.75537700002</v>
      </c>
    </row>
    <row r="8" spans="1:9" x14ac:dyDescent="0.3">
      <c r="A8" s="6">
        <v>45078</v>
      </c>
      <c r="B8" s="4">
        <v>9137.9979999364059</v>
      </c>
      <c r="C8">
        <v>81</v>
      </c>
      <c r="D8">
        <f t="shared" si="0"/>
        <v>1152.0630000000001</v>
      </c>
      <c r="E8">
        <f t="shared" si="3"/>
        <v>31</v>
      </c>
      <c r="F8">
        <f t="shared" si="1"/>
        <v>35713.953000000001</v>
      </c>
      <c r="G8">
        <f t="shared" si="4"/>
        <v>174402.42600000001</v>
      </c>
      <c r="H8">
        <f t="shared" si="2"/>
        <v>57476.179820000005</v>
      </c>
      <c r="I8">
        <f t="shared" si="5"/>
        <v>264838.93519700004</v>
      </c>
    </row>
    <row r="9" spans="1:9" x14ac:dyDescent="0.3">
      <c r="A9" s="6">
        <v>45108</v>
      </c>
      <c r="B9" s="4">
        <v>9900.8239999682028</v>
      </c>
      <c r="C9">
        <v>82</v>
      </c>
      <c r="D9">
        <f t="shared" si="0"/>
        <v>1166.2860000000001</v>
      </c>
      <c r="E9">
        <f t="shared" si="3"/>
        <v>30</v>
      </c>
      <c r="F9">
        <f t="shared" si="1"/>
        <v>34988.58</v>
      </c>
      <c r="G9">
        <f t="shared" si="4"/>
        <v>209391.00599999999</v>
      </c>
      <c r="H9">
        <f t="shared" si="2"/>
        <v>62274.202794999997</v>
      </c>
      <c r="I9">
        <f t="shared" si="5"/>
        <v>327113.13799200003</v>
      </c>
    </row>
    <row r="10" spans="1:9" x14ac:dyDescent="0.3">
      <c r="A10" s="6">
        <v>45139</v>
      </c>
      <c r="B10" s="4">
        <v>9348.1080000953934</v>
      </c>
      <c r="C10">
        <v>80</v>
      </c>
      <c r="D10">
        <f t="shared" si="0"/>
        <v>1137.8400000000001</v>
      </c>
      <c r="E10">
        <f t="shared" si="3"/>
        <v>31</v>
      </c>
      <c r="F10">
        <f t="shared" si="1"/>
        <v>35273.040000000008</v>
      </c>
      <c r="G10">
        <f t="shared" si="4"/>
        <v>244664.046</v>
      </c>
      <c r="H10">
        <f t="shared" si="2"/>
        <v>58797.729699000003</v>
      </c>
      <c r="I10">
        <f t="shared" si="5"/>
        <v>385910.86769100005</v>
      </c>
    </row>
    <row r="11" spans="1:9" x14ac:dyDescent="0.3">
      <c r="A11" s="6">
        <v>45170</v>
      </c>
      <c r="B11" s="4">
        <v>8019.1540001271906</v>
      </c>
      <c r="C11">
        <v>53</v>
      </c>
      <c r="D11">
        <f t="shared" si="0"/>
        <v>753.81900000000007</v>
      </c>
      <c r="E11">
        <f t="shared" si="3"/>
        <v>31</v>
      </c>
      <c r="F11">
        <f t="shared" si="1"/>
        <v>23368.389000000003</v>
      </c>
      <c r="G11">
        <f t="shared" si="4"/>
        <v>268032.435</v>
      </c>
      <c r="H11">
        <f t="shared" si="2"/>
        <v>50438.874830000001</v>
      </c>
      <c r="I11">
        <f t="shared" si="5"/>
        <v>436349.74252100004</v>
      </c>
    </row>
    <row r="12" spans="1:9" x14ac:dyDescent="0.3">
      <c r="A12" s="6">
        <v>45200</v>
      </c>
      <c r="B12" s="4">
        <v>7057.859999523037</v>
      </c>
      <c r="C12">
        <v>53</v>
      </c>
      <c r="D12">
        <f t="shared" si="0"/>
        <v>753.81900000000007</v>
      </c>
      <c r="E12">
        <f t="shared" si="3"/>
        <v>30</v>
      </c>
      <c r="F12">
        <f t="shared" si="1"/>
        <v>22614.570000000003</v>
      </c>
      <c r="G12">
        <f t="shared" si="4"/>
        <v>290647.005</v>
      </c>
      <c r="H12">
        <f t="shared" si="2"/>
        <v>44392.527824999997</v>
      </c>
      <c r="I12">
        <f t="shared" si="5"/>
        <v>480742.27034600003</v>
      </c>
    </row>
    <row r="13" spans="1:9" x14ac:dyDescent="0.3">
      <c r="A13" s="6">
        <v>45231</v>
      </c>
      <c r="B13" s="4">
        <v>2775.7780000953926</v>
      </c>
      <c r="C13">
        <v>53</v>
      </c>
      <c r="D13">
        <f t="shared" si="0"/>
        <v>753.81900000000007</v>
      </c>
      <c r="E13">
        <f t="shared" si="3"/>
        <v>31</v>
      </c>
      <c r="F13">
        <f t="shared" si="1"/>
        <v>23368.389000000003</v>
      </c>
      <c r="G13">
        <f t="shared" si="4"/>
        <v>314015.39400000003</v>
      </c>
      <c r="H13">
        <f t="shared" si="2"/>
        <v>17459.088465000001</v>
      </c>
      <c r="I13">
        <f t="shared" si="5"/>
        <v>498201.35881100001</v>
      </c>
    </row>
    <row r="14" spans="1:9" x14ac:dyDescent="0.3">
      <c r="A14" s="6">
        <v>45261</v>
      </c>
      <c r="B14" s="4">
        <v>638.29000000000008</v>
      </c>
      <c r="C14">
        <v>53</v>
      </c>
      <c r="D14">
        <f t="shared" si="0"/>
        <v>753.81900000000007</v>
      </c>
      <c r="E14">
        <f t="shared" si="3"/>
        <v>30</v>
      </c>
      <c r="F14">
        <f t="shared" si="1"/>
        <v>22614.570000000003</v>
      </c>
      <c r="G14">
        <f t="shared" si="4"/>
        <v>336629.96400000004</v>
      </c>
      <c r="H14">
        <f t="shared" si="2"/>
        <v>4014.7164420000004</v>
      </c>
      <c r="I14">
        <f t="shared" si="5"/>
        <v>502216.07525300002</v>
      </c>
    </row>
    <row r="15" spans="1:9" x14ac:dyDescent="0.3">
      <c r="A15" s="6">
        <v>45292</v>
      </c>
      <c r="B15" s="4">
        <v>12092.520000000002</v>
      </c>
      <c r="C15">
        <v>53</v>
      </c>
      <c r="D15">
        <f t="shared" si="0"/>
        <v>753.81900000000007</v>
      </c>
      <c r="E15">
        <f t="shared" si="3"/>
        <v>31</v>
      </c>
      <c r="F15">
        <f t="shared" si="1"/>
        <v>23368.389000000003</v>
      </c>
      <c r="G15">
        <f t="shared" si="4"/>
        <v>359998.35300000006</v>
      </c>
      <c r="H15">
        <f t="shared" si="2"/>
        <v>76059.532296000005</v>
      </c>
      <c r="I15">
        <f t="shared" si="5"/>
        <v>578275.60754900007</v>
      </c>
    </row>
    <row r="16" spans="1:9" x14ac:dyDescent="0.3">
      <c r="A16" s="6">
        <v>45323</v>
      </c>
      <c r="B16" s="4">
        <v>12172.529000604154</v>
      </c>
      <c r="C16">
        <v>53</v>
      </c>
      <c r="D16">
        <f t="shared" si="0"/>
        <v>753.81900000000007</v>
      </c>
      <c r="E16">
        <f t="shared" si="3"/>
        <v>31</v>
      </c>
      <c r="F16">
        <f t="shared" si="1"/>
        <v>23368.389000000003</v>
      </c>
      <c r="G16">
        <f t="shared" si="4"/>
        <v>383366.74200000009</v>
      </c>
      <c r="H16">
        <f t="shared" si="2"/>
        <v>76562.772907999999</v>
      </c>
      <c r="I16">
        <f t="shared" si="5"/>
        <v>654838.38045700011</v>
      </c>
    </row>
    <row r="17" spans="1:9" x14ac:dyDescent="0.3">
      <c r="A17" s="6">
        <v>45352</v>
      </c>
      <c r="B17" s="4">
        <v>9630.1068167409212</v>
      </c>
      <c r="C17">
        <v>25</v>
      </c>
      <c r="D17">
        <f t="shared" si="0"/>
        <v>355.57500000000005</v>
      </c>
      <c r="E17">
        <f t="shared" si="3"/>
        <v>29</v>
      </c>
      <c r="F17">
        <f t="shared" si="1"/>
        <v>10311.675000000001</v>
      </c>
      <c r="G17">
        <f t="shared" si="4"/>
        <v>393678.41700000007</v>
      </c>
      <c r="H17">
        <f t="shared" si="2"/>
        <v>60571.44585593704</v>
      </c>
      <c r="I17">
        <f t="shared" si="5"/>
        <v>715409.82631293719</v>
      </c>
    </row>
    <row r="18" spans="1:9" x14ac:dyDescent="0.3">
      <c r="A18" s="6">
        <v>45383</v>
      </c>
      <c r="B18" s="4">
        <v>9027.3898299659813</v>
      </c>
      <c r="C18">
        <v>60</v>
      </c>
      <c r="D18">
        <f t="shared" si="0"/>
        <v>853.38</v>
      </c>
      <c r="E18">
        <f t="shared" si="3"/>
        <v>31</v>
      </c>
      <c r="F18">
        <f t="shared" si="1"/>
        <v>26454.78</v>
      </c>
      <c r="G18">
        <f t="shared" si="4"/>
        <v>420133.19700000004</v>
      </c>
      <c r="H18">
        <f t="shared" si="2"/>
        <v>56780.476552520027</v>
      </c>
      <c r="I18">
        <f t="shared" si="5"/>
        <v>772190.30286545726</v>
      </c>
    </row>
    <row r="19" spans="1:9" x14ac:dyDescent="0.3">
      <c r="A19" s="6">
        <v>45413</v>
      </c>
      <c r="B19" s="4">
        <v>10937.602999936405</v>
      </c>
      <c r="C19">
        <v>80</v>
      </c>
      <c r="D19">
        <f t="shared" si="0"/>
        <v>1137.8400000000001</v>
      </c>
      <c r="E19">
        <f t="shared" si="3"/>
        <v>30</v>
      </c>
      <c r="F19">
        <f t="shared" si="1"/>
        <v>34135.200000000004</v>
      </c>
      <c r="G19">
        <f t="shared" si="4"/>
        <v>454268.39700000006</v>
      </c>
      <c r="H19">
        <f t="shared" si="2"/>
        <v>68795.335349000001</v>
      </c>
      <c r="I19">
        <f t="shared" si="5"/>
        <v>840985.63821445731</v>
      </c>
    </row>
    <row r="20" spans="1:9" x14ac:dyDescent="0.3">
      <c r="A20" s="6">
        <v>45444</v>
      </c>
      <c r="B20" s="4">
        <v>9510.4450001589885</v>
      </c>
      <c r="C20">
        <v>80</v>
      </c>
      <c r="D20">
        <f t="shared" si="0"/>
        <v>1137.8400000000001</v>
      </c>
      <c r="E20">
        <f t="shared" si="3"/>
        <v>31</v>
      </c>
      <c r="F20">
        <f t="shared" si="1"/>
        <v>35273.040000000008</v>
      </c>
      <c r="G20">
        <f t="shared" si="4"/>
        <v>489541.43700000003</v>
      </c>
      <c r="H20">
        <f t="shared" si="2"/>
        <v>59818.796962</v>
      </c>
      <c r="I20">
        <f t="shared" si="5"/>
        <v>900804.43517645728</v>
      </c>
    </row>
    <row r="21" spans="1:9" x14ac:dyDescent="0.3">
      <c r="A21" s="6">
        <v>45474</v>
      </c>
      <c r="B21" s="4">
        <v>9747.3070002225832</v>
      </c>
      <c r="C21">
        <v>77</v>
      </c>
      <c r="D21">
        <f t="shared" si="0"/>
        <v>1095.171</v>
      </c>
      <c r="E21">
        <f t="shared" si="3"/>
        <v>30</v>
      </c>
      <c r="F21">
        <f t="shared" si="1"/>
        <v>32855.130000000005</v>
      </c>
      <c r="G21">
        <f t="shared" si="4"/>
        <v>522396.56700000004</v>
      </c>
      <c r="H21">
        <f t="shared" si="2"/>
        <v>61308.611570000001</v>
      </c>
      <c r="I21">
        <f t="shared" si="5"/>
        <v>962113.04674645723</v>
      </c>
    </row>
    <row r="22" spans="1:9" x14ac:dyDescent="0.3">
      <c r="A22" s="6">
        <v>45505</v>
      </c>
      <c r="B22" s="4">
        <v>9926.4359995548348</v>
      </c>
      <c r="C22">
        <v>73</v>
      </c>
      <c r="D22">
        <f t="shared" si="0"/>
        <v>1038.279</v>
      </c>
      <c r="E22">
        <f t="shared" si="3"/>
        <v>31</v>
      </c>
      <c r="F22">
        <f t="shared" si="1"/>
        <v>32186.649000000001</v>
      </c>
      <c r="G22">
        <f t="shared" si="4"/>
        <v>554583.21600000001</v>
      </c>
      <c r="H22">
        <f t="shared" si="2"/>
        <v>62435.297149999999</v>
      </c>
      <c r="I22">
        <f t="shared" si="5"/>
        <v>1024548.3438964572</v>
      </c>
    </row>
    <row r="23" spans="1:9" x14ac:dyDescent="0.3">
      <c r="A23" s="6">
        <v>45536</v>
      </c>
      <c r="B23" s="4">
        <v>8944.2050001589869</v>
      </c>
      <c r="C23">
        <v>80</v>
      </c>
      <c r="D23">
        <f t="shared" si="0"/>
        <v>1137.8400000000001</v>
      </c>
      <c r="E23">
        <f t="shared" si="3"/>
        <v>31</v>
      </c>
      <c r="F23">
        <f t="shared" si="1"/>
        <v>35273.040000000008</v>
      </c>
      <c r="G23">
        <f t="shared" si="4"/>
        <v>589856.25600000005</v>
      </c>
      <c r="H23">
        <f t="shared" si="2"/>
        <v>56257.26060999999</v>
      </c>
      <c r="I23">
        <f t="shared" si="5"/>
        <v>1080805.6045064572</v>
      </c>
    </row>
    <row r="24" spans="1:9" x14ac:dyDescent="0.3">
      <c r="A24" s="6">
        <v>45566</v>
      </c>
      <c r="B24" s="4">
        <v>6307.4170003815707</v>
      </c>
      <c r="C24">
        <v>76</v>
      </c>
      <c r="D24">
        <f t="shared" si="0"/>
        <v>1080.9480000000001</v>
      </c>
      <c r="E24">
        <f t="shared" si="3"/>
        <v>30</v>
      </c>
      <c r="F24">
        <f t="shared" si="1"/>
        <v>32428.440000000002</v>
      </c>
      <c r="G24">
        <f t="shared" si="4"/>
        <v>622284.696</v>
      </c>
      <c r="H24">
        <f t="shared" si="2"/>
        <v>39672.391449000002</v>
      </c>
      <c r="I24">
        <f t="shared" si="5"/>
        <v>1120477.9959554572</v>
      </c>
    </row>
    <row r="25" spans="1:9" x14ac:dyDescent="0.3">
      <c r="A25" s="6">
        <v>45597</v>
      </c>
      <c r="B25" s="4">
        <v>8158.2709998728114</v>
      </c>
      <c r="C25">
        <v>76</v>
      </c>
      <c r="D25">
        <f t="shared" si="0"/>
        <v>1080.9480000000001</v>
      </c>
      <c r="E25">
        <f t="shared" si="3"/>
        <v>31</v>
      </c>
      <c r="F25">
        <f t="shared" si="1"/>
        <v>33509.388000000006</v>
      </c>
      <c r="G25">
        <f t="shared" si="4"/>
        <v>655794.08400000003</v>
      </c>
      <c r="H25">
        <f t="shared" si="2"/>
        <v>51313.892935000003</v>
      </c>
      <c r="I25">
        <f t="shared" si="5"/>
        <v>1171791.8888904571</v>
      </c>
    </row>
    <row r="26" spans="1:9" x14ac:dyDescent="0.3">
      <c r="A26" s="6">
        <v>45627</v>
      </c>
      <c r="B26" s="4">
        <v>9505.4930000953937</v>
      </c>
      <c r="C26">
        <v>76</v>
      </c>
      <c r="D26">
        <f t="shared" si="0"/>
        <v>1080.9480000000001</v>
      </c>
      <c r="E26">
        <f t="shared" si="3"/>
        <v>30</v>
      </c>
      <c r="F26">
        <f t="shared" si="1"/>
        <v>32428.440000000002</v>
      </c>
      <c r="G26">
        <f t="shared" si="4"/>
        <v>688222.52399999998</v>
      </c>
      <c r="H26">
        <f t="shared" si="2"/>
        <v>59787.649872000002</v>
      </c>
      <c r="I26">
        <f t="shared" si="5"/>
        <v>1231579.5387624572</v>
      </c>
    </row>
    <row r="27" spans="1:9" x14ac:dyDescent="0.3">
      <c r="A27" s="6">
        <v>45658</v>
      </c>
      <c r="B27" s="4">
        <v>8940.7080002543807</v>
      </c>
      <c r="C27">
        <v>75</v>
      </c>
      <c r="D27">
        <f t="shared" si="0"/>
        <v>1066.7250000000001</v>
      </c>
      <c r="E27">
        <f t="shared" si="3"/>
        <v>31</v>
      </c>
      <c r="F27">
        <f t="shared" si="1"/>
        <v>33068.475000000006</v>
      </c>
      <c r="G27">
        <f t="shared" si="4"/>
        <v>721290.99899999995</v>
      </c>
      <c r="H27">
        <f t="shared" si="2"/>
        <v>56235.265180000002</v>
      </c>
      <c r="I27">
        <f t="shared" si="5"/>
        <v>1287814.8039424573</v>
      </c>
    </row>
    <row r="28" spans="1:9" x14ac:dyDescent="0.3">
      <c r="A28" s="6">
        <v>45689</v>
      </c>
      <c r="B28" s="4">
        <v>7182.0000001589879</v>
      </c>
      <c r="C28">
        <v>75</v>
      </c>
      <c r="D28">
        <f t="shared" si="0"/>
        <v>1066.7250000000001</v>
      </c>
      <c r="E28">
        <f t="shared" si="3"/>
        <v>31</v>
      </c>
      <c r="F28">
        <f t="shared" si="1"/>
        <v>33068.475000000006</v>
      </c>
      <c r="G28">
        <f t="shared" si="4"/>
        <v>754359.47399999993</v>
      </c>
      <c r="H28">
        <f t="shared" si="2"/>
        <v>45173.343601</v>
      </c>
      <c r="I28">
        <f t="shared" si="5"/>
        <v>1332988.1475434573</v>
      </c>
    </row>
    <row r="29" spans="1:9" x14ac:dyDescent="0.3">
      <c r="A29" s="6">
        <v>45717</v>
      </c>
      <c r="B29" s="4">
        <v>8062.429000286179</v>
      </c>
      <c r="C29">
        <v>75</v>
      </c>
      <c r="D29">
        <f t="shared" si="0"/>
        <v>1066.7250000000001</v>
      </c>
      <c r="E29">
        <f t="shared" si="3"/>
        <v>28</v>
      </c>
      <c r="F29">
        <f t="shared" si="1"/>
        <v>29868.300000000003</v>
      </c>
      <c r="G29">
        <f t="shared" si="4"/>
        <v>784227.77399999998</v>
      </c>
      <c r="H29">
        <f t="shared" si="2"/>
        <v>50711.065926000003</v>
      </c>
      <c r="I29">
        <f t="shared" si="5"/>
        <v>1383699.2134694573</v>
      </c>
    </row>
    <row r="30" spans="1:9" x14ac:dyDescent="0.3">
      <c r="A30" s="6">
        <v>45748</v>
      </c>
      <c r="B30" s="4">
        <v>10492.955000317976</v>
      </c>
      <c r="C30">
        <v>75</v>
      </c>
      <c r="D30">
        <f t="shared" si="0"/>
        <v>1066.7250000000001</v>
      </c>
      <c r="E30">
        <f t="shared" si="3"/>
        <v>31</v>
      </c>
      <c r="F30">
        <f t="shared" si="1"/>
        <v>33068.475000000006</v>
      </c>
      <c r="G30">
        <f t="shared" si="4"/>
        <v>817296.24899999995</v>
      </c>
      <c r="H30">
        <f t="shared" si="2"/>
        <v>65998.588361000002</v>
      </c>
      <c r="I30">
        <f t="shared" si="5"/>
        <v>1449697.8018304573</v>
      </c>
    </row>
    <row r="31" spans="1:9" x14ac:dyDescent="0.3">
      <c r="A31" s="6">
        <v>45778</v>
      </c>
      <c r="B31" s="4">
        <v>11032.670000158989</v>
      </c>
      <c r="C31">
        <v>75</v>
      </c>
      <c r="D31">
        <f t="shared" si="0"/>
        <v>1066.7250000000001</v>
      </c>
      <c r="E31">
        <f t="shared" si="3"/>
        <v>30</v>
      </c>
      <c r="F31">
        <f t="shared" si="1"/>
        <v>32001.750000000004</v>
      </c>
      <c r="G31">
        <f t="shared" si="4"/>
        <v>849297.99899999995</v>
      </c>
      <c r="H31">
        <f t="shared" si="2"/>
        <v>69393.287767000002</v>
      </c>
      <c r="I31">
        <f t="shared" si="5"/>
        <v>1519091.0895974573</v>
      </c>
    </row>
    <row r="32" spans="1:9" x14ac:dyDescent="0.3">
      <c r="A32" s="6">
        <v>45809</v>
      </c>
      <c r="B32" s="4">
        <v>10697.943000254381</v>
      </c>
      <c r="C32">
        <v>84</v>
      </c>
      <c r="D32">
        <f t="shared" si="0"/>
        <v>1194.732</v>
      </c>
      <c r="E32">
        <f t="shared" si="3"/>
        <v>31</v>
      </c>
      <c r="F32">
        <f t="shared" si="1"/>
        <v>37036.691999999995</v>
      </c>
      <c r="G32">
        <f t="shared" si="4"/>
        <v>886334.69099999999</v>
      </c>
      <c r="H32">
        <f t="shared" si="2"/>
        <v>67287.921883000003</v>
      </c>
      <c r="I32">
        <f t="shared" si="5"/>
        <v>1586379.0114804574</v>
      </c>
    </row>
    <row r="33" spans="1:9" x14ac:dyDescent="0.3">
      <c r="A33" s="16">
        <v>45839</v>
      </c>
      <c r="B33" s="17">
        <v>10557.35400012719</v>
      </c>
      <c r="C33">
        <v>84</v>
      </c>
      <c r="D33">
        <f t="shared" si="0"/>
        <v>1194.732</v>
      </c>
      <c r="E33">
        <f t="shared" si="3"/>
        <v>30</v>
      </c>
      <c r="F33">
        <f t="shared" si="1"/>
        <v>35841.96</v>
      </c>
      <c r="G33">
        <f t="shared" si="4"/>
        <v>922176.65099999995</v>
      </c>
      <c r="H33">
        <f t="shared" si="2"/>
        <v>66403.645189999996</v>
      </c>
      <c r="I33">
        <f t="shared" si="5"/>
        <v>1652782.6566704575</v>
      </c>
    </row>
    <row r="34" spans="1:9" x14ac:dyDescent="0.3">
      <c r="A34" s="16">
        <v>45870</v>
      </c>
      <c r="D34">
        <f t="shared" si="0"/>
        <v>0</v>
      </c>
      <c r="E34">
        <f t="shared" si="3"/>
        <v>31</v>
      </c>
      <c r="F34">
        <f t="shared" si="1"/>
        <v>0</v>
      </c>
      <c r="G34">
        <f t="shared" si="4"/>
        <v>922176.65099999995</v>
      </c>
      <c r="H34">
        <f t="shared" si="2"/>
        <v>0</v>
      </c>
      <c r="I34">
        <f t="shared" si="5"/>
        <v>1652782.6566704575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6521-201D-4614-B7FC-9B81A6EE0678}">
  <dimension ref="A1:I103"/>
  <sheetViews>
    <sheetView workbookViewId="0">
      <selection activeCell="G1" activeCellId="1" sqref="I1:I1048576 G1:G1048576"/>
    </sheetView>
  </sheetViews>
  <sheetFormatPr defaultRowHeight="14.4" x14ac:dyDescent="0.3"/>
  <cols>
    <col min="6" max="6" width="11.77734375" customWidth="1"/>
    <col min="7" max="7" width="19.88671875" customWidth="1"/>
    <col min="8" max="8" width="21.109375" customWidth="1"/>
    <col min="9" max="9" width="24.664062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3">
        <v>42795</v>
      </c>
      <c r="B2" s="4">
        <v>9890.5590002861773</v>
      </c>
      <c r="C2">
        <v>90</v>
      </c>
      <c r="D2">
        <f>14.223*C2</f>
        <v>1280.0700000000002</v>
      </c>
      <c r="E2">
        <v>0</v>
      </c>
      <c r="F2">
        <f>D2*E2</f>
        <v>0</v>
      </c>
      <c r="G2">
        <f>F2</f>
        <v>0</v>
      </c>
      <c r="H2">
        <f>6.2898*B2</f>
        <v>62209.637999999992</v>
      </c>
      <c r="I2">
        <f>H2</f>
        <v>62209.637999999992</v>
      </c>
    </row>
    <row r="3" spans="1:9" x14ac:dyDescent="0.3">
      <c r="A3" s="3">
        <v>42826</v>
      </c>
      <c r="B3" s="4">
        <v>16695.732000063595</v>
      </c>
      <c r="C3">
        <v>90</v>
      </c>
      <c r="D3">
        <f t="shared" ref="D3:D66" si="0">14.223*C3</f>
        <v>1280.0700000000002</v>
      </c>
      <c r="E3">
        <f>A3-A2</f>
        <v>31</v>
      </c>
      <c r="F3">
        <f t="shared" ref="F3:F66" si="1">D3*E3</f>
        <v>39682.170000000006</v>
      </c>
      <c r="G3">
        <f>G2+F3</f>
        <v>39682.170000000006</v>
      </c>
      <c r="H3">
        <f t="shared" ref="H3:H66" si="2">6.2898*B3</f>
        <v>105012.81513399999</v>
      </c>
      <c r="I3">
        <f>I2+H3</f>
        <v>167222.45313399998</v>
      </c>
    </row>
    <row r="4" spans="1:9" x14ac:dyDescent="0.3">
      <c r="A4" s="3">
        <v>42856</v>
      </c>
      <c r="B4" s="4">
        <v>13582.187000063595</v>
      </c>
      <c r="C4">
        <v>88</v>
      </c>
      <c r="D4">
        <f t="shared" si="0"/>
        <v>1251.624</v>
      </c>
      <c r="E4">
        <f t="shared" ref="E4:E67" si="3">A4-A3</f>
        <v>30</v>
      </c>
      <c r="F4">
        <f t="shared" si="1"/>
        <v>37548.720000000001</v>
      </c>
      <c r="G4">
        <f t="shared" ref="G4:G67" si="4">G3+F4</f>
        <v>77230.890000000014</v>
      </c>
      <c r="H4">
        <f t="shared" si="2"/>
        <v>85429.239793000001</v>
      </c>
      <c r="I4">
        <f t="shared" ref="I4:I67" si="5">I3+H4</f>
        <v>252651.692927</v>
      </c>
    </row>
    <row r="5" spans="1:9" x14ac:dyDescent="0.3">
      <c r="A5" s="3">
        <v>42887</v>
      </c>
      <c r="B5" s="4">
        <v>12332.527000063596</v>
      </c>
      <c r="C5">
        <v>88</v>
      </c>
      <c r="D5">
        <f t="shared" si="0"/>
        <v>1251.624</v>
      </c>
      <c r="E5">
        <f t="shared" si="3"/>
        <v>31</v>
      </c>
      <c r="F5">
        <f t="shared" si="1"/>
        <v>38800.343999999997</v>
      </c>
      <c r="G5">
        <f t="shared" si="4"/>
        <v>116031.23400000001</v>
      </c>
      <c r="H5">
        <f t="shared" si="2"/>
        <v>77569.128324999998</v>
      </c>
      <c r="I5">
        <f t="shared" si="5"/>
        <v>330220.82125199999</v>
      </c>
    </row>
    <row r="6" spans="1:9" x14ac:dyDescent="0.3">
      <c r="A6" s="3">
        <v>42917</v>
      </c>
      <c r="B6" s="4">
        <v>14242.259999841011</v>
      </c>
      <c r="C6">
        <v>88</v>
      </c>
      <c r="D6">
        <f t="shared" si="0"/>
        <v>1251.624</v>
      </c>
      <c r="E6">
        <f t="shared" si="3"/>
        <v>30</v>
      </c>
      <c r="F6">
        <f t="shared" si="1"/>
        <v>37548.720000000001</v>
      </c>
      <c r="G6">
        <f t="shared" si="4"/>
        <v>153579.95400000003</v>
      </c>
      <c r="H6">
        <f t="shared" si="2"/>
        <v>89580.966946999994</v>
      </c>
      <c r="I6">
        <f t="shared" si="5"/>
        <v>419801.788199</v>
      </c>
    </row>
    <row r="7" spans="1:9" x14ac:dyDescent="0.3">
      <c r="A7" s="3">
        <v>42948</v>
      </c>
      <c r="B7" s="4">
        <v>11098.985000158989</v>
      </c>
      <c r="C7">
        <v>80</v>
      </c>
      <c r="D7">
        <f t="shared" si="0"/>
        <v>1137.8400000000001</v>
      </c>
      <c r="E7">
        <f t="shared" si="3"/>
        <v>31</v>
      </c>
      <c r="F7">
        <f t="shared" si="1"/>
        <v>35273.040000000008</v>
      </c>
      <c r="G7">
        <f t="shared" si="4"/>
        <v>188852.99400000004</v>
      </c>
      <c r="H7">
        <f t="shared" si="2"/>
        <v>69810.395854000002</v>
      </c>
      <c r="I7">
        <f t="shared" si="5"/>
        <v>489612.184053</v>
      </c>
    </row>
    <row r="8" spans="1:9" x14ac:dyDescent="0.3">
      <c r="A8" s="3">
        <v>42979</v>
      </c>
      <c r="B8" s="4">
        <v>8445.8769997456202</v>
      </c>
      <c r="C8">
        <v>80</v>
      </c>
      <c r="D8">
        <f t="shared" si="0"/>
        <v>1137.8400000000001</v>
      </c>
      <c r="E8">
        <f t="shared" si="3"/>
        <v>31</v>
      </c>
      <c r="F8">
        <f t="shared" si="1"/>
        <v>35273.040000000008</v>
      </c>
      <c r="G8">
        <f t="shared" si="4"/>
        <v>224126.03400000004</v>
      </c>
      <c r="H8">
        <f t="shared" si="2"/>
        <v>53122.877153000001</v>
      </c>
      <c r="I8">
        <f t="shared" si="5"/>
        <v>542735.06120600004</v>
      </c>
    </row>
    <row r="9" spans="1:9" x14ac:dyDescent="0.3">
      <c r="A9" s="3">
        <v>43009</v>
      </c>
      <c r="B9" s="4">
        <v>8253.0670005405591</v>
      </c>
      <c r="C9">
        <v>83</v>
      </c>
      <c r="D9">
        <f t="shared" si="0"/>
        <v>1180.509</v>
      </c>
      <c r="E9">
        <f t="shared" si="3"/>
        <v>30</v>
      </c>
      <c r="F9">
        <f t="shared" si="1"/>
        <v>35415.270000000004</v>
      </c>
      <c r="G9">
        <f t="shared" si="4"/>
        <v>259541.30400000006</v>
      </c>
      <c r="H9">
        <f t="shared" si="2"/>
        <v>51910.140820000008</v>
      </c>
      <c r="I9">
        <f t="shared" si="5"/>
        <v>594645.20202600001</v>
      </c>
    </row>
    <row r="10" spans="1:9" x14ac:dyDescent="0.3">
      <c r="A10" s="3">
        <v>43040</v>
      </c>
      <c r="B10" s="4">
        <v>6523.625999872811</v>
      </c>
      <c r="C10">
        <v>85</v>
      </c>
      <c r="D10">
        <f t="shared" si="0"/>
        <v>1208.9550000000002</v>
      </c>
      <c r="E10">
        <f t="shared" si="3"/>
        <v>31</v>
      </c>
      <c r="F10">
        <f t="shared" si="1"/>
        <v>37477.605000000003</v>
      </c>
      <c r="G10">
        <f t="shared" si="4"/>
        <v>297018.90900000004</v>
      </c>
      <c r="H10">
        <f t="shared" si="2"/>
        <v>41032.302814000002</v>
      </c>
      <c r="I10">
        <f t="shared" si="5"/>
        <v>635677.50484000007</v>
      </c>
    </row>
    <row r="11" spans="1:9" x14ac:dyDescent="0.3">
      <c r="A11" s="3">
        <v>43070</v>
      </c>
      <c r="B11" s="4">
        <v>1466.1909998728102</v>
      </c>
      <c r="C11">
        <v>89</v>
      </c>
      <c r="D11">
        <f t="shared" si="0"/>
        <v>1265.847</v>
      </c>
      <c r="E11">
        <f t="shared" si="3"/>
        <v>30</v>
      </c>
      <c r="F11">
        <f t="shared" si="1"/>
        <v>37975.409999999996</v>
      </c>
      <c r="G11">
        <f t="shared" si="4"/>
        <v>334994.31900000002</v>
      </c>
      <c r="H11">
        <f t="shared" si="2"/>
        <v>9222.0481510000009</v>
      </c>
      <c r="I11">
        <f t="shared" si="5"/>
        <v>644899.55299100012</v>
      </c>
    </row>
    <row r="12" spans="1:9" x14ac:dyDescent="0.3">
      <c r="A12" s="3">
        <v>43101</v>
      </c>
      <c r="B12" s="4">
        <v>4119.3630000953926</v>
      </c>
      <c r="C12">
        <v>82</v>
      </c>
      <c r="D12">
        <f t="shared" si="0"/>
        <v>1166.2860000000001</v>
      </c>
      <c r="E12">
        <f t="shared" si="3"/>
        <v>31</v>
      </c>
      <c r="F12">
        <f t="shared" si="1"/>
        <v>36154.866000000002</v>
      </c>
      <c r="G12">
        <f t="shared" si="4"/>
        <v>371149.185</v>
      </c>
      <c r="H12">
        <f t="shared" si="2"/>
        <v>25909.969397999997</v>
      </c>
      <c r="I12">
        <f t="shared" si="5"/>
        <v>670809.52238900017</v>
      </c>
    </row>
    <row r="13" spans="1:9" x14ac:dyDescent="0.3">
      <c r="A13" s="3">
        <v>43132</v>
      </c>
      <c r="B13" s="4">
        <v>6257.9580000953929</v>
      </c>
      <c r="C13">
        <v>83</v>
      </c>
      <c r="D13">
        <f t="shared" si="0"/>
        <v>1180.509</v>
      </c>
      <c r="E13">
        <f t="shared" si="3"/>
        <v>31</v>
      </c>
      <c r="F13">
        <f t="shared" si="1"/>
        <v>36595.779000000002</v>
      </c>
      <c r="G13">
        <f t="shared" si="4"/>
        <v>407744.96399999998</v>
      </c>
      <c r="H13">
        <f t="shared" si="2"/>
        <v>39361.304229000001</v>
      </c>
      <c r="I13">
        <f t="shared" si="5"/>
        <v>710170.82661800017</v>
      </c>
    </row>
    <row r="14" spans="1:9" x14ac:dyDescent="0.3">
      <c r="A14" s="3">
        <v>43160</v>
      </c>
      <c r="B14" s="4">
        <v>7546.1279999364051</v>
      </c>
      <c r="C14">
        <v>85</v>
      </c>
      <c r="D14">
        <f t="shared" si="0"/>
        <v>1208.9550000000002</v>
      </c>
      <c r="E14">
        <f t="shared" si="3"/>
        <v>28</v>
      </c>
      <c r="F14">
        <f t="shared" si="1"/>
        <v>33850.740000000005</v>
      </c>
      <c r="G14">
        <f t="shared" si="4"/>
        <v>441595.70399999997</v>
      </c>
      <c r="H14">
        <f t="shared" si="2"/>
        <v>47463.635893999999</v>
      </c>
      <c r="I14">
        <f t="shared" si="5"/>
        <v>757634.46251200011</v>
      </c>
    </row>
    <row r="15" spans="1:9" x14ac:dyDescent="0.3">
      <c r="A15" s="3">
        <v>43191</v>
      </c>
      <c r="B15" s="4">
        <v>10277.513000572357</v>
      </c>
      <c r="C15">
        <v>86</v>
      </c>
      <c r="D15">
        <f t="shared" si="0"/>
        <v>1223.1780000000001</v>
      </c>
      <c r="E15">
        <f t="shared" si="3"/>
        <v>31</v>
      </c>
      <c r="F15">
        <f t="shared" si="1"/>
        <v>37918.518000000004</v>
      </c>
      <c r="G15">
        <f t="shared" si="4"/>
        <v>479514.22199999995</v>
      </c>
      <c r="H15">
        <f t="shared" si="2"/>
        <v>64643.501271000008</v>
      </c>
      <c r="I15">
        <f t="shared" si="5"/>
        <v>822277.96378300013</v>
      </c>
    </row>
    <row r="16" spans="1:9" x14ac:dyDescent="0.3">
      <c r="A16" s="3">
        <v>43221</v>
      </c>
      <c r="B16" s="4">
        <v>11623.153999650229</v>
      </c>
      <c r="C16">
        <v>86</v>
      </c>
      <c r="D16">
        <f t="shared" si="0"/>
        <v>1223.1780000000001</v>
      </c>
      <c r="E16">
        <f t="shared" si="3"/>
        <v>30</v>
      </c>
      <c r="F16">
        <f t="shared" si="1"/>
        <v>36695.340000000004</v>
      </c>
      <c r="G16">
        <f t="shared" si="4"/>
        <v>516209.56199999998</v>
      </c>
      <c r="H16">
        <f t="shared" si="2"/>
        <v>73107.314027</v>
      </c>
      <c r="I16">
        <f t="shared" si="5"/>
        <v>895385.27781000012</v>
      </c>
    </row>
    <row r="17" spans="1:9" x14ac:dyDescent="0.3">
      <c r="A17" s="3">
        <v>43252</v>
      </c>
      <c r="B17" s="4">
        <v>11220.771000031798</v>
      </c>
      <c r="C17">
        <v>81</v>
      </c>
      <c r="D17">
        <f t="shared" si="0"/>
        <v>1152.0630000000001</v>
      </c>
      <c r="E17">
        <f t="shared" si="3"/>
        <v>31</v>
      </c>
      <c r="F17">
        <f t="shared" si="1"/>
        <v>35713.953000000001</v>
      </c>
      <c r="G17">
        <f t="shared" si="4"/>
        <v>551923.51500000001</v>
      </c>
      <c r="H17">
        <f t="shared" si="2"/>
        <v>70576.405436000001</v>
      </c>
      <c r="I17">
        <f t="shared" si="5"/>
        <v>965961.68324600009</v>
      </c>
    </row>
    <row r="18" spans="1:9" x14ac:dyDescent="0.3">
      <c r="A18" s="3">
        <v>43282</v>
      </c>
      <c r="B18" s="4">
        <v>11561.762000063596</v>
      </c>
      <c r="C18">
        <v>81</v>
      </c>
      <c r="D18">
        <f t="shared" si="0"/>
        <v>1152.0630000000001</v>
      </c>
      <c r="E18">
        <f t="shared" si="3"/>
        <v>30</v>
      </c>
      <c r="F18">
        <f t="shared" si="1"/>
        <v>34561.89</v>
      </c>
      <c r="G18">
        <f t="shared" si="4"/>
        <v>586485.40500000003</v>
      </c>
      <c r="H18">
        <f t="shared" si="2"/>
        <v>72721.170628000007</v>
      </c>
      <c r="I18">
        <f t="shared" si="5"/>
        <v>1038682.8538740001</v>
      </c>
    </row>
    <row r="19" spans="1:9" x14ac:dyDescent="0.3">
      <c r="A19" s="3">
        <v>43313</v>
      </c>
      <c r="B19" s="4">
        <v>10505.939999841014</v>
      </c>
      <c r="C19">
        <v>89</v>
      </c>
      <c r="D19">
        <f t="shared" si="0"/>
        <v>1265.847</v>
      </c>
      <c r="E19">
        <f t="shared" si="3"/>
        <v>31</v>
      </c>
      <c r="F19">
        <f t="shared" si="1"/>
        <v>39241.256999999998</v>
      </c>
      <c r="G19">
        <f t="shared" si="4"/>
        <v>625726.66200000001</v>
      </c>
      <c r="H19">
        <f t="shared" si="2"/>
        <v>66080.261410999999</v>
      </c>
      <c r="I19">
        <f t="shared" si="5"/>
        <v>1104763.1152850001</v>
      </c>
    </row>
    <row r="20" spans="1:9" x14ac:dyDescent="0.3">
      <c r="A20" s="3">
        <v>43344</v>
      </c>
      <c r="B20" s="4">
        <v>9284.9739999682024</v>
      </c>
      <c r="C20">
        <v>85</v>
      </c>
      <c r="D20">
        <f t="shared" si="0"/>
        <v>1208.9550000000002</v>
      </c>
      <c r="E20">
        <f t="shared" si="3"/>
        <v>31</v>
      </c>
      <c r="F20">
        <f t="shared" si="1"/>
        <v>37477.605000000003</v>
      </c>
      <c r="G20">
        <f t="shared" si="4"/>
        <v>663204.26699999999</v>
      </c>
      <c r="H20">
        <f t="shared" si="2"/>
        <v>58400.629464999998</v>
      </c>
      <c r="I20">
        <f t="shared" si="5"/>
        <v>1163163.7447500001</v>
      </c>
    </row>
    <row r="21" spans="1:9" x14ac:dyDescent="0.3">
      <c r="A21" s="3">
        <v>43374</v>
      </c>
      <c r="B21" s="4">
        <v>10312.529000286178</v>
      </c>
      <c r="C21">
        <v>70</v>
      </c>
      <c r="D21">
        <f t="shared" si="0"/>
        <v>995.61</v>
      </c>
      <c r="E21">
        <f t="shared" si="3"/>
        <v>30</v>
      </c>
      <c r="F21">
        <f t="shared" si="1"/>
        <v>29868.3</v>
      </c>
      <c r="G21">
        <f t="shared" si="4"/>
        <v>693072.56700000004</v>
      </c>
      <c r="H21">
        <f t="shared" si="2"/>
        <v>64863.744906</v>
      </c>
      <c r="I21">
        <f t="shared" si="5"/>
        <v>1228027.4896560002</v>
      </c>
    </row>
    <row r="22" spans="1:9" x14ac:dyDescent="0.3">
      <c r="A22" s="3">
        <v>43405</v>
      </c>
      <c r="B22" s="4">
        <v>10287.29299961843</v>
      </c>
      <c r="C22">
        <v>90</v>
      </c>
      <c r="D22">
        <f t="shared" si="0"/>
        <v>1280.0700000000002</v>
      </c>
      <c r="E22">
        <f t="shared" si="3"/>
        <v>31</v>
      </c>
      <c r="F22">
        <f t="shared" si="1"/>
        <v>39682.170000000006</v>
      </c>
      <c r="G22">
        <f t="shared" si="4"/>
        <v>732754.73700000008</v>
      </c>
      <c r="H22">
        <f t="shared" si="2"/>
        <v>64705.015508999997</v>
      </c>
      <c r="I22">
        <f t="shared" si="5"/>
        <v>1292732.5051650002</v>
      </c>
    </row>
    <row r="23" spans="1:9" x14ac:dyDescent="0.3">
      <c r="A23" s="3">
        <v>43435</v>
      </c>
      <c r="B23" s="4">
        <v>10045.417999777417</v>
      </c>
      <c r="C23">
        <v>89</v>
      </c>
      <c r="D23">
        <f t="shared" si="0"/>
        <v>1265.847</v>
      </c>
      <c r="E23">
        <f t="shared" si="3"/>
        <v>30</v>
      </c>
      <c r="F23">
        <f t="shared" si="1"/>
        <v>37975.409999999996</v>
      </c>
      <c r="G23">
        <f t="shared" si="4"/>
        <v>770730.14700000011</v>
      </c>
      <c r="H23">
        <f t="shared" si="2"/>
        <v>63183.670134999993</v>
      </c>
      <c r="I23">
        <f t="shared" si="5"/>
        <v>1355916.1753000002</v>
      </c>
    </row>
    <row r="24" spans="1:9" x14ac:dyDescent="0.3">
      <c r="A24" s="3">
        <v>43466</v>
      </c>
      <c r="B24" s="4">
        <v>11424.343999809216</v>
      </c>
      <c r="C24">
        <v>85</v>
      </c>
      <c r="D24">
        <f t="shared" si="0"/>
        <v>1208.9550000000002</v>
      </c>
      <c r="E24">
        <f t="shared" si="3"/>
        <v>31</v>
      </c>
      <c r="F24">
        <f t="shared" si="1"/>
        <v>37477.605000000003</v>
      </c>
      <c r="G24">
        <f t="shared" si="4"/>
        <v>808207.75200000009</v>
      </c>
      <c r="H24">
        <f t="shared" si="2"/>
        <v>71856.838889999999</v>
      </c>
      <c r="I24">
        <f t="shared" si="5"/>
        <v>1427773.0141900002</v>
      </c>
    </row>
    <row r="25" spans="1:9" x14ac:dyDescent="0.3">
      <c r="A25" s="3">
        <v>43497</v>
      </c>
      <c r="B25" s="4">
        <v>11143.505000317977</v>
      </c>
      <c r="C25">
        <v>91</v>
      </c>
      <c r="D25">
        <f t="shared" si="0"/>
        <v>1294.2930000000001</v>
      </c>
      <c r="E25">
        <f t="shared" si="3"/>
        <v>31</v>
      </c>
      <c r="F25">
        <f t="shared" si="1"/>
        <v>40123.083000000006</v>
      </c>
      <c r="G25">
        <f t="shared" si="4"/>
        <v>848330.83500000008</v>
      </c>
      <c r="H25">
        <f t="shared" si="2"/>
        <v>70090.417751000001</v>
      </c>
      <c r="I25">
        <f t="shared" si="5"/>
        <v>1497863.4319410003</v>
      </c>
    </row>
    <row r="26" spans="1:9" x14ac:dyDescent="0.3">
      <c r="A26" s="3">
        <v>43525</v>
      </c>
      <c r="B26" s="4">
        <v>11173.082999777418</v>
      </c>
      <c r="C26">
        <v>90</v>
      </c>
      <c r="D26">
        <f t="shared" si="0"/>
        <v>1280.0700000000002</v>
      </c>
      <c r="E26">
        <f t="shared" si="3"/>
        <v>28</v>
      </c>
      <c r="F26">
        <f t="shared" si="1"/>
        <v>35841.960000000006</v>
      </c>
      <c r="G26">
        <f t="shared" si="4"/>
        <v>884172.79500000004</v>
      </c>
      <c r="H26">
        <f t="shared" si="2"/>
        <v>70276.457452000002</v>
      </c>
      <c r="I26">
        <f t="shared" si="5"/>
        <v>1568139.8893930004</v>
      </c>
    </row>
    <row r="27" spans="1:9" x14ac:dyDescent="0.3">
      <c r="A27" s="3">
        <v>43556</v>
      </c>
      <c r="B27" s="4">
        <v>11625.047000063596</v>
      </c>
      <c r="C27">
        <v>89</v>
      </c>
      <c r="D27">
        <f t="shared" si="0"/>
        <v>1265.847</v>
      </c>
      <c r="E27">
        <f t="shared" si="3"/>
        <v>31</v>
      </c>
      <c r="F27">
        <f t="shared" si="1"/>
        <v>39241.256999999998</v>
      </c>
      <c r="G27">
        <f t="shared" si="4"/>
        <v>923414.05200000003</v>
      </c>
      <c r="H27">
        <f t="shared" si="2"/>
        <v>73119.220621</v>
      </c>
      <c r="I27">
        <f t="shared" si="5"/>
        <v>1641259.1100140004</v>
      </c>
    </row>
    <row r="28" spans="1:9" x14ac:dyDescent="0.3">
      <c r="A28" s="3">
        <v>43586</v>
      </c>
      <c r="B28" s="4">
        <v>10948.058999650228</v>
      </c>
      <c r="C28">
        <v>88</v>
      </c>
      <c r="D28">
        <f t="shared" si="0"/>
        <v>1251.624</v>
      </c>
      <c r="E28">
        <f t="shared" si="3"/>
        <v>30</v>
      </c>
      <c r="F28">
        <f t="shared" si="1"/>
        <v>37548.720000000001</v>
      </c>
      <c r="G28">
        <f t="shared" si="4"/>
        <v>960962.772</v>
      </c>
      <c r="H28">
        <f t="shared" si="2"/>
        <v>68861.101496000003</v>
      </c>
      <c r="I28">
        <f t="shared" si="5"/>
        <v>1710120.2115100005</v>
      </c>
    </row>
    <row r="29" spans="1:9" x14ac:dyDescent="0.3">
      <c r="A29" s="3">
        <v>43617</v>
      </c>
      <c r="B29" s="4">
        <v>7586.8139999682026</v>
      </c>
      <c r="C29">
        <v>91</v>
      </c>
      <c r="D29">
        <f t="shared" si="0"/>
        <v>1294.2930000000001</v>
      </c>
      <c r="E29">
        <f t="shared" si="3"/>
        <v>31</v>
      </c>
      <c r="F29">
        <f t="shared" si="1"/>
        <v>40123.083000000006</v>
      </c>
      <c r="G29">
        <f t="shared" si="4"/>
        <v>1001085.855</v>
      </c>
      <c r="H29">
        <f t="shared" si="2"/>
        <v>47719.542696999997</v>
      </c>
      <c r="I29">
        <f t="shared" si="5"/>
        <v>1757839.7542070006</v>
      </c>
    </row>
    <row r="30" spans="1:9" x14ac:dyDescent="0.3">
      <c r="A30" s="3">
        <v>43647</v>
      </c>
      <c r="B30" s="4">
        <v>7186.1240001271908</v>
      </c>
      <c r="C30">
        <v>91</v>
      </c>
      <c r="D30">
        <f t="shared" si="0"/>
        <v>1294.2930000000001</v>
      </c>
      <c r="E30">
        <f t="shared" si="3"/>
        <v>30</v>
      </c>
      <c r="F30">
        <f t="shared" si="1"/>
        <v>38828.79</v>
      </c>
      <c r="G30">
        <f t="shared" si="4"/>
        <v>1039914.645</v>
      </c>
      <c r="H30">
        <f t="shared" si="2"/>
        <v>45199.282736000001</v>
      </c>
      <c r="I30">
        <f t="shared" si="5"/>
        <v>1803039.0369430005</v>
      </c>
    </row>
    <row r="31" spans="1:9" x14ac:dyDescent="0.3">
      <c r="A31" s="3">
        <v>43678</v>
      </c>
      <c r="B31" s="4">
        <v>11689.460000317977</v>
      </c>
      <c r="C31">
        <v>80</v>
      </c>
      <c r="D31">
        <f t="shared" si="0"/>
        <v>1137.8400000000001</v>
      </c>
      <c r="E31">
        <f t="shared" si="3"/>
        <v>31</v>
      </c>
      <c r="F31">
        <f t="shared" si="1"/>
        <v>35273.040000000008</v>
      </c>
      <c r="G31">
        <f t="shared" si="4"/>
        <v>1075187.6850000001</v>
      </c>
      <c r="H31">
        <f t="shared" si="2"/>
        <v>73524.365510000003</v>
      </c>
      <c r="I31">
        <f t="shared" si="5"/>
        <v>1876563.4024530004</v>
      </c>
    </row>
    <row r="32" spans="1:9" x14ac:dyDescent="0.3">
      <c r="A32" s="3">
        <v>43709</v>
      </c>
      <c r="B32" s="4">
        <v>11900.645999872811</v>
      </c>
      <c r="C32">
        <v>92</v>
      </c>
      <c r="D32">
        <f t="shared" si="0"/>
        <v>1308.5160000000001</v>
      </c>
      <c r="E32">
        <f t="shared" si="3"/>
        <v>31</v>
      </c>
      <c r="F32">
        <f t="shared" si="1"/>
        <v>40563.995999999999</v>
      </c>
      <c r="G32">
        <f t="shared" si="4"/>
        <v>1115751.6810000001</v>
      </c>
      <c r="H32">
        <f t="shared" si="2"/>
        <v>74852.683210000003</v>
      </c>
      <c r="I32">
        <f t="shared" si="5"/>
        <v>1951416.0856630004</v>
      </c>
    </row>
    <row r="33" spans="1:9" x14ac:dyDescent="0.3">
      <c r="A33" s="3">
        <v>43739</v>
      </c>
      <c r="B33" s="5">
        <v>11689.858999968204</v>
      </c>
      <c r="C33">
        <v>90</v>
      </c>
      <c r="D33">
        <f t="shared" si="0"/>
        <v>1280.0700000000002</v>
      </c>
      <c r="E33">
        <f t="shared" si="3"/>
        <v>30</v>
      </c>
      <c r="F33">
        <f t="shared" si="1"/>
        <v>38402.100000000006</v>
      </c>
      <c r="G33">
        <f t="shared" si="4"/>
        <v>1154153.7810000002</v>
      </c>
      <c r="H33">
        <f t="shared" si="2"/>
        <v>73526.875138000003</v>
      </c>
      <c r="I33">
        <f t="shared" si="5"/>
        <v>2024942.9608010002</v>
      </c>
    </row>
    <row r="34" spans="1:9" x14ac:dyDescent="0.3">
      <c r="A34" s="3">
        <v>43770</v>
      </c>
      <c r="B34" s="5">
        <v>11745.301999427646</v>
      </c>
      <c r="C34">
        <v>88</v>
      </c>
      <c r="D34">
        <f t="shared" si="0"/>
        <v>1251.624</v>
      </c>
      <c r="E34">
        <f t="shared" si="3"/>
        <v>31</v>
      </c>
      <c r="F34">
        <f t="shared" si="1"/>
        <v>38800.343999999997</v>
      </c>
      <c r="G34">
        <f t="shared" si="4"/>
        <v>1192954.1250000002</v>
      </c>
      <c r="H34">
        <f t="shared" si="2"/>
        <v>73875.600516000006</v>
      </c>
      <c r="I34">
        <f t="shared" si="5"/>
        <v>2098818.5613170001</v>
      </c>
    </row>
    <row r="35" spans="1:9" x14ac:dyDescent="0.3">
      <c r="A35" s="6">
        <v>43800</v>
      </c>
      <c r="B35" s="4">
        <v>12590.853000095392</v>
      </c>
      <c r="C35">
        <v>78</v>
      </c>
      <c r="D35">
        <f t="shared" si="0"/>
        <v>1109.394</v>
      </c>
      <c r="E35">
        <f t="shared" si="3"/>
        <v>30</v>
      </c>
      <c r="F35">
        <f t="shared" si="1"/>
        <v>33281.82</v>
      </c>
      <c r="G35">
        <f t="shared" si="4"/>
        <v>1226235.9450000003</v>
      </c>
      <c r="H35">
        <f t="shared" si="2"/>
        <v>79193.947199999995</v>
      </c>
      <c r="I35">
        <f t="shared" si="5"/>
        <v>2178012.5085169999</v>
      </c>
    </row>
    <row r="36" spans="1:9" x14ac:dyDescent="0.3">
      <c r="A36" s="6">
        <v>43831</v>
      </c>
      <c r="B36" s="4">
        <v>12255.435000000001</v>
      </c>
      <c r="C36">
        <v>86</v>
      </c>
      <c r="D36">
        <f t="shared" si="0"/>
        <v>1223.1780000000001</v>
      </c>
      <c r="E36">
        <f t="shared" si="3"/>
        <v>31</v>
      </c>
      <c r="F36">
        <f t="shared" si="1"/>
        <v>37918.518000000004</v>
      </c>
      <c r="G36">
        <f t="shared" si="4"/>
        <v>1264154.4630000002</v>
      </c>
      <c r="H36">
        <f t="shared" si="2"/>
        <v>77084.235063</v>
      </c>
      <c r="I36">
        <f t="shared" si="5"/>
        <v>2255096.74358</v>
      </c>
    </row>
    <row r="37" spans="1:9" x14ac:dyDescent="0.3">
      <c r="A37" s="6">
        <v>43862</v>
      </c>
      <c r="B37" s="4">
        <v>10722.553999491241</v>
      </c>
      <c r="C37">
        <v>80</v>
      </c>
      <c r="D37">
        <f t="shared" si="0"/>
        <v>1137.8400000000001</v>
      </c>
      <c r="E37">
        <f t="shared" si="3"/>
        <v>31</v>
      </c>
      <c r="F37">
        <f t="shared" si="1"/>
        <v>35273.040000000008</v>
      </c>
      <c r="G37">
        <f t="shared" si="4"/>
        <v>1299427.5030000003</v>
      </c>
      <c r="H37">
        <f t="shared" si="2"/>
        <v>67442.720146000007</v>
      </c>
      <c r="I37">
        <f t="shared" si="5"/>
        <v>2322539.4637259999</v>
      </c>
    </row>
    <row r="38" spans="1:9" x14ac:dyDescent="0.3">
      <c r="A38" s="6">
        <v>43891</v>
      </c>
      <c r="B38" s="4">
        <v>10331.497000699546</v>
      </c>
      <c r="C38">
        <v>74</v>
      </c>
      <c r="D38">
        <f t="shared" si="0"/>
        <v>1052.502</v>
      </c>
      <c r="E38">
        <f t="shared" si="3"/>
        <v>29</v>
      </c>
      <c r="F38">
        <f t="shared" si="1"/>
        <v>30522.557999999997</v>
      </c>
      <c r="G38">
        <f t="shared" si="4"/>
        <v>1329950.0610000002</v>
      </c>
      <c r="H38">
        <f t="shared" si="2"/>
        <v>64983.049835000005</v>
      </c>
      <c r="I38">
        <f t="shared" si="5"/>
        <v>2387522.5135610001</v>
      </c>
    </row>
    <row r="39" spans="1:9" x14ac:dyDescent="0.3">
      <c r="A39" s="6">
        <v>43922</v>
      </c>
      <c r="B39" s="4">
        <v>9614.6429999364045</v>
      </c>
      <c r="C39">
        <v>73</v>
      </c>
      <c r="D39">
        <f t="shared" si="0"/>
        <v>1038.279</v>
      </c>
      <c r="E39">
        <f t="shared" si="3"/>
        <v>31</v>
      </c>
      <c r="F39">
        <f t="shared" si="1"/>
        <v>32186.649000000001</v>
      </c>
      <c r="G39">
        <f t="shared" si="4"/>
        <v>1362136.7100000002</v>
      </c>
      <c r="H39">
        <f t="shared" si="2"/>
        <v>60474.181540999991</v>
      </c>
      <c r="I39">
        <f t="shared" si="5"/>
        <v>2447996.6951020001</v>
      </c>
    </row>
    <row r="40" spans="1:9" x14ac:dyDescent="0.3">
      <c r="A40" s="6">
        <v>43952</v>
      </c>
      <c r="B40" s="4">
        <v>9101.8860003497739</v>
      </c>
      <c r="C40">
        <v>80</v>
      </c>
      <c r="D40">
        <f t="shared" si="0"/>
        <v>1137.8400000000001</v>
      </c>
      <c r="E40">
        <f t="shared" si="3"/>
        <v>30</v>
      </c>
      <c r="F40">
        <f t="shared" si="1"/>
        <v>34135.200000000004</v>
      </c>
      <c r="G40">
        <f t="shared" si="4"/>
        <v>1396271.9100000001</v>
      </c>
      <c r="H40">
        <f t="shared" si="2"/>
        <v>57249.042565000003</v>
      </c>
      <c r="I40">
        <f t="shared" si="5"/>
        <v>2505245.7376669999</v>
      </c>
    </row>
    <row r="41" spans="1:9" x14ac:dyDescent="0.3">
      <c r="A41" s="6">
        <v>43983</v>
      </c>
      <c r="B41" s="4">
        <v>8727.4839999682026</v>
      </c>
      <c r="C41">
        <v>81</v>
      </c>
      <c r="D41">
        <f t="shared" si="0"/>
        <v>1152.0630000000001</v>
      </c>
      <c r="E41">
        <f t="shared" si="3"/>
        <v>31</v>
      </c>
      <c r="F41">
        <f t="shared" si="1"/>
        <v>35713.953000000001</v>
      </c>
      <c r="G41">
        <f t="shared" si="4"/>
        <v>1431985.8630000001</v>
      </c>
      <c r="H41">
        <f t="shared" si="2"/>
        <v>54894.128862999998</v>
      </c>
      <c r="I41">
        <f t="shared" si="5"/>
        <v>2560139.8665299998</v>
      </c>
    </row>
    <row r="42" spans="1:9" x14ac:dyDescent="0.3">
      <c r="A42" s="6">
        <v>44013</v>
      </c>
      <c r="B42" s="4">
        <v>9633.2299998410126</v>
      </c>
      <c r="C42">
        <v>80</v>
      </c>
      <c r="D42">
        <f t="shared" si="0"/>
        <v>1137.8400000000001</v>
      </c>
      <c r="E42">
        <f t="shared" si="3"/>
        <v>30</v>
      </c>
      <c r="F42">
        <f t="shared" si="1"/>
        <v>34135.200000000004</v>
      </c>
      <c r="G42">
        <f t="shared" si="4"/>
        <v>1466121.0630000001</v>
      </c>
      <c r="H42">
        <f t="shared" si="2"/>
        <v>60591.090053</v>
      </c>
      <c r="I42">
        <f t="shared" si="5"/>
        <v>2620730.9565829998</v>
      </c>
    </row>
    <row r="43" spans="1:9" x14ac:dyDescent="0.3">
      <c r="A43" s="6">
        <v>44044</v>
      </c>
      <c r="B43" s="4">
        <v>10778.922999459443</v>
      </c>
      <c r="C43">
        <v>80</v>
      </c>
      <c r="D43">
        <f t="shared" si="0"/>
        <v>1137.8400000000001</v>
      </c>
      <c r="E43">
        <f t="shared" si="3"/>
        <v>31</v>
      </c>
      <c r="F43">
        <f t="shared" si="1"/>
        <v>35273.040000000008</v>
      </c>
      <c r="G43">
        <f t="shared" si="4"/>
        <v>1501394.1030000001</v>
      </c>
      <c r="H43">
        <f t="shared" si="2"/>
        <v>67797.269881999993</v>
      </c>
      <c r="I43">
        <f t="shared" si="5"/>
        <v>2688528.2264649998</v>
      </c>
    </row>
    <row r="44" spans="1:9" x14ac:dyDescent="0.3">
      <c r="A44" s="6">
        <v>44075</v>
      </c>
      <c r="B44" s="4">
        <v>8991.8279996184301</v>
      </c>
      <c r="C44">
        <v>89</v>
      </c>
      <c r="D44">
        <f t="shared" si="0"/>
        <v>1265.847</v>
      </c>
      <c r="E44">
        <f t="shared" si="3"/>
        <v>31</v>
      </c>
      <c r="F44">
        <f t="shared" si="1"/>
        <v>39241.256999999998</v>
      </c>
      <c r="G44">
        <f t="shared" si="4"/>
        <v>1540635.36</v>
      </c>
      <c r="H44">
        <f t="shared" si="2"/>
        <v>56556.799751999999</v>
      </c>
      <c r="I44">
        <f t="shared" si="5"/>
        <v>2745085.0262169996</v>
      </c>
    </row>
    <row r="45" spans="1:9" x14ac:dyDescent="0.3">
      <c r="A45" s="6">
        <v>44105</v>
      </c>
      <c r="B45" s="4">
        <v>9695.4600001589879</v>
      </c>
      <c r="C45">
        <v>81</v>
      </c>
      <c r="D45">
        <f t="shared" si="0"/>
        <v>1152.0630000000001</v>
      </c>
      <c r="E45">
        <f t="shared" si="3"/>
        <v>30</v>
      </c>
      <c r="F45">
        <f t="shared" si="1"/>
        <v>34561.89</v>
      </c>
      <c r="G45">
        <f t="shared" si="4"/>
        <v>1575197.25</v>
      </c>
      <c r="H45">
        <f t="shared" si="2"/>
        <v>60982.504308999996</v>
      </c>
      <c r="I45">
        <f t="shared" si="5"/>
        <v>2806067.5305259996</v>
      </c>
    </row>
    <row r="46" spans="1:9" x14ac:dyDescent="0.3">
      <c r="A46" s="6">
        <v>44136</v>
      </c>
      <c r="B46" s="4">
        <v>10518.192000063595</v>
      </c>
      <c r="C46">
        <v>81</v>
      </c>
      <c r="D46">
        <f t="shared" si="0"/>
        <v>1152.0630000000001</v>
      </c>
      <c r="E46">
        <f t="shared" si="3"/>
        <v>31</v>
      </c>
      <c r="F46">
        <f t="shared" si="1"/>
        <v>35713.953000000001</v>
      </c>
      <c r="G46">
        <f t="shared" si="4"/>
        <v>1610911.203</v>
      </c>
      <c r="H46">
        <f t="shared" si="2"/>
        <v>66157.324041999993</v>
      </c>
      <c r="I46">
        <f t="shared" si="5"/>
        <v>2872224.8545679995</v>
      </c>
    </row>
    <row r="47" spans="1:9" x14ac:dyDescent="0.3">
      <c r="A47" s="6">
        <v>44166</v>
      </c>
      <c r="B47" s="4">
        <v>9613.1670002225837</v>
      </c>
      <c r="C47">
        <v>90</v>
      </c>
      <c r="D47">
        <f t="shared" si="0"/>
        <v>1280.0700000000002</v>
      </c>
      <c r="E47">
        <f t="shared" si="3"/>
        <v>30</v>
      </c>
      <c r="F47">
        <f t="shared" si="1"/>
        <v>38402.100000000006</v>
      </c>
      <c r="G47">
        <f t="shared" si="4"/>
        <v>1649313.3030000001</v>
      </c>
      <c r="H47">
        <f t="shared" si="2"/>
        <v>60464.897798000005</v>
      </c>
      <c r="I47">
        <f t="shared" si="5"/>
        <v>2932689.7523659994</v>
      </c>
    </row>
    <row r="48" spans="1:9" x14ac:dyDescent="0.3">
      <c r="A48" s="6">
        <v>44197</v>
      </c>
      <c r="B48" s="4">
        <v>8461.7059995548352</v>
      </c>
      <c r="C48">
        <v>90</v>
      </c>
      <c r="D48">
        <f t="shared" si="0"/>
        <v>1280.0700000000002</v>
      </c>
      <c r="E48">
        <f t="shared" si="3"/>
        <v>31</v>
      </c>
      <c r="F48">
        <f t="shared" si="1"/>
        <v>39682.170000000006</v>
      </c>
      <c r="G48">
        <f t="shared" si="4"/>
        <v>1688995.473</v>
      </c>
      <c r="H48">
        <f t="shared" si="2"/>
        <v>53222.438395999998</v>
      </c>
      <c r="I48">
        <f t="shared" si="5"/>
        <v>2985912.1907619992</v>
      </c>
    </row>
    <row r="49" spans="1:9" x14ac:dyDescent="0.3">
      <c r="A49" s="6">
        <v>44228</v>
      </c>
      <c r="B49" s="4">
        <v>7465.9999995230382</v>
      </c>
      <c r="C49">
        <v>86</v>
      </c>
      <c r="D49">
        <f t="shared" si="0"/>
        <v>1223.1780000000001</v>
      </c>
      <c r="E49">
        <f t="shared" si="3"/>
        <v>31</v>
      </c>
      <c r="F49">
        <f t="shared" si="1"/>
        <v>37918.518000000004</v>
      </c>
      <c r="G49">
        <f t="shared" si="4"/>
        <v>1726913.9909999999</v>
      </c>
      <c r="H49">
        <f t="shared" si="2"/>
        <v>46959.646797000001</v>
      </c>
      <c r="I49">
        <f t="shared" si="5"/>
        <v>3032871.8375589992</v>
      </c>
    </row>
    <row r="50" spans="1:9" x14ac:dyDescent="0.3">
      <c r="A50" s="6">
        <v>44256</v>
      </c>
      <c r="B50" s="4">
        <v>8625.9389998092156</v>
      </c>
      <c r="C50">
        <v>89</v>
      </c>
      <c r="D50">
        <f t="shared" si="0"/>
        <v>1265.847</v>
      </c>
      <c r="E50">
        <f t="shared" si="3"/>
        <v>28</v>
      </c>
      <c r="F50">
        <f t="shared" si="1"/>
        <v>35443.716</v>
      </c>
      <c r="G50">
        <f t="shared" si="4"/>
        <v>1762357.7069999999</v>
      </c>
      <c r="H50">
        <f t="shared" si="2"/>
        <v>54255.431121000001</v>
      </c>
      <c r="I50">
        <f t="shared" si="5"/>
        <v>3087127.2686799993</v>
      </c>
    </row>
    <row r="51" spans="1:9" x14ac:dyDescent="0.3">
      <c r="A51" s="6">
        <v>44287</v>
      </c>
      <c r="B51" s="4">
        <v>3890.6269995866328</v>
      </c>
      <c r="C51">
        <v>89</v>
      </c>
      <c r="D51">
        <f t="shared" si="0"/>
        <v>1265.847</v>
      </c>
      <c r="E51">
        <f t="shared" si="3"/>
        <v>31</v>
      </c>
      <c r="F51">
        <f t="shared" si="1"/>
        <v>39241.256999999998</v>
      </c>
      <c r="G51">
        <f t="shared" si="4"/>
        <v>1801598.9639999999</v>
      </c>
      <c r="H51">
        <f t="shared" si="2"/>
        <v>24471.265702000001</v>
      </c>
      <c r="I51">
        <f t="shared" si="5"/>
        <v>3111598.5343819992</v>
      </c>
    </row>
    <row r="52" spans="1:9" x14ac:dyDescent="0.3">
      <c r="A52" s="6">
        <v>44317</v>
      </c>
      <c r="B52" s="4">
        <v>2578.4330002543802</v>
      </c>
      <c r="C52">
        <v>89</v>
      </c>
      <c r="D52">
        <f t="shared" si="0"/>
        <v>1265.847</v>
      </c>
      <c r="E52">
        <f t="shared" si="3"/>
        <v>30</v>
      </c>
      <c r="F52">
        <f t="shared" si="1"/>
        <v>37975.409999999996</v>
      </c>
      <c r="G52">
        <f t="shared" si="4"/>
        <v>1839574.3739999998</v>
      </c>
      <c r="H52">
        <f t="shared" si="2"/>
        <v>16217.827884999999</v>
      </c>
      <c r="I52">
        <f t="shared" si="5"/>
        <v>3127816.3622669992</v>
      </c>
    </row>
    <row r="53" spans="1:9" x14ac:dyDescent="0.3">
      <c r="A53" s="6">
        <v>44348</v>
      </c>
      <c r="B53" s="4">
        <v>5359.0610000317984</v>
      </c>
      <c r="C53">
        <v>89</v>
      </c>
      <c r="D53">
        <f t="shared" si="0"/>
        <v>1265.847</v>
      </c>
      <c r="E53">
        <f t="shared" si="3"/>
        <v>31</v>
      </c>
      <c r="F53">
        <f t="shared" si="1"/>
        <v>39241.256999999998</v>
      </c>
      <c r="G53">
        <f t="shared" si="4"/>
        <v>1878815.6309999998</v>
      </c>
      <c r="H53">
        <f t="shared" si="2"/>
        <v>33707.421878000001</v>
      </c>
      <c r="I53">
        <f t="shared" si="5"/>
        <v>3161523.784144999</v>
      </c>
    </row>
    <row r="54" spans="1:9" x14ac:dyDescent="0.3">
      <c r="A54" s="6">
        <v>44378</v>
      </c>
      <c r="B54" s="4">
        <v>7420.0570000635953</v>
      </c>
      <c r="C54">
        <v>91</v>
      </c>
      <c r="D54">
        <f t="shared" si="0"/>
        <v>1294.2930000000001</v>
      </c>
      <c r="E54">
        <f t="shared" si="3"/>
        <v>30</v>
      </c>
      <c r="F54">
        <f t="shared" si="1"/>
        <v>38828.79</v>
      </c>
      <c r="G54">
        <f t="shared" si="4"/>
        <v>1917644.4209999999</v>
      </c>
      <c r="H54">
        <f t="shared" si="2"/>
        <v>46670.674519</v>
      </c>
      <c r="I54">
        <f t="shared" si="5"/>
        <v>3208194.4586639991</v>
      </c>
    </row>
    <row r="55" spans="1:9" x14ac:dyDescent="0.3">
      <c r="A55" s="6">
        <v>44409</v>
      </c>
      <c r="B55" s="4">
        <v>7570.8400004769628</v>
      </c>
      <c r="C55">
        <v>82</v>
      </c>
      <c r="D55">
        <f t="shared" si="0"/>
        <v>1166.2860000000001</v>
      </c>
      <c r="E55">
        <f t="shared" si="3"/>
        <v>31</v>
      </c>
      <c r="F55">
        <f t="shared" si="1"/>
        <v>36154.866000000002</v>
      </c>
      <c r="G55">
        <f t="shared" si="4"/>
        <v>1953799.2869999998</v>
      </c>
      <c r="H55">
        <f t="shared" si="2"/>
        <v>47619.069434999998</v>
      </c>
      <c r="I55">
        <f t="shared" si="5"/>
        <v>3255813.5280989991</v>
      </c>
    </row>
    <row r="56" spans="1:9" x14ac:dyDescent="0.3">
      <c r="A56" s="6">
        <v>44440</v>
      </c>
      <c r="B56" s="4">
        <v>5358.4750003179761</v>
      </c>
      <c r="C56">
        <v>82</v>
      </c>
      <c r="D56">
        <f t="shared" si="0"/>
        <v>1166.2860000000001</v>
      </c>
      <c r="E56">
        <f t="shared" si="3"/>
        <v>31</v>
      </c>
      <c r="F56">
        <f t="shared" si="1"/>
        <v>36154.866000000002</v>
      </c>
      <c r="G56">
        <f t="shared" si="4"/>
        <v>1989954.1529999997</v>
      </c>
      <c r="H56">
        <f t="shared" si="2"/>
        <v>33703.736057000002</v>
      </c>
      <c r="I56">
        <f t="shared" si="5"/>
        <v>3289517.2641559988</v>
      </c>
    </row>
    <row r="57" spans="1:9" x14ac:dyDescent="0.3">
      <c r="A57" s="6">
        <v>44470</v>
      </c>
      <c r="B57" s="4">
        <v>5037.9679999364052</v>
      </c>
      <c r="C57">
        <v>82</v>
      </c>
      <c r="D57">
        <f t="shared" si="0"/>
        <v>1166.2860000000001</v>
      </c>
      <c r="E57">
        <f t="shared" si="3"/>
        <v>30</v>
      </c>
      <c r="F57">
        <f t="shared" si="1"/>
        <v>34988.58</v>
      </c>
      <c r="G57">
        <f t="shared" si="4"/>
        <v>2024942.7329999998</v>
      </c>
      <c r="H57">
        <f t="shared" si="2"/>
        <v>31687.811126000001</v>
      </c>
      <c r="I57">
        <f t="shared" si="5"/>
        <v>3321205.0752819986</v>
      </c>
    </row>
    <row r="58" spans="1:9" x14ac:dyDescent="0.3">
      <c r="A58" s="6">
        <v>44501</v>
      </c>
      <c r="B58" s="4">
        <v>5102.0200000000004</v>
      </c>
      <c r="C58">
        <v>82</v>
      </c>
      <c r="D58">
        <f t="shared" si="0"/>
        <v>1166.2860000000001</v>
      </c>
      <c r="E58">
        <f t="shared" si="3"/>
        <v>31</v>
      </c>
      <c r="F58">
        <f t="shared" si="1"/>
        <v>36154.866000000002</v>
      </c>
      <c r="G58">
        <f t="shared" si="4"/>
        <v>2061097.5989999997</v>
      </c>
      <c r="H58">
        <f t="shared" si="2"/>
        <v>32090.685396000001</v>
      </c>
      <c r="I58">
        <f t="shared" si="5"/>
        <v>3353295.7606779984</v>
      </c>
    </row>
    <row r="59" spans="1:9" x14ac:dyDescent="0.3">
      <c r="A59" s="6">
        <v>44531</v>
      </c>
      <c r="B59" s="4">
        <v>3350.9679999364052</v>
      </c>
      <c r="C59">
        <v>82</v>
      </c>
      <c r="D59">
        <f t="shared" si="0"/>
        <v>1166.2860000000001</v>
      </c>
      <c r="E59">
        <f t="shared" si="3"/>
        <v>30</v>
      </c>
      <c r="F59">
        <f t="shared" si="1"/>
        <v>34988.58</v>
      </c>
      <c r="G59">
        <f t="shared" si="4"/>
        <v>2096086.1789999998</v>
      </c>
      <c r="H59">
        <f t="shared" si="2"/>
        <v>21076.918526000001</v>
      </c>
      <c r="I59">
        <f t="shared" si="5"/>
        <v>3374372.6792039983</v>
      </c>
    </row>
    <row r="60" spans="1:9" x14ac:dyDescent="0.3">
      <c r="A60" s="6">
        <v>44562</v>
      </c>
      <c r="B60" s="4">
        <v>8017.2750003179763</v>
      </c>
      <c r="C60">
        <v>82</v>
      </c>
      <c r="D60">
        <f t="shared" si="0"/>
        <v>1166.2860000000001</v>
      </c>
      <c r="E60">
        <f t="shared" si="3"/>
        <v>31</v>
      </c>
      <c r="F60">
        <f t="shared" si="1"/>
        <v>36154.866000000002</v>
      </c>
      <c r="G60">
        <f t="shared" si="4"/>
        <v>2132241.0449999999</v>
      </c>
      <c r="H60">
        <f t="shared" si="2"/>
        <v>50427.056297000003</v>
      </c>
      <c r="I60">
        <f t="shared" si="5"/>
        <v>3424799.7355009983</v>
      </c>
    </row>
    <row r="61" spans="1:9" x14ac:dyDescent="0.3">
      <c r="A61" s="6">
        <v>44593</v>
      </c>
      <c r="B61" s="4">
        <v>7356.1130002543814</v>
      </c>
      <c r="C61">
        <v>82</v>
      </c>
      <c r="D61">
        <f t="shared" si="0"/>
        <v>1166.2860000000001</v>
      </c>
      <c r="E61">
        <f t="shared" si="3"/>
        <v>31</v>
      </c>
      <c r="F61">
        <f t="shared" si="1"/>
        <v>36154.866000000002</v>
      </c>
      <c r="G61">
        <f t="shared" si="4"/>
        <v>2168395.9109999998</v>
      </c>
      <c r="H61">
        <f t="shared" si="2"/>
        <v>46268.479549000003</v>
      </c>
      <c r="I61">
        <f t="shared" si="5"/>
        <v>3471068.2150499984</v>
      </c>
    </row>
    <row r="62" spans="1:9" x14ac:dyDescent="0.3">
      <c r="A62" s="6">
        <v>44621</v>
      </c>
      <c r="B62" s="4">
        <v>8162.52899949124</v>
      </c>
      <c r="C62">
        <v>82</v>
      </c>
      <c r="D62">
        <f t="shared" si="0"/>
        <v>1166.2860000000001</v>
      </c>
      <c r="E62">
        <f t="shared" si="3"/>
        <v>28</v>
      </c>
      <c r="F62">
        <f t="shared" si="1"/>
        <v>32656.008000000002</v>
      </c>
      <c r="G62">
        <f t="shared" si="4"/>
        <v>2201051.9189999998</v>
      </c>
      <c r="H62">
        <f t="shared" si="2"/>
        <v>51340.674900999998</v>
      </c>
      <c r="I62">
        <f t="shared" si="5"/>
        <v>3522408.8899509986</v>
      </c>
    </row>
    <row r="63" spans="1:9" x14ac:dyDescent="0.3">
      <c r="A63" s="6">
        <v>44652</v>
      </c>
      <c r="B63" s="4">
        <v>4958.3989999682026</v>
      </c>
      <c r="C63">
        <v>82</v>
      </c>
      <c r="D63">
        <f t="shared" si="0"/>
        <v>1166.2860000000001</v>
      </c>
      <c r="E63">
        <f t="shared" si="3"/>
        <v>31</v>
      </c>
      <c r="F63">
        <f t="shared" si="1"/>
        <v>36154.866000000002</v>
      </c>
      <c r="G63">
        <f t="shared" si="4"/>
        <v>2237206.7849999997</v>
      </c>
      <c r="H63">
        <f t="shared" si="2"/>
        <v>31187.338029999999</v>
      </c>
      <c r="I63">
        <f t="shared" si="5"/>
        <v>3553596.2279809988</v>
      </c>
    </row>
    <row r="64" spans="1:9" x14ac:dyDescent="0.3">
      <c r="A64" s="6">
        <v>44682</v>
      </c>
      <c r="B64" s="4">
        <v>7855.3490007631408</v>
      </c>
      <c r="C64">
        <v>82</v>
      </c>
      <c r="D64">
        <f t="shared" si="0"/>
        <v>1166.2860000000001</v>
      </c>
      <c r="E64">
        <f t="shared" si="3"/>
        <v>30</v>
      </c>
      <c r="F64">
        <f t="shared" si="1"/>
        <v>34988.58</v>
      </c>
      <c r="G64">
        <f t="shared" si="4"/>
        <v>2272195.3649999998</v>
      </c>
      <c r="H64">
        <f t="shared" si="2"/>
        <v>49408.574144999999</v>
      </c>
      <c r="I64">
        <f t="shared" si="5"/>
        <v>3603004.8021259988</v>
      </c>
    </row>
    <row r="65" spans="1:9" x14ac:dyDescent="0.3">
      <c r="A65" s="6">
        <v>44713</v>
      </c>
      <c r="B65" s="4">
        <v>7964.2319997456207</v>
      </c>
      <c r="C65">
        <v>82</v>
      </c>
      <c r="D65">
        <f t="shared" si="0"/>
        <v>1166.2860000000001</v>
      </c>
      <c r="E65">
        <f t="shared" si="3"/>
        <v>31</v>
      </c>
      <c r="F65">
        <f t="shared" si="1"/>
        <v>36154.866000000002</v>
      </c>
      <c r="G65">
        <f t="shared" si="4"/>
        <v>2308350.2309999997</v>
      </c>
      <c r="H65">
        <f t="shared" si="2"/>
        <v>50093.426432</v>
      </c>
      <c r="I65">
        <f t="shared" si="5"/>
        <v>3653098.2285579988</v>
      </c>
    </row>
    <row r="66" spans="1:9" x14ac:dyDescent="0.3">
      <c r="A66" s="6">
        <v>44743</v>
      </c>
      <c r="B66" s="4">
        <v>7432.9250001589871</v>
      </c>
      <c r="C66">
        <v>82</v>
      </c>
      <c r="D66">
        <f t="shared" si="0"/>
        <v>1166.2860000000001</v>
      </c>
      <c r="E66">
        <f t="shared" si="3"/>
        <v>30</v>
      </c>
      <c r="F66">
        <f t="shared" si="1"/>
        <v>34988.58</v>
      </c>
      <c r="G66">
        <f t="shared" si="4"/>
        <v>2343338.8109999998</v>
      </c>
      <c r="H66">
        <f t="shared" si="2"/>
        <v>46751.611665999997</v>
      </c>
      <c r="I66">
        <f t="shared" si="5"/>
        <v>3699849.8402239988</v>
      </c>
    </row>
    <row r="67" spans="1:9" x14ac:dyDescent="0.3">
      <c r="A67" s="6">
        <v>44774</v>
      </c>
      <c r="B67" s="4">
        <v>8182.3279996184301</v>
      </c>
      <c r="C67">
        <v>82</v>
      </c>
      <c r="D67">
        <f t="shared" ref="D67:D103" si="6">14.223*C67</f>
        <v>1166.2860000000001</v>
      </c>
      <c r="E67">
        <f t="shared" si="3"/>
        <v>31</v>
      </c>
      <c r="F67">
        <f t="shared" ref="F67:F103" si="7">D67*E67</f>
        <v>36154.866000000002</v>
      </c>
      <c r="G67">
        <f t="shared" si="4"/>
        <v>2379493.6769999997</v>
      </c>
      <c r="H67">
        <f t="shared" ref="H67:H103" si="8">6.2898*B67</f>
        <v>51465.206652000001</v>
      </c>
      <c r="I67">
        <f t="shared" si="5"/>
        <v>3751315.0468759988</v>
      </c>
    </row>
    <row r="68" spans="1:9" x14ac:dyDescent="0.3">
      <c r="A68" s="6">
        <v>44805</v>
      </c>
      <c r="B68" s="4">
        <v>7879.37900012719</v>
      </c>
      <c r="C68">
        <v>82</v>
      </c>
      <c r="D68">
        <f t="shared" si="6"/>
        <v>1166.2860000000001</v>
      </c>
      <c r="E68">
        <f t="shared" ref="E68:E103" si="9">A68-A67</f>
        <v>31</v>
      </c>
      <c r="F68">
        <f t="shared" si="7"/>
        <v>36154.866000000002</v>
      </c>
      <c r="G68">
        <f t="shared" ref="G68:G103" si="10">G67+F68</f>
        <v>2415648.5429999996</v>
      </c>
      <c r="H68">
        <f t="shared" si="8"/>
        <v>49559.718034999998</v>
      </c>
      <c r="I68">
        <f t="shared" ref="I68:I103" si="11">I67+H68</f>
        <v>3800874.7649109988</v>
      </c>
    </row>
    <row r="69" spans="1:9" x14ac:dyDescent="0.3">
      <c r="A69" s="6">
        <v>44835</v>
      </c>
      <c r="B69" s="4">
        <v>5844.546000031798</v>
      </c>
      <c r="C69">
        <v>79</v>
      </c>
      <c r="D69">
        <f t="shared" si="6"/>
        <v>1123.617</v>
      </c>
      <c r="E69">
        <f t="shared" si="9"/>
        <v>30</v>
      </c>
      <c r="F69">
        <f t="shared" si="7"/>
        <v>33708.51</v>
      </c>
      <c r="G69">
        <f t="shared" si="10"/>
        <v>2449357.0529999994</v>
      </c>
      <c r="H69">
        <f t="shared" si="8"/>
        <v>36761.025431000002</v>
      </c>
      <c r="I69">
        <f t="shared" si="11"/>
        <v>3837635.7903419989</v>
      </c>
    </row>
    <row r="70" spans="1:9" x14ac:dyDescent="0.3">
      <c r="A70" s="6">
        <v>44866</v>
      </c>
      <c r="B70" s="4">
        <v>2763.3630000953926</v>
      </c>
      <c r="C70">
        <v>79</v>
      </c>
      <c r="D70">
        <f t="shared" si="6"/>
        <v>1123.617</v>
      </c>
      <c r="E70">
        <f t="shared" si="9"/>
        <v>31</v>
      </c>
      <c r="F70">
        <f t="shared" si="7"/>
        <v>34832.127</v>
      </c>
      <c r="G70">
        <f t="shared" si="10"/>
        <v>2484189.1799999992</v>
      </c>
      <c r="H70">
        <f t="shared" si="8"/>
        <v>17381.000597999999</v>
      </c>
      <c r="I70">
        <f t="shared" si="11"/>
        <v>3855016.7909399988</v>
      </c>
    </row>
    <row r="71" spans="1:9" x14ac:dyDescent="0.3">
      <c r="A71" s="6">
        <v>44896</v>
      </c>
      <c r="B71" s="4">
        <v>3552.2200004769625</v>
      </c>
      <c r="C71">
        <v>79</v>
      </c>
      <c r="D71">
        <f t="shared" si="6"/>
        <v>1123.617</v>
      </c>
      <c r="E71">
        <f t="shared" si="9"/>
        <v>30</v>
      </c>
      <c r="F71">
        <f t="shared" si="7"/>
        <v>33708.51</v>
      </c>
      <c r="G71">
        <f t="shared" si="10"/>
        <v>2517897.689999999</v>
      </c>
      <c r="H71">
        <f t="shared" si="8"/>
        <v>22342.753358999998</v>
      </c>
      <c r="I71">
        <f t="shared" si="11"/>
        <v>3877359.544298999</v>
      </c>
    </row>
    <row r="72" spans="1:9" x14ac:dyDescent="0.3">
      <c r="A72" s="6">
        <v>44927</v>
      </c>
      <c r="B72" s="4">
        <v>4042.7189999682028</v>
      </c>
      <c r="C72">
        <v>79</v>
      </c>
      <c r="D72">
        <f t="shared" si="6"/>
        <v>1123.617</v>
      </c>
      <c r="E72">
        <f t="shared" si="9"/>
        <v>31</v>
      </c>
      <c r="F72">
        <f t="shared" si="7"/>
        <v>34832.127</v>
      </c>
      <c r="G72">
        <f t="shared" si="10"/>
        <v>2552729.8169999989</v>
      </c>
      <c r="H72">
        <f t="shared" si="8"/>
        <v>25427.893966</v>
      </c>
      <c r="I72">
        <f t="shared" si="11"/>
        <v>3902787.4382649991</v>
      </c>
    </row>
    <row r="73" spans="1:9" x14ac:dyDescent="0.3">
      <c r="A73" s="6">
        <v>44958</v>
      </c>
      <c r="B73" s="4">
        <v>2361.8189999682027</v>
      </c>
      <c r="C73" s="7">
        <v>78.99880475286507</v>
      </c>
      <c r="D73">
        <f t="shared" si="6"/>
        <v>1123.5999999999999</v>
      </c>
      <c r="E73">
        <f t="shared" si="9"/>
        <v>31</v>
      </c>
      <c r="F73">
        <f t="shared" si="7"/>
        <v>34831.599999999999</v>
      </c>
      <c r="G73">
        <f t="shared" si="10"/>
        <v>2587561.416999999</v>
      </c>
      <c r="H73">
        <f t="shared" si="8"/>
        <v>14855.369146000001</v>
      </c>
      <c r="I73">
        <f t="shared" si="11"/>
        <v>3917642.8074109992</v>
      </c>
    </row>
    <row r="74" spans="1:9" x14ac:dyDescent="0.3">
      <c r="A74" s="6">
        <v>44986</v>
      </c>
      <c r="B74" s="4">
        <v>4293.4690001271902</v>
      </c>
      <c r="C74" s="7">
        <v>82.999367222105036</v>
      </c>
      <c r="D74">
        <f t="shared" si="6"/>
        <v>1180.5</v>
      </c>
      <c r="E74">
        <f t="shared" si="9"/>
        <v>28</v>
      </c>
      <c r="F74">
        <f t="shared" si="7"/>
        <v>33054</v>
      </c>
      <c r="G74">
        <f t="shared" si="10"/>
        <v>2620615.416999999</v>
      </c>
      <c r="H74">
        <f t="shared" si="8"/>
        <v>27005.061317</v>
      </c>
      <c r="I74">
        <f t="shared" si="11"/>
        <v>3944647.8687279993</v>
      </c>
    </row>
    <row r="75" spans="1:9" x14ac:dyDescent="0.3">
      <c r="A75" s="6">
        <v>45017</v>
      </c>
      <c r="B75" s="4">
        <v>8285.3600004769633</v>
      </c>
      <c r="C75" s="7">
        <v>83.997750123040149</v>
      </c>
      <c r="D75">
        <f t="shared" si="6"/>
        <v>1194.7</v>
      </c>
      <c r="E75">
        <f t="shared" si="9"/>
        <v>31</v>
      </c>
      <c r="F75">
        <f t="shared" si="7"/>
        <v>37035.700000000004</v>
      </c>
      <c r="G75">
        <f t="shared" si="10"/>
        <v>2657651.1169999992</v>
      </c>
      <c r="H75">
        <f t="shared" si="8"/>
        <v>52113.257331000001</v>
      </c>
      <c r="I75">
        <f t="shared" si="11"/>
        <v>3996761.1260589994</v>
      </c>
    </row>
    <row r="76" spans="1:9" x14ac:dyDescent="0.3">
      <c r="A76" s="6">
        <v>45047</v>
      </c>
      <c r="B76" s="4">
        <v>8697.2289996502277</v>
      </c>
      <c r="C76" s="7">
        <v>84</v>
      </c>
      <c r="D76">
        <f t="shared" si="6"/>
        <v>1194.732</v>
      </c>
      <c r="E76">
        <f t="shared" si="9"/>
        <v>30</v>
      </c>
      <c r="F76">
        <f t="shared" si="7"/>
        <v>35841.96</v>
      </c>
      <c r="G76">
        <f t="shared" si="10"/>
        <v>2693493.0769999991</v>
      </c>
      <c r="H76">
        <f t="shared" si="8"/>
        <v>54703.830962</v>
      </c>
      <c r="I76">
        <f t="shared" si="11"/>
        <v>4051464.9570209994</v>
      </c>
    </row>
    <row r="77" spans="1:9" x14ac:dyDescent="0.3">
      <c r="A77" s="6">
        <v>45078</v>
      </c>
      <c r="B77" s="4">
        <v>7801.7770000635946</v>
      </c>
      <c r="C77" s="7">
        <v>90.065387049145741</v>
      </c>
      <c r="D77">
        <f t="shared" si="6"/>
        <v>1281</v>
      </c>
      <c r="E77">
        <f t="shared" si="9"/>
        <v>31</v>
      </c>
      <c r="F77">
        <f t="shared" si="7"/>
        <v>39711</v>
      </c>
      <c r="G77">
        <f t="shared" si="10"/>
        <v>2733204.0769999991</v>
      </c>
      <c r="H77">
        <f t="shared" si="8"/>
        <v>49071.616974999997</v>
      </c>
      <c r="I77">
        <f t="shared" si="11"/>
        <v>4100536.5739959995</v>
      </c>
    </row>
    <row r="78" spans="1:9" x14ac:dyDescent="0.3">
      <c r="A78" s="6">
        <v>45108</v>
      </c>
      <c r="B78" s="4">
        <v>0</v>
      </c>
      <c r="D78">
        <f t="shared" si="6"/>
        <v>0</v>
      </c>
      <c r="E78">
        <f t="shared" si="9"/>
        <v>30</v>
      </c>
      <c r="F78">
        <f t="shared" si="7"/>
        <v>0</v>
      </c>
      <c r="G78">
        <f t="shared" si="10"/>
        <v>2733204.0769999991</v>
      </c>
      <c r="H78">
        <f t="shared" si="8"/>
        <v>0</v>
      </c>
      <c r="I78">
        <f t="shared" si="11"/>
        <v>4100536.5739959995</v>
      </c>
    </row>
    <row r="79" spans="1:9" x14ac:dyDescent="0.3">
      <c r="A79" s="6">
        <v>45139</v>
      </c>
      <c r="B79" s="4">
        <v>2823.8229999364053</v>
      </c>
      <c r="C79" s="7">
        <v>90</v>
      </c>
      <c r="D79">
        <f t="shared" si="6"/>
        <v>1280.0700000000002</v>
      </c>
      <c r="E79">
        <f t="shared" si="9"/>
        <v>31</v>
      </c>
      <c r="F79">
        <f t="shared" si="7"/>
        <v>39682.170000000006</v>
      </c>
      <c r="G79">
        <f t="shared" si="10"/>
        <v>2772886.246999999</v>
      </c>
      <c r="H79">
        <f t="shared" si="8"/>
        <v>17761.281905</v>
      </c>
      <c r="I79">
        <f t="shared" si="11"/>
        <v>4118297.8559009996</v>
      </c>
    </row>
    <row r="80" spans="1:9" x14ac:dyDescent="0.3">
      <c r="A80" s="6">
        <v>45170</v>
      </c>
      <c r="B80" s="4">
        <v>8535.2069997456201</v>
      </c>
      <c r="C80" s="7">
        <v>48.020811361878643</v>
      </c>
      <c r="D80">
        <f t="shared" si="6"/>
        <v>683</v>
      </c>
      <c r="E80">
        <f t="shared" si="9"/>
        <v>31</v>
      </c>
      <c r="F80">
        <f t="shared" si="7"/>
        <v>21173</v>
      </c>
      <c r="G80">
        <f t="shared" si="10"/>
        <v>2794059.246999999</v>
      </c>
      <c r="H80">
        <f t="shared" si="8"/>
        <v>53684.744986999998</v>
      </c>
      <c r="I80">
        <f t="shared" si="11"/>
        <v>4171982.6008879994</v>
      </c>
    </row>
    <row r="81" spans="1:9" x14ac:dyDescent="0.3">
      <c r="A81" s="6">
        <v>45200</v>
      </c>
      <c r="B81" s="4">
        <v>8291.4749998410134</v>
      </c>
      <c r="C81" s="7">
        <v>91.998875061520067</v>
      </c>
      <c r="D81">
        <f t="shared" si="6"/>
        <v>1308.5</v>
      </c>
      <c r="E81">
        <f t="shared" si="9"/>
        <v>30</v>
      </c>
      <c r="F81">
        <f t="shared" si="7"/>
        <v>39255</v>
      </c>
      <c r="G81">
        <f t="shared" si="10"/>
        <v>2833314.246999999</v>
      </c>
      <c r="H81">
        <f t="shared" si="8"/>
        <v>52151.719454000005</v>
      </c>
      <c r="I81">
        <f t="shared" si="11"/>
        <v>4224134.3203419996</v>
      </c>
    </row>
    <row r="82" spans="1:9" x14ac:dyDescent="0.3">
      <c r="A82" s="6">
        <v>45231</v>
      </c>
      <c r="B82" s="4">
        <v>10048.782000222584</v>
      </c>
      <c r="C82" s="7">
        <v>98.080573718624763</v>
      </c>
      <c r="D82">
        <f t="shared" si="6"/>
        <v>1395</v>
      </c>
      <c r="E82">
        <f t="shared" si="9"/>
        <v>31</v>
      </c>
      <c r="F82">
        <f t="shared" si="7"/>
        <v>43245</v>
      </c>
      <c r="G82">
        <f t="shared" si="10"/>
        <v>2876559.246999999</v>
      </c>
      <c r="H82">
        <f t="shared" si="8"/>
        <v>63204.829024999999</v>
      </c>
      <c r="I82">
        <f t="shared" si="11"/>
        <v>4287339.149367</v>
      </c>
    </row>
    <row r="83" spans="1:9" x14ac:dyDescent="0.3">
      <c r="A83" s="6">
        <v>45261</v>
      </c>
      <c r="B83" s="4">
        <v>10705.384999841013</v>
      </c>
      <c r="C83" s="7">
        <v>98</v>
      </c>
      <c r="D83">
        <f t="shared" si="6"/>
        <v>1393.854</v>
      </c>
      <c r="E83">
        <f t="shared" si="9"/>
        <v>30</v>
      </c>
      <c r="F83">
        <f t="shared" si="7"/>
        <v>41815.620000000003</v>
      </c>
      <c r="G83">
        <f t="shared" si="10"/>
        <v>2918374.8669999992</v>
      </c>
      <c r="H83">
        <f t="shared" si="8"/>
        <v>67334.730572</v>
      </c>
      <c r="I83">
        <f t="shared" si="11"/>
        <v>4354673.8799390001</v>
      </c>
    </row>
    <row r="84" spans="1:9" x14ac:dyDescent="0.3">
      <c r="A84" s="6">
        <v>45292</v>
      </c>
      <c r="B84" s="4">
        <v>10438.949000286177</v>
      </c>
      <c r="C84" s="7">
        <v>98</v>
      </c>
      <c r="D84">
        <f t="shared" si="6"/>
        <v>1393.854</v>
      </c>
      <c r="E84">
        <f t="shared" si="9"/>
        <v>31</v>
      </c>
      <c r="F84">
        <f t="shared" si="7"/>
        <v>43209.474000000002</v>
      </c>
      <c r="G84">
        <f t="shared" si="10"/>
        <v>2961584.3409999991</v>
      </c>
      <c r="H84">
        <f t="shared" si="8"/>
        <v>65658.901421999995</v>
      </c>
      <c r="I84">
        <f t="shared" si="11"/>
        <v>4420332.7813609997</v>
      </c>
    </row>
    <row r="85" spans="1:9" x14ac:dyDescent="0.3">
      <c r="A85" s="6">
        <v>45323</v>
      </c>
      <c r="B85" s="4">
        <v>9515.4119997456219</v>
      </c>
      <c r="C85" s="7">
        <v>80</v>
      </c>
      <c r="D85">
        <f t="shared" si="6"/>
        <v>1137.8400000000001</v>
      </c>
      <c r="E85">
        <f t="shared" si="9"/>
        <v>31</v>
      </c>
      <c r="F85">
        <f t="shared" si="7"/>
        <v>35273.040000000008</v>
      </c>
      <c r="G85">
        <f t="shared" si="10"/>
        <v>2996857.3809999991</v>
      </c>
      <c r="H85">
        <f t="shared" si="8"/>
        <v>59850.038396000011</v>
      </c>
      <c r="I85">
        <f t="shared" si="11"/>
        <v>4480182.8197569996</v>
      </c>
    </row>
    <row r="86" spans="1:9" x14ac:dyDescent="0.3">
      <c r="A86" s="6">
        <v>45352</v>
      </c>
      <c r="B86" s="4">
        <v>9987.8242157055229</v>
      </c>
      <c r="C86" s="7">
        <v>80</v>
      </c>
      <c r="D86">
        <f t="shared" si="6"/>
        <v>1137.8400000000001</v>
      </c>
      <c r="E86">
        <f t="shared" si="9"/>
        <v>29</v>
      </c>
      <c r="F86">
        <f t="shared" si="7"/>
        <v>32997.360000000001</v>
      </c>
      <c r="G86">
        <f t="shared" si="10"/>
        <v>3029854.740999999</v>
      </c>
      <c r="H86">
        <f t="shared" si="8"/>
        <v>62821.416751944591</v>
      </c>
      <c r="I86">
        <f t="shared" si="11"/>
        <v>4543004.2365089441</v>
      </c>
    </row>
    <row r="87" spans="1:9" x14ac:dyDescent="0.3">
      <c r="A87" s="6">
        <v>45383</v>
      </c>
      <c r="B87" s="4">
        <v>9154.6636168502537</v>
      </c>
      <c r="C87" s="7">
        <v>79.969075063255545</v>
      </c>
      <c r="D87">
        <f t="shared" si="6"/>
        <v>1137.4001546246836</v>
      </c>
      <c r="E87">
        <f t="shared" si="9"/>
        <v>31</v>
      </c>
      <c r="F87">
        <f t="shared" si="7"/>
        <v>35259.404793365189</v>
      </c>
      <c r="G87">
        <f t="shared" si="10"/>
        <v>3065114.1457933644</v>
      </c>
      <c r="H87">
        <f t="shared" si="8"/>
        <v>57581.003217264719</v>
      </c>
      <c r="I87">
        <f t="shared" si="11"/>
        <v>4600585.2397262091</v>
      </c>
    </row>
    <row r="88" spans="1:9" x14ac:dyDescent="0.3">
      <c r="A88" s="6">
        <v>45413</v>
      </c>
      <c r="B88" s="4">
        <v>9353.8609997138228</v>
      </c>
      <c r="C88" s="7">
        <v>79.969075063255545</v>
      </c>
      <c r="D88">
        <f t="shared" si="6"/>
        <v>1137.4001546246836</v>
      </c>
      <c r="E88">
        <f t="shared" si="9"/>
        <v>30</v>
      </c>
      <c r="F88">
        <f t="shared" si="7"/>
        <v>34122.004638740509</v>
      </c>
      <c r="G88">
        <f t="shared" si="10"/>
        <v>3099236.1504321047</v>
      </c>
      <c r="H88">
        <f t="shared" si="8"/>
        <v>58833.914916000002</v>
      </c>
      <c r="I88">
        <f t="shared" si="11"/>
        <v>4659419.1546422094</v>
      </c>
    </row>
    <row r="89" spans="1:9" x14ac:dyDescent="0.3">
      <c r="A89" s="6">
        <v>45444</v>
      </c>
      <c r="B89" s="4">
        <v>7484.0660000317976</v>
      </c>
      <c r="C89" s="7">
        <v>87.995501827382625</v>
      </c>
      <c r="D89">
        <f t="shared" si="6"/>
        <v>1251.560022490863</v>
      </c>
      <c r="E89">
        <f t="shared" si="9"/>
        <v>31</v>
      </c>
      <c r="F89">
        <f t="shared" si="7"/>
        <v>38798.360697216754</v>
      </c>
      <c r="G89">
        <f t="shared" si="10"/>
        <v>3138034.5111293215</v>
      </c>
      <c r="H89">
        <f t="shared" si="8"/>
        <v>47073.278327</v>
      </c>
      <c r="I89">
        <f t="shared" si="11"/>
        <v>4706492.4329692097</v>
      </c>
    </row>
    <row r="90" spans="1:9" x14ac:dyDescent="0.3">
      <c r="A90" s="6">
        <v>45474</v>
      </c>
      <c r="B90" s="4">
        <v>7212.1879999364055</v>
      </c>
      <c r="C90" s="7">
        <v>85.043576047230815</v>
      </c>
      <c r="D90">
        <f t="shared" si="6"/>
        <v>1209.574782119764</v>
      </c>
      <c r="E90">
        <f t="shared" si="9"/>
        <v>30</v>
      </c>
      <c r="F90">
        <f t="shared" si="7"/>
        <v>36287.243463592917</v>
      </c>
      <c r="G90">
        <f t="shared" si="10"/>
        <v>3174321.7545929146</v>
      </c>
      <c r="H90">
        <f t="shared" si="8"/>
        <v>45363.220082</v>
      </c>
      <c r="I90">
        <f t="shared" si="11"/>
        <v>4751855.6530512096</v>
      </c>
    </row>
    <row r="91" spans="1:9" x14ac:dyDescent="0.3">
      <c r="A91" s="6">
        <v>45505</v>
      </c>
      <c r="B91" s="4">
        <v>7082.4700006359508</v>
      </c>
      <c r="C91" s="7">
        <v>91.017711554680915</v>
      </c>
      <c r="D91">
        <f t="shared" si="6"/>
        <v>1294.5449114422267</v>
      </c>
      <c r="E91">
        <f t="shared" si="9"/>
        <v>31</v>
      </c>
      <c r="F91">
        <f t="shared" si="7"/>
        <v>40130.892254709026</v>
      </c>
      <c r="G91">
        <f t="shared" si="10"/>
        <v>3214452.6468476234</v>
      </c>
      <c r="H91">
        <f t="shared" si="8"/>
        <v>44547.319810000001</v>
      </c>
      <c r="I91">
        <f t="shared" si="11"/>
        <v>4796402.9728612099</v>
      </c>
    </row>
    <row r="92" spans="1:9" x14ac:dyDescent="0.3">
      <c r="A92" s="6">
        <v>45536</v>
      </c>
      <c r="B92" s="4">
        <v>16016.196000349773</v>
      </c>
      <c r="C92" s="7">
        <v>89.970480742198475</v>
      </c>
      <c r="D92">
        <f t="shared" si="6"/>
        <v>1279.6501475962889</v>
      </c>
      <c r="E92">
        <f t="shared" si="9"/>
        <v>31</v>
      </c>
      <c r="F92">
        <f t="shared" si="7"/>
        <v>39669.154575484958</v>
      </c>
      <c r="G92">
        <f t="shared" si="10"/>
        <v>3254121.8014231082</v>
      </c>
      <c r="H92">
        <f t="shared" si="8"/>
        <v>100738.669603</v>
      </c>
      <c r="I92">
        <f t="shared" si="11"/>
        <v>4897141.6424642103</v>
      </c>
    </row>
    <row r="93" spans="1:9" x14ac:dyDescent="0.3">
      <c r="A93" s="6">
        <v>45566</v>
      </c>
      <c r="B93" s="4">
        <v>16156.372000222585</v>
      </c>
      <c r="C93" s="7">
        <v>90</v>
      </c>
      <c r="D93">
        <f t="shared" si="6"/>
        <v>1280.0700000000002</v>
      </c>
      <c r="E93">
        <f t="shared" si="9"/>
        <v>30</v>
      </c>
      <c r="F93">
        <f t="shared" si="7"/>
        <v>38402.100000000006</v>
      </c>
      <c r="G93">
        <f t="shared" si="10"/>
        <v>3292523.9014231083</v>
      </c>
      <c r="H93">
        <f t="shared" si="8"/>
        <v>101620.34860700001</v>
      </c>
      <c r="I93">
        <f t="shared" si="11"/>
        <v>4998761.9910712102</v>
      </c>
    </row>
    <row r="94" spans="1:9" x14ac:dyDescent="0.3">
      <c r="A94" s="6">
        <v>45597</v>
      </c>
      <c r="B94" s="4">
        <v>16074.736000190787</v>
      </c>
      <c r="C94" s="7">
        <v>91</v>
      </c>
      <c r="D94">
        <f t="shared" si="6"/>
        <v>1294.2930000000001</v>
      </c>
      <c r="E94">
        <f t="shared" si="9"/>
        <v>31</v>
      </c>
      <c r="F94">
        <f t="shared" si="7"/>
        <v>40123.083000000006</v>
      </c>
      <c r="G94">
        <f t="shared" si="10"/>
        <v>3332646.9844231084</v>
      </c>
      <c r="H94">
        <f t="shared" si="8"/>
        <v>101106.874494</v>
      </c>
      <c r="I94">
        <f t="shared" si="11"/>
        <v>5099868.8655652106</v>
      </c>
    </row>
    <row r="95" spans="1:9" x14ac:dyDescent="0.3">
      <c r="A95" s="6">
        <v>45627</v>
      </c>
      <c r="B95" s="4">
        <v>6358.8500001589882</v>
      </c>
      <c r="C95" s="7">
        <v>91</v>
      </c>
      <c r="D95">
        <f t="shared" si="6"/>
        <v>1294.2930000000001</v>
      </c>
      <c r="E95">
        <f t="shared" si="9"/>
        <v>30</v>
      </c>
      <c r="F95">
        <f t="shared" si="7"/>
        <v>38828.79</v>
      </c>
      <c r="G95">
        <f t="shared" si="10"/>
        <v>3371475.7744231084</v>
      </c>
      <c r="H95">
        <f t="shared" si="8"/>
        <v>39995.894731</v>
      </c>
      <c r="I95">
        <f t="shared" si="11"/>
        <v>5139864.7602962106</v>
      </c>
    </row>
    <row r="96" spans="1:9" x14ac:dyDescent="0.3">
      <c r="A96" s="6">
        <v>45658</v>
      </c>
      <c r="B96" s="4">
        <v>8447.2200006359508</v>
      </c>
      <c r="C96" s="7">
        <v>91</v>
      </c>
      <c r="D96">
        <f t="shared" si="6"/>
        <v>1294.2930000000001</v>
      </c>
      <c r="E96">
        <f t="shared" si="9"/>
        <v>31</v>
      </c>
      <c r="F96">
        <f t="shared" si="7"/>
        <v>40123.083000000006</v>
      </c>
      <c r="G96">
        <f t="shared" si="10"/>
        <v>3411598.8574231085</v>
      </c>
      <c r="H96">
        <f t="shared" si="8"/>
        <v>53131.324359999999</v>
      </c>
      <c r="I96">
        <f t="shared" si="11"/>
        <v>5192996.0846562106</v>
      </c>
    </row>
    <row r="97" spans="1:9" x14ac:dyDescent="0.3">
      <c r="A97" s="6">
        <v>45689</v>
      </c>
      <c r="B97" s="4">
        <v>7293.3489999682024</v>
      </c>
      <c r="C97" s="7">
        <v>91</v>
      </c>
      <c r="D97">
        <f t="shared" si="6"/>
        <v>1294.2930000000001</v>
      </c>
      <c r="E97">
        <f t="shared" si="9"/>
        <v>31</v>
      </c>
      <c r="F97">
        <f t="shared" si="7"/>
        <v>40123.083000000006</v>
      </c>
      <c r="G97">
        <f t="shared" si="10"/>
        <v>3451721.9404231086</v>
      </c>
      <c r="H97">
        <f t="shared" si="8"/>
        <v>45873.706539999999</v>
      </c>
      <c r="I97">
        <f t="shared" si="11"/>
        <v>5238869.7911962103</v>
      </c>
    </row>
    <row r="98" spans="1:9" x14ac:dyDescent="0.3">
      <c r="A98" s="6">
        <v>45717</v>
      </c>
      <c r="B98" s="4">
        <v>8187.4260003497739</v>
      </c>
      <c r="C98" s="7">
        <v>91</v>
      </c>
      <c r="D98">
        <f t="shared" si="6"/>
        <v>1294.2930000000001</v>
      </c>
      <c r="E98">
        <f t="shared" si="9"/>
        <v>28</v>
      </c>
      <c r="F98">
        <f t="shared" si="7"/>
        <v>36240.204000000005</v>
      </c>
      <c r="G98">
        <f t="shared" si="10"/>
        <v>3487962.1444231085</v>
      </c>
      <c r="H98">
        <f t="shared" si="8"/>
        <v>51497.272057000002</v>
      </c>
      <c r="I98">
        <f t="shared" si="11"/>
        <v>5290367.0632532099</v>
      </c>
    </row>
    <row r="99" spans="1:9" x14ac:dyDescent="0.3">
      <c r="A99" s="6">
        <v>45748</v>
      </c>
      <c r="B99" s="4">
        <v>7587.6090002861783</v>
      </c>
      <c r="C99" s="7">
        <v>94</v>
      </c>
      <c r="D99">
        <f t="shared" si="6"/>
        <v>1336.962</v>
      </c>
      <c r="E99">
        <f t="shared" si="9"/>
        <v>31</v>
      </c>
      <c r="F99">
        <f t="shared" si="7"/>
        <v>41445.822</v>
      </c>
      <c r="G99">
        <f t="shared" si="10"/>
        <v>3529407.9664231087</v>
      </c>
      <c r="H99">
        <f t="shared" si="8"/>
        <v>47724.543089999999</v>
      </c>
      <c r="I99">
        <f t="shared" si="11"/>
        <v>5338091.6063432097</v>
      </c>
    </row>
    <row r="100" spans="1:9" x14ac:dyDescent="0.3">
      <c r="A100" s="6">
        <v>45778</v>
      </c>
      <c r="B100" s="4">
        <v>7708.7250001589882</v>
      </c>
      <c r="C100" s="7">
        <v>94</v>
      </c>
      <c r="D100">
        <f t="shared" si="6"/>
        <v>1336.962</v>
      </c>
      <c r="E100">
        <f t="shared" si="9"/>
        <v>30</v>
      </c>
      <c r="F100">
        <f t="shared" si="7"/>
        <v>40108.86</v>
      </c>
      <c r="G100">
        <f t="shared" si="10"/>
        <v>3569516.8264231086</v>
      </c>
      <c r="H100">
        <f t="shared" si="8"/>
        <v>48486.338506</v>
      </c>
      <c r="I100">
        <f t="shared" si="11"/>
        <v>5386577.9448492099</v>
      </c>
    </row>
    <row r="101" spans="1:9" x14ac:dyDescent="0.3">
      <c r="A101" s="6">
        <v>45809</v>
      </c>
      <c r="B101" s="4">
        <v>7401.336000031798</v>
      </c>
      <c r="C101" s="7">
        <v>94</v>
      </c>
      <c r="D101">
        <f t="shared" si="6"/>
        <v>1336.962</v>
      </c>
      <c r="E101">
        <f t="shared" si="9"/>
        <v>31</v>
      </c>
      <c r="F101">
        <f t="shared" si="7"/>
        <v>41445.822</v>
      </c>
      <c r="G101">
        <f t="shared" si="10"/>
        <v>3610962.6484231087</v>
      </c>
      <c r="H101">
        <f t="shared" si="8"/>
        <v>46552.923173000003</v>
      </c>
      <c r="I101">
        <f t="shared" si="11"/>
        <v>5433130.86802221</v>
      </c>
    </row>
    <row r="102" spans="1:9" x14ac:dyDescent="0.3">
      <c r="A102" s="16">
        <v>45839</v>
      </c>
      <c r="B102" s="17">
        <v>8575.6730002543809</v>
      </c>
      <c r="C102" s="7">
        <v>94</v>
      </c>
      <c r="D102">
        <f t="shared" si="6"/>
        <v>1336.962</v>
      </c>
      <c r="E102">
        <f t="shared" si="9"/>
        <v>30</v>
      </c>
      <c r="F102">
        <f t="shared" si="7"/>
        <v>40108.86</v>
      </c>
      <c r="G102">
        <f t="shared" si="10"/>
        <v>3651071.5084231086</v>
      </c>
      <c r="H102">
        <f t="shared" si="8"/>
        <v>53939.268037000002</v>
      </c>
      <c r="I102">
        <f t="shared" si="11"/>
        <v>5487070.1360592097</v>
      </c>
    </row>
    <row r="103" spans="1:9" x14ac:dyDescent="0.3">
      <c r="A103" s="16">
        <v>45870</v>
      </c>
      <c r="D103">
        <f t="shared" si="6"/>
        <v>0</v>
      </c>
      <c r="E103">
        <f t="shared" si="9"/>
        <v>31</v>
      </c>
      <c r="F103">
        <f t="shared" si="7"/>
        <v>0</v>
      </c>
      <c r="G103">
        <f t="shared" si="10"/>
        <v>3651071.5084231086</v>
      </c>
      <c r="H103">
        <f t="shared" si="8"/>
        <v>0</v>
      </c>
      <c r="I103">
        <f t="shared" si="11"/>
        <v>5487070.1360592097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98C3-78EB-435D-9803-285E9F1E8450}">
  <dimension ref="A1:I93"/>
  <sheetViews>
    <sheetView workbookViewId="0">
      <selection activeCell="G1" activeCellId="1" sqref="I1:I1048576 G1:G1048576"/>
    </sheetView>
  </sheetViews>
  <sheetFormatPr defaultRowHeight="14.4" x14ac:dyDescent="0.3"/>
  <cols>
    <col min="6" max="6" width="14.109375" customWidth="1"/>
    <col min="7" max="7" width="21.109375" customWidth="1"/>
    <col min="8" max="8" width="25.77734375" customWidth="1"/>
    <col min="9" max="9" width="27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3">
        <v>43101</v>
      </c>
      <c r="B2" s="4">
        <v>1572.7389999682025</v>
      </c>
      <c r="C2" s="9">
        <v>82.999367222105036</v>
      </c>
      <c r="D2">
        <f>14.223*C2</f>
        <v>1180.5</v>
      </c>
      <c r="E2">
        <v>0</v>
      </c>
      <c r="F2">
        <f>D2*E2</f>
        <v>0</v>
      </c>
      <c r="G2">
        <f>F2</f>
        <v>0</v>
      </c>
      <c r="H2">
        <f>6.2898*B2</f>
        <v>9892.2137619999994</v>
      </c>
      <c r="I2">
        <f>H2</f>
        <v>9892.2137619999994</v>
      </c>
    </row>
    <row r="3" spans="1:9" x14ac:dyDescent="0.3">
      <c r="A3" s="3">
        <v>43132</v>
      </c>
      <c r="B3" s="4">
        <v>3928.9440004451653</v>
      </c>
      <c r="C3" s="7">
        <v>83.997750123040149</v>
      </c>
      <c r="D3">
        <f t="shared" ref="D3:D66" si="0">14.223*C3</f>
        <v>1194.7</v>
      </c>
      <c r="E3">
        <f>A3-A2</f>
        <v>31</v>
      </c>
      <c r="F3">
        <f t="shared" ref="F3:F66" si="1">D3*E3</f>
        <v>37035.700000000004</v>
      </c>
      <c r="G3">
        <f>G2+F3</f>
        <v>37035.700000000004</v>
      </c>
      <c r="H3">
        <f t="shared" ref="H3:H66" si="2">6.2898*B3</f>
        <v>24712.271973999999</v>
      </c>
      <c r="I3">
        <f>I2+H3</f>
        <v>34604.485736000002</v>
      </c>
    </row>
    <row r="4" spans="1:9" x14ac:dyDescent="0.3">
      <c r="A4" s="3">
        <v>43160</v>
      </c>
      <c r="B4" s="4">
        <v>4358.9940001271907</v>
      </c>
      <c r="C4" s="10">
        <v>85.003163889474791</v>
      </c>
      <c r="D4">
        <f t="shared" si="0"/>
        <v>1209</v>
      </c>
      <c r="E4">
        <f t="shared" ref="E4:E67" si="3">A4-A3</f>
        <v>28</v>
      </c>
      <c r="F4">
        <f t="shared" si="1"/>
        <v>33852</v>
      </c>
      <c r="G4">
        <f t="shared" ref="G4:G67" si="4">G3+F4</f>
        <v>70887.700000000012</v>
      </c>
      <c r="H4">
        <f t="shared" si="2"/>
        <v>27417.200462000001</v>
      </c>
      <c r="I4">
        <f t="shared" ref="I4:I67" si="5">I3+H4</f>
        <v>62021.686198000003</v>
      </c>
    </row>
    <row r="5" spans="1:9" x14ac:dyDescent="0.3">
      <c r="A5" s="3">
        <v>43191</v>
      </c>
      <c r="B5" s="4">
        <v>3298.9519995866322</v>
      </c>
      <c r="C5">
        <v>85</v>
      </c>
      <c r="D5">
        <f t="shared" si="0"/>
        <v>1208.9550000000002</v>
      </c>
      <c r="E5">
        <f t="shared" si="3"/>
        <v>31</v>
      </c>
      <c r="F5">
        <f t="shared" si="1"/>
        <v>37477.605000000003</v>
      </c>
      <c r="G5">
        <f t="shared" si="4"/>
        <v>108365.30500000002</v>
      </c>
      <c r="H5">
        <f t="shared" si="2"/>
        <v>20749.748286999999</v>
      </c>
      <c r="I5">
        <f t="shared" si="5"/>
        <v>82771.434485000005</v>
      </c>
    </row>
    <row r="6" spans="1:9" x14ac:dyDescent="0.3">
      <c r="A6" s="3">
        <v>43221</v>
      </c>
      <c r="B6" s="4">
        <v>3730.8859997138229</v>
      </c>
      <c r="C6">
        <v>85</v>
      </c>
      <c r="D6">
        <f t="shared" si="0"/>
        <v>1208.9550000000002</v>
      </c>
      <c r="E6">
        <f t="shared" si="3"/>
        <v>30</v>
      </c>
      <c r="F6">
        <f t="shared" si="1"/>
        <v>36268.65</v>
      </c>
      <c r="G6">
        <f t="shared" si="4"/>
        <v>144633.95500000002</v>
      </c>
      <c r="H6">
        <f t="shared" si="2"/>
        <v>23466.526761000001</v>
      </c>
      <c r="I6">
        <f t="shared" si="5"/>
        <v>106237.96124600001</v>
      </c>
    </row>
    <row r="7" spans="1:9" x14ac:dyDescent="0.3">
      <c r="A7" s="3">
        <v>43252</v>
      </c>
      <c r="B7" s="4">
        <v>3863.1839999682024</v>
      </c>
      <c r="C7" s="10">
        <v>92.99725796245518</v>
      </c>
      <c r="D7">
        <f t="shared" si="0"/>
        <v>1322.7</v>
      </c>
      <c r="E7">
        <f t="shared" si="3"/>
        <v>31</v>
      </c>
      <c r="F7">
        <f t="shared" si="1"/>
        <v>41003.700000000004</v>
      </c>
      <c r="G7">
        <f t="shared" si="4"/>
        <v>185637.65500000003</v>
      </c>
      <c r="H7">
        <f t="shared" si="2"/>
        <v>24298.654723</v>
      </c>
      <c r="I7">
        <f t="shared" si="5"/>
        <v>130536.61596900001</v>
      </c>
    </row>
    <row r="8" spans="1:9" x14ac:dyDescent="0.3">
      <c r="A8" s="3">
        <v>43282</v>
      </c>
      <c r="B8" s="4">
        <v>5832.2470000635949</v>
      </c>
      <c r="C8" s="10">
        <v>92.99725796245518</v>
      </c>
      <c r="D8">
        <f t="shared" si="0"/>
        <v>1322.7</v>
      </c>
      <c r="E8">
        <f t="shared" si="3"/>
        <v>30</v>
      </c>
      <c r="F8">
        <f t="shared" si="1"/>
        <v>39681</v>
      </c>
      <c r="G8">
        <f t="shared" si="4"/>
        <v>225318.65500000003</v>
      </c>
      <c r="H8">
        <f t="shared" si="2"/>
        <v>36683.667180999997</v>
      </c>
      <c r="I8">
        <f t="shared" si="5"/>
        <v>167220.28315</v>
      </c>
    </row>
    <row r="9" spans="1:9" x14ac:dyDescent="0.3">
      <c r="A9" s="3">
        <v>43313</v>
      </c>
      <c r="B9" s="4">
        <v>5357.5360005087605</v>
      </c>
      <c r="C9" s="10">
        <v>92.99725796245518</v>
      </c>
      <c r="D9">
        <f t="shared" si="0"/>
        <v>1322.7</v>
      </c>
      <c r="E9">
        <f t="shared" si="3"/>
        <v>31</v>
      </c>
      <c r="F9">
        <f t="shared" si="1"/>
        <v>41003.700000000004</v>
      </c>
      <c r="G9">
        <f t="shared" si="4"/>
        <v>266322.35500000004</v>
      </c>
      <c r="H9">
        <f t="shared" si="2"/>
        <v>33697.829936000002</v>
      </c>
      <c r="I9">
        <f t="shared" si="5"/>
        <v>200918.113086</v>
      </c>
    </row>
    <row r="10" spans="1:9" x14ac:dyDescent="0.3">
      <c r="A10" s="3">
        <v>43344</v>
      </c>
      <c r="B10" s="4">
        <v>4051.4460000317977</v>
      </c>
      <c r="C10" s="10">
        <v>92.99725796245518</v>
      </c>
      <c r="D10">
        <f t="shared" si="0"/>
        <v>1322.7</v>
      </c>
      <c r="E10">
        <f t="shared" si="3"/>
        <v>31</v>
      </c>
      <c r="F10">
        <f t="shared" si="1"/>
        <v>41003.700000000004</v>
      </c>
      <c r="G10">
        <f t="shared" si="4"/>
        <v>307326.05500000005</v>
      </c>
      <c r="H10">
        <f t="shared" si="2"/>
        <v>25482.785050999999</v>
      </c>
      <c r="I10">
        <f t="shared" si="5"/>
        <v>226400.89813699998</v>
      </c>
    </row>
    <row r="11" spans="1:9" x14ac:dyDescent="0.3">
      <c r="A11" s="3">
        <v>43374</v>
      </c>
      <c r="B11" s="4">
        <v>0</v>
      </c>
      <c r="D11">
        <f t="shared" si="0"/>
        <v>0</v>
      </c>
      <c r="E11">
        <f t="shared" si="3"/>
        <v>30</v>
      </c>
      <c r="F11">
        <f t="shared" si="1"/>
        <v>0</v>
      </c>
      <c r="G11">
        <f t="shared" si="4"/>
        <v>307326.05500000005</v>
      </c>
      <c r="H11">
        <f t="shared" si="2"/>
        <v>0</v>
      </c>
      <c r="I11">
        <f t="shared" si="5"/>
        <v>226400.89813699998</v>
      </c>
    </row>
    <row r="12" spans="1:9" x14ac:dyDescent="0.3">
      <c r="A12" s="3">
        <v>43405</v>
      </c>
      <c r="B12" s="4">
        <v>4863.2630002543801</v>
      </c>
      <c r="C12" s="7">
        <v>94.002671728889823</v>
      </c>
      <c r="D12">
        <f t="shared" si="0"/>
        <v>1337</v>
      </c>
      <c r="E12">
        <f t="shared" si="3"/>
        <v>31</v>
      </c>
      <c r="F12">
        <f t="shared" si="1"/>
        <v>41447</v>
      </c>
      <c r="G12">
        <f t="shared" si="4"/>
        <v>348773.05500000005</v>
      </c>
      <c r="H12">
        <f t="shared" si="2"/>
        <v>30588.951618999999</v>
      </c>
      <c r="I12">
        <f t="shared" si="5"/>
        <v>256989.84975599998</v>
      </c>
    </row>
    <row r="13" spans="1:9" x14ac:dyDescent="0.3">
      <c r="A13" s="3">
        <v>43435</v>
      </c>
      <c r="B13" s="4">
        <v>5423.6290004451648</v>
      </c>
      <c r="C13" s="7">
        <v>91.998875061520067</v>
      </c>
      <c r="D13">
        <f t="shared" si="0"/>
        <v>1308.5</v>
      </c>
      <c r="E13">
        <f t="shared" si="3"/>
        <v>30</v>
      </c>
      <c r="F13">
        <f t="shared" si="1"/>
        <v>39255</v>
      </c>
      <c r="G13">
        <f t="shared" si="4"/>
        <v>388028.05500000005</v>
      </c>
      <c r="H13">
        <f t="shared" si="2"/>
        <v>34113.541686999997</v>
      </c>
      <c r="I13">
        <f t="shared" si="5"/>
        <v>291103.391443</v>
      </c>
    </row>
    <row r="14" spans="1:9" x14ac:dyDescent="0.3">
      <c r="A14" s="3">
        <v>43466</v>
      </c>
      <c r="B14" s="4">
        <v>5394.7239999682024</v>
      </c>
      <c r="C14" s="7">
        <v>86.999929691345002</v>
      </c>
      <c r="D14">
        <f t="shared" si="0"/>
        <v>1237.4000000000001</v>
      </c>
      <c r="E14">
        <f t="shared" si="3"/>
        <v>31</v>
      </c>
      <c r="F14">
        <f t="shared" si="1"/>
        <v>38359.4</v>
      </c>
      <c r="G14">
        <f t="shared" si="4"/>
        <v>426387.45500000007</v>
      </c>
      <c r="H14">
        <f t="shared" si="2"/>
        <v>33931.735014999998</v>
      </c>
      <c r="I14">
        <f t="shared" si="5"/>
        <v>325035.12645799998</v>
      </c>
    </row>
    <row r="15" spans="1:9" x14ac:dyDescent="0.3">
      <c r="A15" s="3">
        <v>43497</v>
      </c>
      <c r="B15" s="4">
        <v>5248.7460001907857</v>
      </c>
      <c r="C15" s="7">
        <v>90.002109259649856</v>
      </c>
      <c r="D15">
        <f t="shared" si="0"/>
        <v>1280.0999999999999</v>
      </c>
      <c r="E15">
        <f t="shared" si="3"/>
        <v>31</v>
      </c>
      <c r="F15">
        <f t="shared" si="1"/>
        <v>39683.1</v>
      </c>
      <c r="G15">
        <f t="shared" si="4"/>
        <v>466070.55500000005</v>
      </c>
      <c r="H15">
        <f t="shared" si="2"/>
        <v>33013.562592000002</v>
      </c>
      <c r="I15">
        <f t="shared" si="5"/>
        <v>358048.68904999999</v>
      </c>
    </row>
    <row r="16" spans="1:9" x14ac:dyDescent="0.3">
      <c r="A16" s="3">
        <v>43525</v>
      </c>
      <c r="B16" s="4">
        <v>4753.702999777418</v>
      </c>
      <c r="C16" s="7">
        <v>88.996695493215213</v>
      </c>
      <c r="D16">
        <f t="shared" si="0"/>
        <v>1265.8</v>
      </c>
      <c r="E16">
        <f t="shared" si="3"/>
        <v>28</v>
      </c>
      <c r="F16">
        <f t="shared" si="1"/>
        <v>35442.400000000001</v>
      </c>
      <c r="G16">
        <f t="shared" si="4"/>
        <v>501512.95500000007</v>
      </c>
      <c r="H16">
        <f t="shared" si="2"/>
        <v>29899.841128</v>
      </c>
      <c r="I16">
        <f t="shared" si="5"/>
        <v>387948.53017799999</v>
      </c>
    </row>
    <row r="17" spans="1:9" x14ac:dyDescent="0.3">
      <c r="A17" s="3">
        <v>43556</v>
      </c>
      <c r="B17" s="4">
        <v>4374.9949996820251</v>
      </c>
      <c r="C17" s="7">
        <v>91.998875061520067</v>
      </c>
      <c r="D17">
        <f t="shared" si="0"/>
        <v>1308.5</v>
      </c>
      <c r="E17">
        <f t="shared" si="3"/>
        <v>31</v>
      </c>
      <c r="F17">
        <f t="shared" si="1"/>
        <v>40563.5</v>
      </c>
      <c r="G17">
        <f t="shared" si="4"/>
        <v>542076.45500000007</v>
      </c>
      <c r="H17">
        <f t="shared" si="2"/>
        <v>27517.843549000001</v>
      </c>
      <c r="I17">
        <f t="shared" si="5"/>
        <v>415466.37372699997</v>
      </c>
    </row>
    <row r="18" spans="1:9" x14ac:dyDescent="0.3">
      <c r="A18" s="3">
        <v>43586</v>
      </c>
      <c r="B18" s="4">
        <v>4270.5170000635953</v>
      </c>
      <c r="C18" s="8">
        <v>85.003163889474791</v>
      </c>
      <c r="D18">
        <f t="shared" si="0"/>
        <v>1209</v>
      </c>
      <c r="E18">
        <f t="shared" si="3"/>
        <v>30</v>
      </c>
      <c r="F18">
        <f t="shared" si="1"/>
        <v>36270</v>
      </c>
      <c r="G18">
        <f t="shared" si="4"/>
        <v>578346.45500000007</v>
      </c>
      <c r="H18">
        <f t="shared" si="2"/>
        <v>26860.697827</v>
      </c>
      <c r="I18">
        <f t="shared" si="5"/>
        <v>442327.07155399997</v>
      </c>
    </row>
    <row r="19" spans="1:9" x14ac:dyDescent="0.3">
      <c r="A19" s="3">
        <v>43617</v>
      </c>
      <c r="B19" s="4">
        <v>2999.06899949124</v>
      </c>
      <c r="C19" s="7">
        <v>91.000492160584955</v>
      </c>
      <c r="D19">
        <f t="shared" si="0"/>
        <v>1294.3</v>
      </c>
      <c r="E19">
        <f t="shared" si="3"/>
        <v>31</v>
      </c>
      <c r="F19">
        <f t="shared" si="1"/>
        <v>40123.299999999996</v>
      </c>
      <c r="G19">
        <f t="shared" si="4"/>
        <v>618469.75500000012</v>
      </c>
      <c r="H19">
        <f t="shared" si="2"/>
        <v>18863.544193000002</v>
      </c>
      <c r="I19">
        <f t="shared" si="5"/>
        <v>461190.61574699997</v>
      </c>
    </row>
    <row r="20" spans="1:9" x14ac:dyDescent="0.3">
      <c r="A20" s="3">
        <v>43647</v>
      </c>
      <c r="B20" s="4">
        <v>3066.6880002543803</v>
      </c>
      <c r="C20" s="7">
        <v>91</v>
      </c>
      <c r="D20">
        <f t="shared" si="0"/>
        <v>1294.2930000000001</v>
      </c>
      <c r="E20">
        <f t="shared" si="3"/>
        <v>30</v>
      </c>
      <c r="F20">
        <f t="shared" si="1"/>
        <v>38828.79</v>
      </c>
      <c r="G20">
        <f t="shared" si="4"/>
        <v>657298.54500000016</v>
      </c>
      <c r="H20">
        <f t="shared" si="2"/>
        <v>19288.854184</v>
      </c>
      <c r="I20">
        <f t="shared" si="5"/>
        <v>480479.46993099997</v>
      </c>
    </row>
    <row r="21" spans="1:9" x14ac:dyDescent="0.3">
      <c r="A21" s="3">
        <v>43678</v>
      </c>
      <c r="B21" s="4">
        <v>5128.548000095393</v>
      </c>
      <c r="C21" s="8">
        <v>82.999367222105036</v>
      </c>
      <c r="D21">
        <f t="shared" si="0"/>
        <v>1180.5</v>
      </c>
      <c r="E21">
        <f t="shared" si="3"/>
        <v>31</v>
      </c>
      <c r="F21">
        <f t="shared" si="1"/>
        <v>36595.5</v>
      </c>
      <c r="G21">
        <f t="shared" si="4"/>
        <v>693894.04500000016</v>
      </c>
      <c r="H21">
        <f t="shared" si="2"/>
        <v>32257.541211</v>
      </c>
      <c r="I21">
        <f t="shared" si="5"/>
        <v>512737.01114199997</v>
      </c>
    </row>
    <row r="22" spans="1:9" x14ac:dyDescent="0.3">
      <c r="A22" s="3">
        <v>43709</v>
      </c>
      <c r="B22" s="4">
        <v>5514.0209995548357</v>
      </c>
      <c r="C22" s="7">
        <v>91.000492160584955</v>
      </c>
      <c r="D22">
        <f t="shared" si="0"/>
        <v>1294.3</v>
      </c>
      <c r="E22">
        <f t="shared" si="3"/>
        <v>31</v>
      </c>
      <c r="F22">
        <f t="shared" si="1"/>
        <v>40123.299999999996</v>
      </c>
      <c r="G22">
        <f t="shared" si="4"/>
        <v>734017.3450000002</v>
      </c>
      <c r="H22">
        <f t="shared" si="2"/>
        <v>34682.089283000001</v>
      </c>
      <c r="I22">
        <f t="shared" si="5"/>
        <v>547419.10042499995</v>
      </c>
    </row>
    <row r="23" spans="1:9" x14ac:dyDescent="0.3">
      <c r="A23" s="3">
        <v>43739</v>
      </c>
      <c r="B23" s="5">
        <v>5444.8769999046081</v>
      </c>
      <c r="C23" s="7">
        <v>91.998875061520067</v>
      </c>
      <c r="D23">
        <f t="shared" si="0"/>
        <v>1308.5</v>
      </c>
      <c r="E23">
        <f t="shared" si="3"/>
        <v>30</v>
      </c>
      <c r="F23">
        <f t="shared" si="1"/>
        <v>39255</v>
      </c>
      <c r="G23">
        <f t="shared" si="4"/>
        <v>773272.3450000002</v>
      </c>
      <c r="H23">
        <f t="shared" si="2"/>
        <v>34247.187354000002</v>
      </c>
      <c r="I23">
        <f t="shared" si="5"/>
        <v>581666.28777900001</v>
      </c>
    </row>
    <row r="24" spans="1:9" x14ac:dyDescent="0.3">
      <c r="A24" s="3">
        <v>43770</v>
      </c>
      <c r="B24" s="5">
        <v>5664.0330004133684</v>
      </c>
      <c r="C24" s="7">
        <v>91.000492160584955</v>
      </c>
      <c r="D24">
        <f t="shared" si="0"/>
        <v>1294.3</v>
      </c>
      <c r="E24">
        <f t="shared" si="3"/>
        <v>31</v>
      </c>
      <c r="F24">
        <f t="shared" si="1"/>
        <v>40123.299999999996</v>
      </c>
      <c r="G24">
        <f t="shared" si="4"/>
        <v>813395.64500000025</v>
      </c>
      <c r="H24">
        <f t="shared" si="2"/>
        <v>35625.634766000003</v>
      </c>
      <c r="I24">
        <f t="shared" si="5"/>
        <v>617291.92254499998</v>
      </c>
    </row>
    <row r="25" spans="1:9" x14ac:dyDescent="0.3">
      <c r="A25" s="6">
        <v>43800</v>
      </c>
      <c r="B25" s="4">
        <v>5698.9810000317975</v>
      </c>
      <c r="C25" s="8">
        <v>87.998312592280101</v>
      </c>
      <c r="D25">
        <f t="shared" si="0"/>
        <v>1251.5999999999999</v>
      </c>
      <c r="E25">
        <f t="shared" si="3"/>
        <v>30</v>
      </c>
      <c r="F25">
        <f t="shared" si="1"/>
        <v>37548</v>
      </c>
      <c r="G25">
        <f t="shared" si="4"/>
        <v>850943.64500000025</v>
      </c>
      <c r="H25">
        <f t="shared" si="2"/>
        <v>35845.450693999999</v>
      </c>
      <c r="I25">
        <f t="shared" si="5"/>
        <v>653137.37323899998</v>
      </c>
    </row>
    <row r="26" spans="1:9" x14ac:dyDescent="0.3">
      <c r="A26" s="6">
        <v>43831</v>
      </c>
      <c r="B26" s="4">
        <v>5463.2660001907852</v>
      </c>
      <c r="C26" s="7">
        <v>90.002109259649856</v>
      </c>
      <c r="D26">
        <f t="shared" si="0"/>
        <v>1280.0999999999999</v>
      </c>
      <c r="E26">
        <f t="shared" si="3"/>
        <v>31</v>
      </c>
      <c r="F26">
        <f t="shared" si="1"/>
        <v>39683.1</v>
      </c>
      <c r="G26">
        <f t="shared" si="4"/>
        <v>890626.74500000023</v>
      </c>
      <c r="H26">
        <f t="shared" si="2"/>
        <v>34362.850487999996</v>
      </c>
      <c r="I26">
        <f t="shared" si="5"/>
        <v>687500.22372699995</v>
      </c>
    </row>
    <row r="27" spans="1:9" x14ac:dyDescent="0.3">
      <c r="A27" s="6">
        <v>43862</v>
      </c>
      <c r="B27" s="4">
        <v>5115.6430002543802</v>
      </c>
      <c r="C27" s="9">
        <v>81.002601420234825</v>
      </c>
      <c r="D27">
        <f t="shared" si="0"/>
        <v>1152.0999999999999</v>
      </c>
      <c r="E27">
        <f t="shared" si="3"/>
        <v>31</v>
      </c>
      <c r="F27">
        <f t="shared" si="1"/>
        <v>35715.1</v>
      </c>
      <c r="G27">
        <f t="shared" si="4"/>
        <v>926341.8450000002</v>
      </c>
      <c r="H27">
        <f t="shared" si="2"/>
        <v>32176.371342999999</v>
      </c>
      <c r="I27">
        <f t="shared" si="5"/>
        <v>719676.59506999992</v>
      </c>
    </row>
    <row r="28" spans="1:9" x14ac:dyDescent="0.3">
      <c r="A28" s="6">
        <v>43891</v>
      </c>
      <c r="B28" s="4">
        <v>5164.6129991414673</v>
      </c>
      <c r="C28" s="7">
        <v>83.997750123040149</v>
      </c>
      <c r="D28">
        <f t="shared" si="0"/>
        <v>1194.7</v>
      </c>
      <c r="E28">
        <f t="shared" si="3"/>
        <v>29</v>
      </c>
      <c r="F28">
        <f t="shared" si="1"/>
        <v>34646.300000000003</v>
      </c>
      <c r="G28">
        <f t="shared" si="4"/>
        <v>960988.14500000025</v>
      </c>
      <c r="H28">
        <f t="shared" si="2"/>
        <v>32484.382841999999</v>
      </c>
      <c r="I28">
        <f t="shared" si="5"/>
        <v>752160.97791199991</v>
      </c>
    </row>
    <row r="29" spans="1:9" x14ac:dyDescent="0.3">
      <c r="A29" s="6">
        <v>43922</v>
      </c>
      <c r="B29" s="4">
        <v>4920.296000190785</v>
      </c>
      <c r="C29" s="12">
        <v>82.999367222105036</v>
      </c>
      <c r="D29">
        <f t="shared" si="0"/>
        <v>1180.5</v>
      </c>
      <c r="E29">
        <f t="shared" si="3"/>
        <v>31</v>
      </c>
      <c r="F29">
        <f t="shared" si="1"/>
        <v>36595.5</v>
      </c>
      <c r="G29">
        <f t="shared" si="4"/>
        <v>997583.64500000025</v>
      </c>
      <c r="H29">
        <f t="shared" si="2"/>
        <v>30947.677781999999</v>
      </c>
      <c r="I29">
        <f t="shared" si="5"/>
        <v>783108.65569399996</v>
      </c>
    </row>
    <row r="30" spans="1:9" x14ac:dyDescent="0.3">
      <c r="A30" s="6">
        <v>43952</v>
      </c>
      <c r="B30" s="4">
        <v>4882.7169997456203</v>
      </c>
      <c r="C30" s="7">
        <v>90.002109259649856</v>
      </c>
      <c r="D30">
        <f t="shared" si="0"/>
        <v>1280.0999999999999</v>
      </c>
      <c r="E30">
        <f t="shared" si="3"/>
        <v>30</v>
      </c>
      <c r="F30">
        <f t="shared" si="1"/>
        <v>38403</v>
      </c>
      <c r="G30">
        <f t="shared" si="4"/>
        <v>1035986.6450000003</v>
      </c>
      <c r="H30">
        <f t="shared" si="2"/>
        <v>30711.313385000001</v>
      </c>
      <c r="I30">
        <f t="shared" si="5"/>
        <v>813819.96907899994</v>
      </c>
    </row>
    <row r="31" spans="1:9" x14ac:dyDescent="0.3">
      <c r="A31" s="6">
        <v>43983</v>
      </c>
      <c r="B31" s="4">
        <v>4812.5659997138227</v>
      </c>
      <c r="C31" s="13">
        <v>88.996695493215213</v>
      </c>
      <c r="D31">
        <f t="shared" si="0"/>
        <v>1265.8</v>
      </c>
      <c r="E31">
        <f t="shared" si="3"/>
        <v>31</v>
      </c>
      <c r="F31">
        <f t="shared" si="1"/>
        <v>39239.799999999996</v>
      </c>
      <c r="G31">
        <f t="shared" si="4"/>
        <v>1075226.4450000003</v>
      </c>
      <c r="H31">
        <f t="shared" si="2"/>
        <v>30270.077625000002</v>
      </c>
      <c r="I31">
        <f t="shared" si="5"/>
        <v>844090.04670399998</v>
      </c>
    </row>
    <row r="32" spans="1:9" x14ac:dyDescent="0.3">
      <c r="A32" s="6">
        <v>44013</v>
      </c>
      <c r="B32" s="4">
        <v>4842.2890002861777</v>
      </c>
      <c r="C32" s="8">
        <v>91.998875061520067</v>
      </c>
      <c r="D32">
        <f t="shared" si="0"/>
        <v>1308.5</v>
      </c>
      <c r="E32">
        <f t="shared" si="3"/>
        <v>30</v>
      </c>
      <c r="F32">
        <f t="shared" si="1"/>
        <v>39255</v>
      </c>
      <c r="G32">
        <f t="shared" si="4"/>
        <v>1114481.4450000003</v>
      </c>
      <c r="H32">
        <f t="shared" si="2"/>
        <v>30457.029353999998</v>
      </c>
      <c r="I32">
        <f t="shared" si="5"/>
        <v>874547.07605799998</v>
      </c>
    </row>
    <row r="33" spans="1:9" x14ac:dyDescent="0.3">
      <c r="A33" s="6">
        <v>44044</v>
      </c>
      <c r="B33" s="4">
        <v>5215.6120000635956</v>
      </c>
      <c r="C33">
        <v>92</v>
      </c>
      <c r="D33">
        <f t="shared" si="0"/>
        <v>1308.5160000000001</v>
      </c>
      <c r="E33">
        <f t="shared" si="3"/>
        <v>31</v>
      </c>
      <c r="F33">
        <f t="shared" si="1"/>
        <v>40563.995999999999</v>
      </c>
      <c r="G33">
        <f t="shared" si="4"/>
        <v>1155045.4410000003</v>
      </c>
      <c r="H33">
        <f t="shared" si="2"/>
        <v>32805.156358</v>
      </c>
      <c r="I33">
        <f t="shared" si="5"/>
        <v>907352.23241599998</v>
      </c>
    </row>
    <row r="34" spans="1:9" x14ac:dyDescent="0.3">
      <c r="A34" s="6">
        <v>44075</v>
      </c>
      <c r="B34" s="4">
        <v>4654.5609998728105</v>
      </c>
      <c r="C34" s="8">
        <v>90.002109259649856</v>
      </c>
      <c r="D34">
        <f t="shared" si="0"/>
        <v>1280.0999999999999</v>
      </c>
      <c r="E34">
        <f t="shared" si="3"/>
        <v>31</v>
      </c>
      <c r="F34">
        <f t="shared" si="1"/>
        <v>39683.1</v>
      </c>
      <c r="G34">
        <f t="shared" si="4"/>
        <v>1194728.5410000004</v>
      </c>
      <c r="H34">
        <f t="shared" si="2"/>
        <v>29276.257777000003</v>
      </c>
      <c r="I34">
        <f t="shared" si="5"/>
        <v>936628.49019299995</v>
      </c>
    </row>
    <row r="35" spans="1:9" x14ac:dyDescent="0.3">
      <c r="A35" s="6">
        <v>44105</v>
      </c>
      <c r="B35" s="4">
        <v>5093.9780000953933</v>
      </c>
      <c r="C35" s="8">
        <v>91.000492160584955</v>
      </c>
      <c r="D35">
        <f t="shared" si="0"/>
        <v>1294.3</v>
      </c>
      <c r="E35">
        <f t="shared" si="3"/>
        <v>30</v>
      </c>
      <c r="F35">
        <f t="shared" si="1"/>
        <v>38829</v>
      </c>
      <c r="G35">
        <f t="shared" si="4"/>
        <v>1233557.5410000004</v>
      </c>
      <c r="H35">
        <f t="shared" si="2"/>
        <v>32040.102825000002</v>
      </c>
      <c r="I35">
        <f t="shared" si="5"/>
        <v>968668.5930179999</v>
      </c>
    </row>
    <row r="36" spans="1:9" x14ac:dyDescent="0.3">
      <c r="A36" s="6">
        <v>44136</v>
      </c>
      <c r="B36" s="4">
        <v>5129.2400000000007</v>
      </c>
      <c r="C36" s="8">
        <v>91</v>
      </c>
      <c r="D36">
        <f t="shared" si="0"/>
        <v>1294.2930000000001</v>
      </c>
      <c r="E36">
        <f t="shared" si="3"/>
        <v>31</v>
      </c>
      <c r="F36">
        <f t="shared" si="1"/>
        <v>40123.083000000006</v>
      </c>
      <c r="G36">
        <f t="shared" si="4"/>
        <v>1273680.6240000005</v>
      </c>
      <c r="H36">
        <f t="shared" si="2"/>
        <v>32261.893752000004</v>
      </c>
      <c r="I36">
        <f t="shared" si="5"/>
        <v>1000930.4867699998</v>
      </c>
    </row>
    <row r="37" spans="1:9" x14ac:dyDescent="0.3">
      <c r="A37" s="6">
        <v>44166</v>
      </c>
      <c r="B37" s="4">
        <v>5557.1740001271901</v>
      </c>
      <c r="C37" s="7">
        <v>90.002109259649856</v>
      </c>
      <c r="D37">
        <f t="shared" si="0"/>
        <v>1280.0999999999999</v>
      </c>
      <c r="E37">
        <f t="shared" si="3"/>
        <v>30</v>
      </c>
      <c r="F37">
        <f t="shared" si="1"/>
        <v>38403</v>
      </c>
      <c r="G37">
        <f t="shared" si="4"/>
        <v>1312083.6240000005</v>
      </c>
      <c r="H37">
        <f t="shared" si="2"/>
        <v>34953.513026000001</v>
      </c>
      <c r="I37">
        <f t="shared" si="5"/>
        <v>1035883.9997959998</v>
      </c>
    </row>
    <row r="38" spans="1:9" x14ac:dyDescent="0.3">
      <c r="A38" s="6">
        <v>44197</v>
      </c>
      <c r="B38" s="4">
        <v>4937.2810005087604</v>
      </c>
      <c r="C38" s="7">
        <v>90.002109259649856</v>
      </c>
      <c r="D38">
        <f t="shared" si="0"/>
        <v>1280.0999999999999</v>
      </c>
      <c r="E38">
        <f t="shared" si="3"/>
        <v>31</v>
      </c>
      <c r="F38">
        <f t="shared" si="1"/>
        <v>39683.1</v>
      </c>
      <c r="G38">
        <f t="shared" si="4"/>
        <v>1351766.7240000006</v>
      </c>
      <c r="H38">
        <f t="shared" si="2"/>
        <v>31054.510037</v>
      </c>
      <c r="I38">
        <f t="shared" si="5"/>
        <v>1066938.5098329999</v>
      </c>
    </row>
    <row r="39" spans="1:9" x14ac:dyDescent="0.3">
      <c r="A39" s="6">
        <v>44228</v>
      </c>
      <c r="B39" s="4">
        <v>4270.4270005405579</v>
      </c>
      <c r="C39" s="8">
        <v>90.002109259649856</v>
      </c>
      <c r="D39">
        <f t="shared" si="0"/>
        <v>1280.0999999999999</v>
      </c>
      <c r="E39">
        <f t="shared" si="3"/>
        <v>31</v>
      </c>
      <c r="F39">
        <f t="shared" si="1"/>
        <v>39683.1</v>
      </c>
      <c r="G39">
        <f t="shared" si="4"/>
        <v>1391449.8240000007</v>
      </c>
      <c r="H39">
        <f t="shared" si="2"/>
        <v>26860.131748</v>
      </c>
      <c r="I39">
        <f t="shared" si="5"/>
        <v>1093798.6415809998</v>
      </c>
    </row>
    <row r="40" spans="1:9" x14ac:dyDescent="0.3">
      <c r="A40" s="6">
        <v>44256</v>
      </c>
      <c r="B40" s="4">
        <v>4962.1840001271903</v>
      </c>
      <c r="C40" s="14">
        <v>90.002109259649856</v>
      </c>
      <c r="D40">
        <f t="shared" si="0"/>
        <v>1280.0999999999999</v>
      </c>
      <c r="E40">
        <f t="shared" si="3"/>
        <v>28</v>
      </c>
      <c r="F40">
        <f t="shared" si="1"/>
        <v>35842.799999999996</v>
      </c>
      <c r="G40">
        <f t="shared" si="4"/>
        <v>1427292.6240000008</v>
      </c>
      <c r="H40">
        <f t="shared" si="2"/>
        <v>31211.144924</v>
      </c>
      <c r="I40">
        <f t="shared" si="5"/>
        <v>1125009.7865049997</v>
      </c>
    </row>
    <row r="41" spans="1:9" x14ac:dyDescent="0.3">
      <c r="A41" s="6">
        <v>44287</v>
      </c>
      <c r="B41" s="4">
        <v>1958.9109997138225</v>
      </c>
      <c r="C41">
        <v>90</v>
      </c>
      <c r="D41">
        <f t="shared" si="0"/>
        <v>1280.0700000000002</v>
      </c>
      <c r="E41">
        <f t="shared" si="3"/>
        <v>31</v>
      </c>
      <c r="F41">
        <f t="shared" si="1"/>
        <v>39682.170000000006</v>
      </c>
      <c r="G41">
        <f t="shared" si="4"/>
        <v>1466974.7940000007</v>
      </c>
      <c r="H41">
        <f t="shared" si="2"/>
        <v>12321.158406</v>
      </c>
      <c r="I41">
        <f t="shared" si="5"/>
        <v>1137330.9449109996</v>
      </c>
    </row>
    <row r="42" spans="1:9" x14ac:dyDescent="0.3">
      <c r="A42" s="6">
        <v>44317</v>
      </c>
      <c r="B42" s="4">
        <v>1509.3270002225825</v>
      </c>
      <c r="C42">
        <v>90</v>
      </c>
      <c r="D42">
        <f t="shared" si="0"/>
        <v>1280.0700000000002</v>
      </c>
      <c r="E42">
        <f t="shared" si="3"/>
        <v>30</v>
      </c>
      <c r="F42">
        <f t="shared" si="1"/>
        <v>38402.100000000006</v>
      </c>
      <c r="G42">
        <f t="shared" si="4"/>
        <v>1505376.8940000008</v>
      </c>
      <c r="H42">
        <f t="shared" si="2"/>
        <v>9493.3649659999992</v>
      </c>
      <c r="I42">
        <f t="shared" si="5"/>
        <v>1146824.3098769996</v>
      </c>
    </row>
    <row r="43" spans="1:9" x14ac:dyDescent="0.3">
      <c r="A43" s="6">
        <v>44348</v>
      </c>
      <c r="B43" s="4">
        <v>3301.2859998728104</v>
      </c>
      <c r="C43" s="7">
        <v>82.000984321169923</v>
      </c>
      <c r="D43">
        <f t="shared" si="0"/>
        <v>1166.3</v>
      </c>
      <c r="E43">
        <f t="shared" si="3"/>
        <v>31</v>
      </c>
      <c r="F43">
        <f t="shared" si="1"/>
        <v>36155.299999999996</v>
      </c>
      <c r="G43">
        <f t="shared" si="4"/>
        <v>1541532.1940000008</v>
      </c>
      <c r="H43">
        <f t="shared" si="2"/>
        <v>20764.428682000002</v>
      </c>
      <c r="I43">
        <f t="shared" si="5"/>
        <v>1167588.7385589995</v>
      </c>
    </row>
    <row r="44" spans="1:9" x14ac:dyDescent="0.3">
      <c r="A44" s="6">
        <v>44378</v>
      </c>
      <c r="B44" s="4">
        <v>4752.7100004769627</v>
      </c>
      <c r="C44" s="7">
        <v>90.002109259649856</v>
      </c>
      <c r="D44">
        <f t="shared" si="0"/>
        <v>1280.0999999999999</v>
      </c>
      <c r="E44">
        <f t="shared" si="3"/>
        <v>30</v>
      </c>
      <c r="F44">
        <f t="shared" si="1"/>
        <v>38403</v>
      </c>
      <c r="G44">
        <f t="shared" si="4"/>
        <v>1579935.1940000008</v>
      </c>
      <c r="H44">
        <f t="shared" si="2"/>
        <v>29893.595361</v>
      </c>
      <c r="I44">
        <f t="shared" si="5"/>
        <v>1197482.3339199994</v>
      </c>
    </row>
    <row r="45" spans="1:9" x14ac:dyDescent="0.3">
      <c r="A45" s="6">
        <v>44409</v>
      </c>
      <c r="B45" s="4">
        <v>8308.5859995548344</v>
      </c>
      <c r="C45" s="7">
        <v>85.003163889474791</v>
      </c>
      <c r="D45">
        <f t="shared" si="0"/>
        <v>1209</v>
      </c>
      <c r="E45">
        <f t="shared" si="3"/>
        <v>31</v>
      </c>
      <c r="F45">
        <f t="shared" si="1"/>
        <v>37479</v>
      </c>
      <c r="G45">
        <f t="shared" si="4"/>
        <v>1617414.1940000008</v>
      </c>
      <c r="H45">
        <f t="shared" si="2"/>
        <v>52259.344219999992</v>
      </c>
      <c r="I45">
        <f t="shared" si="5"/>
        <v>1249741.6781399995</v>
      </c>
    </row>
    <row r="46" spans="1:9" x14ac:dyDescent="0.3">
      <c r="A46" s="6">
        <v>44440</v>
      </c>
      <c r="B46" s="4">
        <v>7785.8129997774176</v>
      </c>
      <c r="C46" s="7">
        <v>85</v>
      </c>
      <c r="D46">
        <f t="shared" si="0"/>
        <v>1208.9550000000002</v>
      </c>
      <c r="E46">
        <f t="shared" si="3"/>
        <v>31</v>
      </c>
      <c r="F46">
        <f t="shared" si="1"/>
        <v>37477.605000000003</v>
      </c>
      <c r="G46">
        <f t="shared" si="4"/>
        <v>1654891.7990000008</v>
      </c>
      <c r="H46">
        <f t="shared" si="2"/>
        <v>48971.206606</v>
      </c>
      <c r="I46">
        <f t="shared" si="5"/>
        <v>1298712.8847459995</v>
      </c>
    </row>
    <row r="47" spans="1:9" x14ac:dyDescent="0.3">
      <c r="A47" s="6">
        <v>44470</v>
      </c>
      <c r="B47" s="4">
        <v>7320.1160001907856</v>
      </c>
      <c r="C47" s="7">
        <v>84.996836110525194</v>
      </c>
      <c r="D47">
        <f t="shared" si="0"/>
        <v>1208.9099999999999</v>
      </c>
      <c r="E47">
        <f t="shared" si="3"/>
        <v>30</v>
      </c>
      <c r="F47">
        <f t="shared" si="1"/>
        <v>36267.299999999996</v>
      </c>
      <c r="G47">
        <f t="shared" si="4"/>
        <v>1691159.0990000009</v>
      </c>
      <c r="H47">
        <f t="shared" si="2"/>
        <v>46042.065618000001</v>
      </c>
      <c r="I47">
        <f t="shared" si="5"/>
        <v>1344754.9503639995</v>
      </c>
    </row>
    <row r="48" spans="1:9" x14ac:dyDescent="0.3">
      <c r="A48" s="6">
        <v>44501</v>
      </c>
      <c r="B48" s="4">
        <v>7413.1919999046086</v>
      </c>
      <c r="C48" s="7">
        <v>84.993672221050403</v>
      </c>
      <c r="D48">
        <f t="shared" si="0"/>
        <v>1208.865</v>
      </c>
      <c r="E48">
        <f t="shared" si="3"/>
        <v>31</v>
      </c>
      <c r="F48">
        <f t="shared" si="1"/>
        <v>37474.815000000002</v>
      </c>
      <c r="G48">
        <f t="shared" si="4"/>
        <v>1728633.9140000008</v>
      </c>
      <c r="H48">
        <f t="shared" si="2"/>
        <v>46627.495041000002</v>
      </c>
      <c r="I48">
        <f t="shared" si="5"/>
        <v>1391382.4454049994</v>
      </c>
    </row>
    <row r="49" spans="1:9" x14ac:dyDescent="0.3">
      <c r="A49" s="6">
        <v>44531</v>
      </c>
      <c r="B49" s="4">
        <v>4868.9269999046082</v>
      </c>
      <c r="C49" s="7">
        <v>84.990508331575597</v>
      </c>
      <c r="D49">
        <f t="shared" si="0"/>
        <v>1208.8199999999997</v>
      </c>
      <c r="E49">
        <f t="shared" si="3"/>
        <v>30</v>
      </c>
      <c r="F49">
        <f t="shared" si="1"/>
        <v>36264.599999999991</v>
      </c>
      <c r="G49">
        <f t="shared" si="4"/>
        <v>1764898.5140000009</v>
      </c>
      <c r="H49">
        <f t="shared" si="2"/>
        <v>30624.577044000001</v>
      </c>
      <c r="I49">
        <f t="shared" si="5"/>
        <v>1422007.0224489993</v>
      </c>
    </row>
    <row r="50" spans="1:9" x14ac:dyDescent="0.3">
      <c r="A50" s="6">
        <v>44562</v>
      </c>
      <c r="B50" s="4">
        <v>11649.031999745621</v>
      </c>
      <c r="C50" s="7">
        <v>84.987344442100806</v>
      </c>
      <c r="D50">
        <f t="shared" si="0"/>
        <v>1208.7749999999999</v>
      </c>
      <c r="E50">
        <f t="shared" si="3"/>
        <v>31</v>
      </c>
      <c r="F50">
        <f t="shared" si="1"/>
        <v>37472.024999999994</v>
      </c>
      <c r="G50">
        <f t="shared" si="4"/>
        <v>1802370.5390000008</v>
      </c>
      <c r="H50">
        <f t="shared" si="2"/>
        <v>73270.081472000005</v>
      </c>
      <c r="I50">
        <f t="shared" si="5"/>
        <v>1495277.1039209994</v>
      </c>
    </row>
    <row r="51" spans="1:9" x14ac:dyDescent="0.3">
      <c r="A51" s="6">
        <v>44593</v>
      </c>
      <c r="B51" s="4">
        <v>10688.365</v>
      </c>
      <c r="C51" s="7">
        <v>84.984180552626</v>
      </c>
      <c r="D51">
        <f t="shared" si="0"/>
        <v>1208.7299999999996</v>
      </c>
      <c r="E51">
        <f t="shared" si="3"/>
        <v>31</v>
      </c>
      <c r="F51">
        <f t="shared" si="1"/>
        <v>37470.62999999999</v>
      </c>
      <c r="G51">
        <f t="shared" si="4"/>
        <v>1839841.1690000007</v>
      </c>
      <c r="H51">
        <f t="shared" si="2"/>
        <v>67227.678176999994</v>
      </c>
      <c r="I51">
        <f t="shared" si="5"/>
        <v>1562504.7820979995</v>
      </c>
    </row>
    <row r="52" spans="1:9" x14ac:dyDescent="0.3">
      <c r="A52" s="6">
        <v>44621</v>
      </c>
      <c r="B52" s="4">
        <v>11860.086999904608</v>
      </c>
      <c r="C52" s="7">
        <v>84.981016663151294</v>
      </c>
      <c r="D52">
        <f t="shared" si="0"/>
        <v>1208.6850000000009</v>
      </c>
      <c r="E52">
        <f t="shared" si="3"/>
        <v>28</v>
      </c>
      <c r="F52">
        <f t="shared" si="1"/>
        <v>33843.180000000022</v>
      </c>
      <c r="G52">
        <f t="shared" si="4"/>
        <v>1873684.3490000006</v>
      </c>
      <c r="H52">
        <f t="shared" si="2"/>
        <v>74597.575211999996</v>
      </c>
      <c r="I52">
        <f t="shared" si="5"/>
        <v>1637102.3573099994</v>
      </c>
    </row>
    <row r="53" spans="1:9" x14ac:dyDescent="0.3">
      <c r="A53" s="6">
        <v>44652</v>
      </c>
      <c r="B53" s="4">
        <v>7204.5110000317982</v>
      </c>
      <c r="C53" s="7">
        <v>84.977852773676503</v>
      </c>
      <c r="D53">
        <f t="shared" si="0"/>
        <v>1208.640000000001</v>
      </c>
      <c r="E53">
        <f t="shared" si="3"/>
        <v>31</v>
      </c>
      <c r="F53">
        <f t="shared" si="1"/>
        <v>37467.840000000033</v>
      </c>
      <c r="G53">
        <f t="shared" si="4"/>
        <v>1911152.1890000007</v>
      </c>
      <c r="H53">
        <f t="shared" si="2"/>
        <v>45314.933288</v>
      </c>
      <c r="I53">
        <f t="shared" si="5"/>
        <v>1682417.2905979995</v>
      </c>
    </row>
    <row r="54" spans="1:9" x14ac:dyDescent="0.3">
      <c r="A54" s="6">
        <v>44682</v>
      </c>
      <c r="B54" s="4">
        <v>11413.754999841012</v>
      </c>
      <c r="C54" s="7">
        <v>84.974688884201697</v>
      </c>
      <c r="D54">
        <f t="shared" si="0"/>
        <v>1208.5950000000007</v>
      </c>
      <c r="E54">
        <f t="shared" si="3"/>
        <v>30</v>
      </c>
      <c r="F54">
        <f t="shared" si="1"/>
        <v>36257.85000000002</v>
      </c>
      <c r="G54">
        <f t="shared" si="4"/>
        <v>1947410.0390000008</v>
      </c>
      <c r="H54">
        <f t="shared" si="2"/>
        <v>71790.236197999999</v>
      </c>
      <c r="I54">
        <f t="shared" si="5"/>
        <v>1754207.5267959994</v>
      </c>
    </row>
    <row r="55" spans="1:9" x14ac:dyDescent="0.3">
      <c r="A55" s="6">
        <v>44713</v>
      </c>
      <c r="B55" s="4">
        <v>11571.962000063595</v>
      </c>
      <c r="C55" s="7">
        <v>84.971524994726906</v>
      </c>
      <c r="D55">
        <f t="shared" si="0"/>
        <v>1208.5500000000009</v>
      </c>
      <c r="E55">
        <f t="shared" si="3"/>
        <v>31</v>
      </c>
      <c r="F55">
        <f t="shared" si="1"/>
        <v>37465.050000000025</v>
      </c>
      <c r="G55">
        <f t="shared" si="4"/>
        <v>1984875.0890000009</v>
      </c>
      <c r="H55">
        <f t="shared" si="2"/>
        <v>72785.326587999996</v>
      </c>
      <c r="I55">
        <f t="shared" si="5"/>
        <v>1826992.8533839993</v>
      </c>
    </row>
    <row r="56" spans="1:9" x14ac:dyDescent="0.3">
      <c r="A56" s="6">
        <v>44743</v>
      </c>
      <c r="B56" s="4">
        <v>10799.976000190785</v>
      </c>
      <c r="C56" s="7">
        <v>84.9683611052521</v>
      </c>
      <c r="D56">
        <f t="shared" si="0"/>
        <v>1208.5050000000008</v>
      </c>
      <c r="E56">
        <f t="shared" si="3"/>
        <v>30</v>
      </c>
      <c r="F56">
        <f t="shared" si="1"/>
        <v>36255.150000000023</v>
      </c>
      <c r="G56">
        <f t="shared" si="4"/>
        <v>2021130.239000001</v>
      </c>
      <c r="H56">
        <f t="shared" si="2"/>
        <v>67929.689046</v>
      </c>
      <c r="I56">
        <f t="shared" si="5"/>
        <v>1894922.5424299992</v>
      </c>
    </row>
    <row r="57" spans="1:9" x14ac:dyDescent="0.3">
      <c r="A57" s="6">
        <v>44774</v>
      </c>
      <c r="B57" s="4">
        <v>11888.856000190784</v>
      </c>
      <c r="C57" s="7">
        <v>84.965197215777295</v>
      </c>
      <c r="D57">
        <f t="shared" si="0"/>
        <v>1208.4600000000005</v>
      </c>
      <c r="E57">
        <f t="shared" si="3"/>
        <v>31</v>
      </c>
      <c r="F57">
        <f t="shared" si="1"/>
        <v>37462.260000000017</v>
      </c>
      <c r="G57">
        <f t="shared" si="4"/>
        <v>2058592.499000001</v>
      </c>
      <c r="H57">
        <f t="shared" si="2"/>
        <v>74778.526469999997</v>
      </c>
      <c r="I57">
        <f t="shared" si="5"/>
        <v>1969701.0688999991</v>
      </c>
    </row>
    <row r="58" spans="1:9" x14ac:dyDescent="0.3">
      <c r="A58" s="6">
        <v>44805</v>
      </c>
      <c r="B58" s="4">
        <v>11448.670999713824</v>
      </c>
      <c r="C58" s="7">
        <v>84.962033326302503</v>
      </c>
      <c r="D58">
        <f t="shared" si="0"/>
        <v>1208.4150000000006</v>
      </c>
      <c r="E58">
        <f t="shared" si="3"/>
        <v>31</v>
      </c>
      <c r="F58">
        <f t="shared" si="1"/>
        <v>37460.86500000002</v>
      </c>
      <c r="G58">
        <f t="shared" si="4"/>
        <v>2096053.364000001</v>
      </c>
      <c r="H58">
        <f t="shared" si="2"/>
        <v>72009.850854000004</v>
      </c>
      <c r="I58">
        <f t="shared" si="5"/>
        <v>2041710.9197539992</v>
      </c>
    </row>
    <row r="59" spans="1:9" x14ac:dyDescent="0.3">
      <c r="A59" s="6">
        <v>44835</v>
      </c>
      <c r="B59" s="4">
        <v>5780.3210003497725</v>
      </c>
      <c r="C59" s="7">
        <v>80</v>
      </c>
      <c r="D59">
        <f t="shared" si="0"/>
        <v>1137.8400000000001</v>
      </c>
      <c r="E59">
        <f t="shared" si="3"/>
        <v>30</v>
      </c>
      <c r="F59">
        <f t="shared" si="1"/>
        <v>34135.200000000004</v>
      </c>
      <c r="G59">
        <f t="shared" si="4"/>
        <v>2130188.5640000012</v>
      </c>
      <c r="H59">
        <f t="shared" si="2"/>
        <v>36357.063027999997</v>
      </c>
      <c r="I59">
        <f t="shared" si="5"/>
        <v>2078067.9827819993</v>
      </c>
    </row>
    <row r="60" spans="1:9" x14ac:dyDescent="0.3">
      <c r="A60" s="6">
        <v>44866</v>
      </c>
      <c r="B60" s="4">
        <v>2732.9950000000003</v>
      </c>
      <c r="C60" s="7">
        <v>80</v>
      </c>
      <c r="D60">
        <f t="shared" si="0"/>
        <v>1137.8400000000001</v>
      </c>
      <c r="E60">
        <f t="shared" si="3"/>
        <v>31</v>
      </c>
      <c r="F60">
        <f t="shared" si="1"/>
        <v>35273.040000000008</v>
      </c>
      <c r="G60">
        <f t="shared" si="4"/>
        <v>2165461.6040000012</v>
      </c>
      <c r="H60">
        <f t="shared" si="2"/>
        <v>17189.991951</v>
      </c>
      <c r="I60">
        <f t="shared" si="5"/>
        <v>2095257.9747329992</v>
      </c>
    </row>
    <row r="61" spans="1:9" x14ac:dyDescent="0.3">
      <c r="A61" s="6">
        <v>44896</v>
      </c>
      <c r="B61" s="4">
        <v>3513.1860003497727</v>
      </c>
      <c r="C61" s="7">
        <v>80</v>
      </c>
      <c r="D61">
        <f t="shared" si="0"/>
        <v>1137.8400000000001</v>
      </c>
      <c r="E61">
        <f t="shared" si="3"/>
        <v>30</v>
      </c>
      <c r="F61">
        <f t="shared" si="1"/>
        <v>34135.200000000004</v>
      </c>
      <c r="G61">
        <f t="shared" si="4"/>
        <v>2199596.8040000014</v>
      </c>
      <c r="H61">
        <f t="shared" si="2"/>
        <v>22097.237304999999</v>
      </c>
      <c r="I61">
        <f t="shared" si="5"/>
        <v>2117355.2120379992</v>
      </c>
    </row>
    <row r="62" spans="1:9" x14ac:dyDescent="0.3">
      <c r="A62" s="6">
        <v>44927</v>
      </c>
      <c r="B62" s="4">
        <v>3998.29800025438</v>
      </c>
      <c r="C62" s="7">
        <v>80</v>
      </c>
      <c r="D62">
        <f t="shared" si="0"/>
        <v>1137.8400000000001</v>
      </c>
      <c r="E62">
        <f t="shared" si="3"/>
        <v>31</v>
      </c>
      <c r="F62">
        <f t="shared" si="1"/>
        <v>35273.040000000008</v>
      </c>
      <c r="G62">
        <f t="shared" si="4"/>
        <v>2234869.8440000014</v>
      </c>
      <c r="H62">
        <f t="shared" si="2"/>
        <v>25148.494761999998</v>
      </c>
      <c r="I62">
        <f t="shared" si="5"/>
        <v>2142503.7067999993</v>
      </c>
    </row>
    <row r="63" spans="1:9" x14ac:dyDescent="0.3">
      <c r="A63" s="6">
        <v>44958</v>
      </c>
      <c r="B63" s="4">
        <v>2823.45</v>
      </c>
      <c r="C63" s="7">
        <v>73.999859382690005</v>
      </c>
      <c r="D63">
        <f t="shared" si="0"/>
        <v>1052.5</v>
      </c>
      <c r="E63">
        <f t="shared" si="3"/>
        <v>31</v>
      </c>
      <c r="F63">
        <f t="shared" si="1"/>
        <v>32627.5</v>
      </c>
      <c r="G63">
        <f t="shared" si="4"/>
        <v>2267497.3440000014</v>
      </c>
      <c r="H63">
        <f t="shared" si="2"/>
        <v>17758.935809999999</v>
      </c>
      <c r="I63">
        <f t="shared" si="5"/>
        <v>2160262.6426099995</v>
      </c>
    </row>
    <row r="64" spans="1:9" x14ac:dyDescent="0.3">
      <c r="A64" s="6">
        <v>44986</v>
      </c>
      <c r="B64" s="4">
        <v>7947.9130004133685</v>
      </c>
      <c r="C64" s="7">
        <v>86.001546790409904</v>
      </c>
      <c r="D64">
        <f t="shared" si="0"/>
        <v>1223.2</v>
      </c>
      <c r="E64">
        <f t="shared" si="3"/>
        <v>28</v>
      </c>
      <c r="F64">
        <f t="shared" si="1"/>
        <v>34249.599999999999</v>
      </c>
      <c r="G64">
        <f t="shared" si="4"/>
        <v>2301746.9440000015</v>
      </c>
      <c r="H64">
        <f t="shared" si="2"/>
        <v>49990.783190000002</v>
      </c>
      <c r="I64">
        <f t="shared" si="5"/>
        <v>2210253.4257999994</v>
      </c>
    </row>
    <row r="65" spans="1:9" x14ac:dyDescent="0.3">
      <c r="A65" s="6">
        <v>45017</v>
      </c>
      <c r="B65" s="4">
        <v>14250.295000317976</v>
      </c>
      <c r="C65" s="7">
        <v>91.000492160584955</v>
      </c>
      <c r="D65">
        <f t="shared" si="0"/>
        <v>1294.3</v>
      </c>
      <c r="E65">
        <f t="shared" si="3"/>
        <v>31</v>
      </c>
      <c r="F65">
        <f t="shared" si="1"/>
        <v>40123.299999999996</v>
      </c>
      <c r="G65">
        <f t="shared" si="4"/>
        <v>2341870.2440000013</v>
      </c>
      <c r="H65">
        <f t="shared" si="2"/>
        <v>89631.505493000004</v>
      </c>
      <c r="I65">
        <f t="shared" si="5"/>
        <v>2299884.9312929995</v>
      </c>
    </row>
    <row r="66" spans="1:9" x14ac:dyDescent="0.3">
      <c r="A66" s="6">
        <v>45047</v>
      </c>
      <c r="B66" s="4">
        <v>11424.334000286179</v>
      </c>
      <c r="C66" s="7">
        <v>91</v>
      </c>
      <c r="D66">
        <f t="shared" si="0"/>
        <v>1294.2930000000001</v>
      </c>
      <c r="E66">
        <f t="shared" si="3"/>
        <v>30</v>
      </c>
      <c r="F66">
        <f t="shared" si="1"/>
        <v>38828.79</v>
      </c>
      <c r="G66">
        <f t="shared" si="4"/>
        <v>2380699.0340000014</v>
      </c>
      <c r="H66">
        <f t="shared" si="2"/>
        <v>71856.775995000004</v>
      </c>
      <c r="I66">
        <f t="shared" si="5"/>
        <v>2371741.7072879993</v>
      </c>
    </row>
    <row r="67" spans="1:9" x14ac:dyDescent="0.3">
      <c r="A67" s="6">
        <v>45078</v>
      </c>
      <c r="B67" s="4">
        <v>12334.556999586634</v>
      </c>
      <c r="C67" s="7">
        <v>102.01785839836883</v>
      </c>
      <c r="D67">
        <f t="shared" ref="D67:D93" si="6">14.223*C67</f>
        <v>1451</v>
      </c>
      <c r="E67">
        <f t="shared" si="3"/>
        <v>31</v>
      </c>
      <c r="F67">
        <f t="shared" ref="F67:F93" si="7">D67*E67</f>
        <v>44981</v>
      </c>
      <c r="G67">
        <f t="shared" si="4"/>
        <v>2425680.0340000014</v>
      </c>
      <c r="H67">
        <f t="shared" ref="H67:H93" si="8">6.2898*B67</f>
        <v>77581.896615999998</v>
      </c>
      <c r="I67">
        <f t="shared" si="5"/>
        <v>2449323.6039039996</v>
      </c>
    </row>
    <row r="68" spans="1:9" x14ac:dyDescent="0.3">
      <c r="A68" s="6">
        <v>45108</v>
      </c>
      <c r="B68" s="4">
        <v>11584.285000317977</v>
      </c>
      <c r="C68" s="7">
        <v>102.01785839836883</v>
      </c>
      <c r="D68">
        <f t="shared" si="6"/>
        <v>1451</v>
      </c>
      <c r="E68">
        <f t="shared" ref="E68:E93" si="9">A68-A67</f>
        <v>30</v>
      </c>
      <c r="F68">
        <f t="shared" si="7"/>
        <v>43530</v>
      </c>
      <c r="G68">
        <f t="shared" ref="G68:G93" si="10">G67+F68</f>
        <v>2469210.0340000014</v>
      </c>
      <c r="H68">
        <f t="shared" si="8"/>
        <v>72862.835795000006</v>
      </c>
      <c r="I68">
        <f t="shared" ref="I68:I93" si="11">I67+H68</f>
        <v>2522186.4396989997</v>
      </c>
    </row>
    <row r="69" spans="1:9" x14ac:dyDescent="0.3">
      <c r="A69" s="6">
        <v>45139</v>
      </c>
      <c r="B69" s="4">
        <v>10254.882999936406</v>
      </c>
      <c r="C69" s="7">
        <v>102.01785839836883</v>
      </c>
      <c r="D69">
        <f t="shared" si="6"/>
        <v>1451</v>
      </c>
      <c r="E69">
        <f t="shared" si="9"/>
        <v>31</v>
      </c>
      <c r="F69">
        <f t="shared" si="7"/>
        <v>44981</v>
      </c>
      <c r="G69">
        <f t="shared" si="10"/>
        <v>2514191.0340000014</v>
      </c>
      <c r="H69">
        <f t="shared" si="8"/>
        <v>64501.163093000003</v>
      </c>
      <c r="I69">
        <f t="shared" si="11"/>
        <v>2586687.6027919999</v>
      </c>
    </row>
    <row r="70" spans="1:9" x14ac:dyDescent="0.3">
      <c r="A70" s="6">
        <v>45170</v>
      </c>
      <c r="B70" s="4">
        <v>10135.343999809216</v>
      </c>
      <c r="C70" s="7">
        <v>48.020811361878643</v>
      </c>
      <c r="D70">
        <f t="shared" si="6"/>
        <v>683</v>
      </c>
      <c r="E70">
        <f t="shared" si="9"/>
        <v>31</v>
      </c>
      <c r="F70">
        <f t="shared" si="7"/>
        <v>21173</v>
      </c>
      <c r="G70">
        <f t="shared" si="10"/>
        <v>2535364.0340000014</v>
      </c>
      <c r="H70">
        <f t="shared" si="8"/>
        <v>63749.286690000008</v>
      </c>
      <c r="I70">
        <f t="shared" si="11"/>
        <v>2650436.8894819999</v>
      </c>
    </row>
    <row r="71" spans="1:9" x14ac:dyDescent="0.3">
      <c r="A71" s="6">
        <v>45200</v>
      </c>
      <c r="B71" s="4">
        <v>9236.0910001907851</v>
      </c>
      <c r="C71" s="7">
        <v>87.998312592280101</v>
      </c>
      <c r="D71">
        <f t="shared" si="6"/>
        <v>1251.5999999999999</v>
      </c>
      <c r="E71">
        <f t="shared" si="9"/>
        <v>30</v>
      </c>
      <c r="F71">
        <f t="shared" si="7"/>
        <v>37548</v>
      </c>
      <c r="G71">
        <f t="shared" si="10"/>
        <v>2572912.0340000014</v>
      </c>
      <c r="H71">
        <f t="shared" si="8"/>
        <v>58093.165172999994</v>
      </c>
      <c r="I71">
        <f t="shared" si="11"/>
        <v>2708530.0546550001</v>
      </c>
    </row>
    <row r="72" spans="1:9" x14ac:dyDescent="0.3">
      <c r="A72" s="6">
        <v>45231</v>
      </c>
      <c r="B72" s="4">
        <v>8909.3050001589891</v>
      </c>
      <c r="C72" s="7">
        <v>98.080573718624763</v>
      </c>
      <c r="D72">
        <f t="shared" si="6"/>
        <v>1395</v>
      </c>
      <c r="E72">
        <f t="shared" si="9"/>
        <v>31</v>
      </c>
      <c r="F72">
        <f t="shared" si="7"/>
        <v>43245</v>
      </c>
      <c r="G72">
        <f t="shared" si="10"/>
        <v>2616157.0340000014</v>
      </c>
      <c r="H72">
        <f t="shared" si="8"/>
        <v>56037.746590000002</v>
      </c>
      <c r="I72">
        <f t="shared" si="11"/>
        <v>2764567.8012450002</v>
      </c>
    </row>
    <row r="73" spans="1:9" x14ac:dyDescent="0.3">
      <c r="A73" s="6">
        <v>45261</v>
      </c>
      <c r="B73" s="4">
        <v>8336.9379997774176</v>
      </c>
      <c r="C73" s="7">
        <v>98</v>
      </c>
      <c r="D73">
        <f t="shared" si="6"/>
        <v>1393.854</v>
      </c>
      <c r="E73">
        <f t="shared" si="9"/>
        <v>30</v>
      </c>
      <c r="F73">
        <f t="shared" si="7"/>
        <v>41815.620000000003</v>
      </c>
      <c r="G73">
        <f t="shared" si="10"/>
        <v>2657972.6540000015</v>
      </c>
      <c r="H73">
        <f t="shared" si="8"/>
        <v>52437.672631000001</v>
      </c>
      <c r="I73">
        <f t="shared" si="11"/>
        <v>2817005.4738760004</v>
      </c>
    </row>
    <row r="74" spans="1:9" x14ac:dyDescent="0.3">
      <c r="A74" s="6">
        <v>45292</v>
      </c>
      <c r="B74" s="4">
        <v>8129.4479997774179</v>
      </c>
      <c r="C74" s="7">
        <v>98</v>
      </c>
      <c r="D74">
        <f t="shared" si="6"/>
        <v>1393.854</v>
      </c>
      <c r="E74">
        <f t="shared" si="9"/>
        <v>31</v>
      </c>
      <c r="F74">
        <f t="shared" si="7"/>
        <v>43209.474000000002</v>
      </c>
      <c r="G74">
        <f t="shared" si="10"/>
        <v>2701182.1280000014</v>
      </c>
      <c r="H74">
        <f t="shared" si="8"/>
        <v>51132.602029000001</v>
      </c>
      <c r="I74">
        <f t="shared" si="11"/>
        <v>2868138.0759050003</v>
      </c>
    </row>
    <row r="75" spans="1:9" x14ac:dyDescent="0.3">
      <c r="A75" s="6">
        <v>45323</v>
      </c>
      <c r="B75" s="4">
        <v>8594.8010000317972</v>
      </c>
      <c r="C75" s="7">
        <v>98</v>
      </c>
      <c r="D75">
        <f t="shared" si="6"/>
        <v>1393.854</v>
      </c>
      <c r="E75">
        <f t="shared" si="9"/>
        <v>31</v>
      </c>
      <c r="F75">
        <f t="shared" si="7"/>
        <v>43209.474000000002</v>
      </c>
      <c r="G75">
        <f t="shared" si="10"/>
        <v>2744391.6020000014</v>
      </c>
      <c r="H75">
        <f t="shared" si="8"/>
        <v>54059.579329999993</v>
      </c>
      <c r="I75">
        <f t="shared" si="11"/>
        <v>2922197.6552350004</v>
      </c>
    </row>
    <row r="76" spans="1:9" x14ac:dyDescent="0.3">
      <c r="A76" s="6">
        <v>45352</v>
      </c>
      <c r="B76" s="4">
        <v>9418.0521737268155</v>
      </c>
      <c r="C76" s="7">
        <v>98</v>
      </c>
      <c r="D76">
        <f t="shared" si="6"/>
        <v>1393.854</v>
      </c>
      <c r="E76">
        <f t="shared" si="9"/>
        <v>29</v>
      </c>
      <c r="F76">
        <f t="shared" si="7"/>
        <v>40421.766000000003</v>
      </c>
      <c r="G76">
        <f t="shared" si="10"/>
        <v>2784813.3680000012</v>
      </c>
      <c r="H76">
        <f t="shared" si="8"/>
        <v>59237.66456230692</v>
      </c>
      <c r="I76">
        <f t="shared" si="11"/>
        <v>2981435.3197973073</v>
      </c>
    </row>
    <row r="77" spans="1:9" x14ac:dyDescent="0.3">
      <c r="A77" s="6">
        <v>45383</v>
      </c>
      <c r="B77" s="4">
        <v>8334.0489953538581</v>
      </c>
      <c r="C77" s="7">
        <v>87.967388248524031</v>
      </c>
      <c r="D77">
        <f t="shared" si="6"/>
        <v>1251.1601630587575</v>
      </c>
      <c r="E77">
        <f t="shared" si="9"/>
        <v>31</v>
      </c>
      <c r="F77">
        <f t="shared" si="7"/>
        <v>38785.965054821485</v>
      </c>
      <c r="G77">
        <f t="shared" si="10"/>
        <v>2823599.3330548229</v>
      </c>
      <c r="H77">
        <f t="shared" si="8"/>
        <v>52419.501370976694</v>
      </c>
      <c r="I77">
        <f t="shared" si="11"/>
        <v>3033854.8211682839</v>
      </c>
    </row>
    <row r="78" spans="1:9" x14ac:dyDescent="0.3">
      <c r="A78" s="6">
        <v>45413</v>
      </c>
      <c r="B78" s="4">
        <v>8475.420000158987</v>
      </c>
      <c r="C78" s="7">
        <v>87.967388248524031</v>
      </c>
      <c r="D78">
        <f t="shared" si="6"/>
        <v>1251.1601630587575</v>
      </c>
      <c r="E78">
        <f t="shared" si="9"/>
        <v>30</v>
      </c>
      <c r="F78">
        <f t="shared" si="7"/>
        <v>37534.804891762724</v>
      </c>
      <c r="G78">
        <f t="shared" si="10"/>
        <v>2861134.1379465857</v>
      </c>
      <c r="H78">
        <f t="shared" si="8"/>
        <v>53308.696716999992</v>
      </c>
      <c r="I78">
        <f t="shared" si="11"/>
        <v>3087163.517885284</v>
      </c>
    </row>
    <row r="79" spans="1:9" x14ac:dyDescent="0.3">
      <c r="A79" s="6">
        <v>45444</v>
      </c>
      <c r="B79" s="4">
        <v>7082.0339998092149</v>
      </c>
      <c r="C79" s="7">
        <v>91.017711554680915</v>
      </c>
      <c r="D79">
        <f t="shared" si="6"/>
        <v>1294.5449114422267</v>
      </c>
      <c r="E79">
        <f t="shared" si="9"/>
        <v>31</v>
      </c>
      <c r="F79">
        <f t="shared" si="7"/>
        <v>40130.892254709026</v>
      </c>
      <c r="G79">
        <f t="shared" si="10"/>
        <v>2901265.0302012945</v>
      </c>
      <c r="H79">
        <f t="shared" si="8"/>
        <v>44544.577451999998</v>
      </c>
      <c r="I79">
        <f t="shared" si="11"/>
        <v>3131708.0953372838</v>
      </c>
    </row>
    <row r="80" spans="1:9" x14ac:dyDescent="0.3">
      <c r="A80" s="6">
        <v>45474</v>
      </c>
      <c r="B80" s="4">
        <v>6950.6759998728103</v>
      </c>
      <c r="C80" s="7">
        <v>90.033736294630302</v>
      </c>
      <c r="D80">
        <f t="shared" si="6"/>
        <v>1280.5498313185269</v>
      </c>
      <c r="E80">
        <f t="shared" si="9"/>
        <v>30</v>
      </c>
      <c r="F80">
        <f t="shared" si="7"/>
        <v>38416.494939555807</v>
      </c>
      <c r="G80">
        <f t="shared" si="10"/>
        <v>2939681.5251408503</v>
      </c>
      <c r="H80">
        <f t="shared" si="8"/>
        <v>43718.361903999998</v>
      </c>
      <c r="I80">
        <f t="shared" si="11"/>
        <v>3175426.4572412837</v>
      </c>
    </row>
    <row r="81" spans="1:9" x14ac:dyDescent="0.3">
      <c r="A81" s="6">
        <v>45505</v>
      </c>
      <c r="B81" s="4">
        <v>6859.6180005723554</v>
      </c>
      <c r="C81" s="7">
        <v>95.023896542029803</v>
      </c>
      <c r="D81">
        <f t="shared" si="6"/>
        <v>1351.5248805172901</v>
      </c>
      <c r="E81">
        <f t="shared" si="9"/>
        <v>31</v>
      </c>
      <c r="F81">
        <f t="shared" si="7"/>
        <v>41897.271296035993</v>
      </c>
      <c r="G81">
        <f t="shared" si="10"/>
        <v>2981578.7964368863</v>
      </c>
      <c r="H81">
        <f t="shared" si="8"/>
        <v>43145.6253</v>
      </c>
      <c r="I81">
        <f t="shared" si="11"/>
        <v>3218572.0825412837</v>
      </c>
    </row>
    <row r="82" spans="1:9" x14ac:dyDescent="0.3">
      <c r="A82" s="6">
        <v>45536</v>
      </c>
      <c r="B82" s="4">
        <v>11660.930999872809</v>
      </c>
      <c r="C82" s="7">
        <v>99.964858026426768</v>
      </c>
      <c r="D82">
        <f t="shared" si="6"/>
        <v>1421.800175709868</v>
      </c>
      <c r="E82">
        <f t="shared" si="9"/>
        <v>31</v>
      </c>
      <c r="F82">
        <f t="shared" si="7"/>
        <v>44075.805447005907</v>
      </c>
      <c r="G82">
        <f t="shared" si="10"/>
        <v>3025654.6018838924</v>
      </c>
      <c r="H82">
        <f t="shared" si="8"/>
        <v>73344.923802999998</v>
      </c>
      <c r="I82">
        <f t="shared" si="11"/>
        <v>3291917.0063442835</v>
      </c>
    </row>
    <row r="83" spans="1:9" x14ac:dyDescent="0.3">
      <c r="A83" s="6">
        <v>45566</v>
      </c>
      <c r="B83" s="4">
        <v>11762.986999904608</v>
      </c>
      <c r="C83" s="7">
        <v>100</v>
      </c>
      <c r="D83">
        <f t="shared" si="6"/>
        <v>1422.3000000000002</v>
      </c>
      <c r="E83">
        <f t="shared" si="9"/>
        <v>30</v>
      </c>
      <c r="F83">
        <f t="shared" si="7"/>
        <v>42669.000000000007</v>
      </c>
      <c r="G83">
        <f t="shared" si="10"/>
        <v>3068323.6018838924</v>
      </c>
      <c r="H83">
        <f t="shared" si="8"/>
        <v>73986.835632000002</v>
      </c>
      <c r="I83">
        <f t="shared" si="11"/>
        <v>3365903.8419762836</v>
      </c>
    </row>
    <row r="84" spans="1:9" x14ac:dyDescent="0.3">
      <c r="A84" s="6">
        <v>45597</v>
      </c>
      <c r="B84" s="4">
        <v>11885.030000317976</v>
      </c>
      <c r="C84" s="7">
        <v>94.039921281979204</v>
      </c>
      <c r="D84">
        <f t="shared" si="6"/>
        <v>1337.5298003935902</v>
      </c>
      <c r="E84">
        <f t="shared" si="9"/>
        <v>31</v>
      </c>
      <c r="F84">
        <f t="shared" si="7"/>
        <v>41463.423812201298</v>
      </c>
      <c r="G84">
        <f t="shared" si="10"/>
        <v>3109787.0256960937</v>
      </c>
      <c r="H84">
        <f t="shared" si="8"/>
        <v>74754.461695999998</v>
      </c>
      <c r="I84">
        <f t="shared" si="11"/>
        <v>3440658.3036722834</v>
      </c>
    </row>
    <row r="85" spans="1:9" x14ac:dyDescent="0.3">
      <c r="A85" s="6">
        <v>45627</v>
      </c>
      <c r="B85" s="4">
        <v>6457.1780002543801</v>
      </c>
      <c r="C85" s="7">
        <v>94.039921281979204</v>
      </c>
      <c r="D85">
        <f t="shared" si="6"/>
        <v>1337.5298003935902</v>
      </c>
      <c r="E85">
        <f t="shared" si="9"/>
        <v>30</v>
      </c>
      <c r="F85">
        <f t="shared" si="7"/>
        <v>40125.894011807708</v>
      </c>
      <c r="G85">
        <f t="shared" si="10"/>
        <v>3149912.9197079013</v>
      </c>
      <c r="H85">
        <f t="shared" si="8"/>
        <v>40614.358185999998</v>
      </c>
      <c r="I85">
        <f t="shared" si="11"/>
        <v>3481272.6618582834</v>
      </c>
    </row>
    <row r="86" spans="1:9" x14ac:dyDescent="0.3">
      <c r="A86" s="6">
        <v>45658</v>
      </c>
      <c r="B86" s="4">
        <v>8986.1389996502276</v>
      </c>
      <c r="C86" s="7">
        <v>94.039921281979204</v>
      </c>
      <c r="D86">
        <f t="shared" si="6"/>
        <v>1337.5298003935902</v>
      </c>
      <c r="E86">
        <f t="shared" si="9"/>
        <v>31</v>
      </c>
      <c r="F86">
        <f t="shared" si="7"/>
        <v>41463.423812201298</v>
      </c>
      <c r="G86">
        <f t="shared" si="10"/>
        <v>3191376.3435201026</v>
      </c>
      <c r="H86">
        <f t="shared" si="8"/>
        <v>56521.017079999998</v>
      </c>
      <c r="I86">
        <f t="shared" si="11"/>
        <v>3537793.6789382836</v>
      </c>
    </row>
    <row r="87" spans="1:9" x14ac:dyDescent="0.3">
      <c r="A87" s="6">
        <v>45689</v>
      </c>
      <c r="B87" s="4">
        <v>7822.2610000317982</v>
      </c>
      <c r="C87" s="7">
        <v>94.039921281979204</v>
      </c>
      <c r="D87">
        <f t="shared" si="6"/>
        <v>1337.5298003935902</v>
      </c>
      <c r="E87">
        <f t="shared" si="9"/>
        <v>31</v>
      </c>
      <c r="F87">
        <f t="shared" si="7"/>
        <v>41463.423812201298</v>
      </c>
      <c r="G87">
        <f t="shared" si="10"/>
        <v>3232839.7673323038</v>
      </c>
      <c r="H87">
        <f t="shared" si="8"/>
        <v>49200.457238000003</v>
      </c>
      <c r="I87">
        <f t="shared" si="11"/>
        <v>3586994.1361762835</v>
      </c>
    </row>
    <row r="88" spans="1:9" x14ac:dyDescent="0.3">
      <c r="A88" s="6">
        <v>45717</v>
      </c>
      <c r="B88" s="4">
        <v>8781.1750000000011</v>
      </c>
      <c r="C88" s="7">
        <v>94.039921281979204</v>
      </c>
      <c r="D88">
        <f t="shared" si="6"/>
        <v>1337.5298003935902</v>
      </c>
      <c r="E88">
        <f t="shared" si="9"/>
        <v>28</v>
      </c>
      <c r="F88">
        <f t="shared" si="7"/>
        <v>37450.834411020529</v>
      </c>
      <c r="G88">
        <f t="shared" si="10"/>
        <v>3270290.6017433242</v>
      </c>
      <c r="H88">
        <f t="shared" si="8"/>
        <v>55231.834515000002</v>
      </c>
      <c r="I88">
        <f t="shared" si="11"/>
        <v>3642225.9706912837</v>
      </c>
    </row>
    <row r="89" spans="1:9" x14ac:dyDescent="0.3">
      <c r="A89" s="6">
        <v>45748</v>
      </c>
      <c r="B89" s="4">
        <v>7553.9960000317988</v>
      </c>
      <c r="C89" s="7">
        <v>96</v>
      </c>
      <c r="D89">
        <f t="shared" si="6"/>
        <v>1365.4080000000001</v>
      </c>
      <c r="E89">
        <f t="shared" si="9"/>
        <v>31</v>
      </c>
      <c r="F89">
        <f t="shared" si="7"/>
        <v>42327.648000000001</v>
      </c>
      <c r="G89">
        <f t="shared" si="10"/>
        <v>3312618.2497433242</v>
      </c>
      <c r="H89">
        <f t="shared" si="8"/>
        <v>47513.124041000003</v>
      </c>
      <c r="I89">
        <f t="shared" si="11"/>
        <v>3689739.0947322836</v>
      </c>
    </row>
    <row r="90" spans="1:9" x14ac:dyDescent="0.3">
      <c r="A90" s="6">
        <v>45778</v>
      </c>
      <c r="B90" s="4">
        <v>7602.6410003497731</v>
      </c>
      <c r="C90" s="7">
        <v>96</v>
      </c>
      <c r="D90">
        <f t="shared" si="6"/>
        <v>1365.4080000000001</v>
      </c>
      <c r="E90">
        <f t="shared" si="9"/>
        <v>30</v>
      </c>
      <c r="F90">
        <f t="shared" si="7"/>
        <v>40962.240000000005</v>
      </c>
      <c r="G90">
        <f t="shared" si="10"/>
        <v>3353580.4897433245</v>
      </c>
      <c r="H90">
        <f t="shared" si="8"/>
        <v>47819.091364</v>
      </c>
      <c r="I90">
        <f t="shared" si="11"/>
        <v>3737558.1860962836</v>
      </c>
    </row>
    <row r="91" spans="1:9" x14ac:dyDescent="0.3">
      <c r="A91" s="6">
        <v>45809</v>
      </c>
      <c r="B91" s="4">
        <v>7225.4800000000005</v>
      </c>
      <c r="C91" s="7">
        <v>97</v>
      </c>
      <c r="D91">
        <f t="shared" si="6"/>
        <v>1379.6310000000001</v>
      </c>
      <c r="E91">
        <f t="shared" si="9"/>
        <v>31</v>
      </c>
      <c r="F91">
        <f t="shared" si="7"/>
        <v>42768.561000000002</v>
      </c>
      <c r="G91">
        <f t="shared" si="10"/>
        <v>3396349.0507433247</v>
      </c>
      <c r="H91">
        <f t="shared" si="8"/>
        <v>45446.824103999999</v>
      </c>
      <c r="I91">
        <f t="shared" si="11"/>
        <v>3783005.0102002835</v>
      </c>
    </row>
    <row r="92" spans="1:9" x14ac:dyDescent="0.3">
      <c r="A92" s="16">
        <v>45839</v>
      </c>
      <c r="B92" s="17">
        <v>7896.7620003815709</v>
      </c>
      <c r="C92" s="7">
        <v>97</v>
      </c>
      <c r="D92">
        <f t="shared" si="6"/>
        <v>1379.6310000000001</v>
      </c>
      <c r="E92">
        <f t="shared" si="9"/>
        <v>30</v>
      </c>
      <c r="F92">
        <f t="shared" si="7"/>
        <v>41388.93</v>
      </c>
      <c r="G92">
        <f t="shared" si="10"/>
        <v>3437737.9807433248</v>
      </c>
      <c r="H92">
        <f t="shared" si="8"/>
        <v>49669.053630000002</v>
      </c>
      <c r="I92">
        <f t="shared" si="11"/>
        <v>3832674.0638302835</v>
      </c>
    </row>
    <row r="93" spans="1:9" x14ac:dyDescent="0.3">
      <c r="A93" s="16">
        <v>45870</v>
      </c>
      <c r="D93">
        <f t="shared" si="6"/>
        <v>0</v>
      </c>
      <c r="E93">
        <f t="shared" si="9"/>
        <v>31</v>
      </c>
      <c r="F93">
        <f t="shared" si="7"/>
        <v>0</v>
      </c>
      <c r="G93">
        <f t="shared" si="10"/>
        <v>3437737.9807433248</v>
      </c>
      <c r="H93">
        <f t="shared" si="8"/>
        <v>0</v>
      </c>
      <c r="I93">
        <f t="shared" si="11"/>
        <v>3832674.0638302835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5546-3F5F-4B8A-9069-19A99227D202}">
  <dimension ref="A1:I70"/>
  <sheetViews>
    <sheetView workbookViewId="0">
      <selection activeCell="G1" activeCellId="1" sqref="I1:I1048576 G1:G1048576"/>
    </sheetView>
  </sheetViews>
  <sheetFormatPr defaultRowHeight="14.4" x14ac:dyDescent="0.3"/>
  <cols>
    <col min="6" max="6" width="14.21875" customWidth="1"/>
    <col min="7" max="7" width="20.44140625" customWidth="1"/>
    <col min="8" max="8" width="24.21875" customWidth="1"/>
    <col min="9" max="9" width="26.2187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6">
        <v>43800</v>
      </c>
      <c r="B2" s="4">
        <v>10611.218000095392</v>
      </c>
      <c r="C2" s="8">
        <v>75.996625184560216</v>
      </c>
      <c r="D2">
        <f>14.223*C2</f>
        <v>1080.9000000000001</v>
      </c>
      <c r="E2">
        <v>0</v>
      </c>
      <c r="F2">
        <f>D2*E2</f>
        <v>0</v>
      </c>
      <c r="G2">
        <f>F2</f>
        <v>0</v>
      </c>
      <c r="H2">
        <f>6.2898*B2</f>
        <v>66742.438976999998</v>
      </c>
      <c r="I2">
        <f>H2</f>
        <v>66742.438976999998</v>
      </c>
    </row>
    <row r="3" spans="1:9" x14ac:dyDescent="0.3">
      <c r="A3" s="6">
        <v>43831</v>
      </c>
      <c r="B3" s="4">
        <v>16463.625000158987</v>
      </c>
      <c r="C3" s="7">
        <v>83.997750123040149</v>
      </c>
      <c r="D3">
        <f t="shared" ref="D3:D66" si="0">14.223*C3</f>
        <v>1194.7</v>
      </c>
      <c r="E3">
        <f>A3-A2</f>
        <v>31</v>
      </c>
      <c r="F3">
        <f t="shared" ref="F3:F66" si="1">D3*E3</f>
        <v>37035.700000000004</v>
      </c>
      <c r="G3">
        <f>G2+F3</f>
        <v>37035.700000000004</v>
      </c>
      <c r="H3">
        <f t="shared" ref="H3:H66" si="2">6.2898*B3</f>
        <v>103552.90852599998</v>
      </c>
      <c r="I3">
        <f>I2+H3</f>
        <v>170295.347503</v>
      </c>
    </row>
    <row r="4" spans="1:9" x14ac:dyDescent="0.3">
      <c r="A4" s="6">
        <v>43862</v>
      </c>
      <c r="B4" s="4">
        <v>14031.478000095394</v>
      </c>
      <c r="C4" s="9">
        <v>86.999929691345002</v>
      </c>
      <c r="D4">
        <f t="shared" si="0"/>
        <v>1237.4000000000001</v>
      </c>
      <c r="E4">
        <f t="shared" ref="E4:E67" si="3">A4-A3</f>
        <v>31</v>
      </c>
      <c r="F4">
        <f t="shared" si="1"/>
        <v>38359.4</v>
      </c>
      <c r="G4">
        <f t="shared" ref="G4:G67" si="4">G3+F4</f>
        <v>75395.100000000006</v>
      </c>
      <c r="H4">
        <f t="shared" si="2"/>
        <v>88255.190325000003</v>
      </c>
      <c r="I4">
        <f t="shared" ref="I4:I67" si="5">I3+H4</f>
        <v>258550.537828</v>
      </c>
    </row>
    <row r="5" spans="1:9" x14ac:dyDescent="0.3">
      <c r="A5" s="6">
        <v>43891</v>
      </c>
      <c r="B5" s="4">
        <v>13215.748999968202</v>
      </c>
      <c r="C5" s="7">
        <v>78.000421851929971</v>
      </c>
      <c r="D5">
        <f t="shared" si="0"/>
        <v>1109.4000000000001</v>
      </c>
      <c r="E5">
        <f t="shared" si="3"/>
        <v>29</v>
      </c>
      <c r="F5">
        <f t="shared" si="1"/>
        <v>32172.600000000002</v>
      </c>
      <c r="G5">
        <f t="shared" si="4"/>
        <v>107567.70000000001</v>
      </c>
      <c r="H5">
        <f t="shared" si="2"/>
        <v>83124.418059999996</v>
      </c>
      <c r="I5">
        <f t="shared" si="5"/>
        <v>341674.95588799997</v>
      </c>
    </row>
    <row r="6" spans="1:9" x14ac:dyDescent="0.3">
      <c r="A6" s="6">
        <v>43922</v>
      </c>
      <c r="B6" s="4">
        <v>12403.924999841014</v>
      </c>
      <c r="C6" s="12">
        <v>77.002038950994873</v>
      </c>
      <c r="D6">
        <f t="shared" si="0"/>
        <v>1095.2</v>
      </c>
      <c r="E6">
        <f t="shared" si="3"/>
        <v>31</v>
      </c>
      <c r="F6">
        <f t="shared" si="1"/>
        <v>33951.200000000004</v>
      </c>
      <c r="G6">
        <f t="shared" si="4"/>
        <v>141518.90000000002</v>
      </c>
      <c r="H6">
        <f t="shared" si="2"/>
        <v>78018.207464000006</v>
      </c>
      <c r="I6">
        <f t="shared" si="5"/>
        <v>419693.16335199995</v>
      </c>
    </row>
    <row r="7" spans="1:9" x14ac:dyDescent="0.3">
      <c r="A7" s="6">
        <v>43952</v>
      </c>
      <c r="B7" s="4">
        <v>11456.071000190785</v>
      </c>
      <c r="C7" s="7">
        <v>82.000984321169923</v>
      </c>
      <c r="D7">
        <f t="shared" si="0"/>
        <v>1166.3</v>
      </c>
      <c r="E7">
        <f t="shared" si="3"/>
        <v>30</v>
      </c>
      <c r="F7">
        <f t="shared" si="1"/>
        <v>34989</v>
      </c>
      <c r="G7">
        <f t="shared" si="4"/>
        <v>176507.90000000002</v>
      </c>
      <c r="H7">
        <f t="shared" si="2"/>
        <v>72056.395376999993</v>
      </c>
      <c r="I7">
        <f t="shared" si="5"/>
        <v>491749.55872899992</v>
      </c>
    </row>
    <row r="8" spans="1:9" x14ac:dyDescent="0.3">
      <c r="A8" s="6">
        <v>43983</v>
      </c>
      <c r="B8" s="4">
        <v>10875.114000127191</v>
      </c>
      <c r="C8" s="13">
        <v>81.002601420234825</v>
      </c>
      <c r="D8">
        <f t="shared" si="0"/>
        <v>1152.0999999999999</v>
      </c>
      <c r="E8">
        <f t="shared" si="3"/>
        <v>31</v>
      </c>
      <c r="F8">
        <f t="shared" si="1"/>
        <v>35715.1</v>
      </c>
      <c r="G8">
        <f t="shared" si="4"/>
        <v>212223.00000000003</v>
      </c>
      <c r="H8">
        <f t="shared" si="2"/>
        <v>68402.292038</v>
      </c>
      <c r="I8">
        <f t="shared" si="5"/>
        <v>560151.85076699988</v>
      </c>
    </row>
    <row r="9" spans="1:9" x14ac:dyDescent="0.3">
      <c r="A9" s="6">
        <v>44013</v>
      </c>
      <c r="B9" s="4">
        <v>15492.959999841012</v>
      </c>
      <c r="C9" s="8">
        <v>78.000421851929971</v>
      </c>
      <c r="D9">
        <f t="shared" si="0"/>
        <v>1109.4000000000001</v>
      </c>
      <c r="E9">
        <f t="shared" si="3"/>
        <v>30</v>
      </c>
      <c r="F9">
        <f t="shared" si="1"/>
        <v>33282</v>
      </c>
      <c r="G9">
        <f t="shared" si="4"/>
        <v>245505.00000000003</v>
      </c>
      <c r="H9">
        <f t="shared" si="2"/>
        <v>97447.619806999995</v>
      </c>
      <c r="I9">
        <f t="shared" si="5"/>
        <v>657599.47057399992</v>
      </c>
    </row>
    <row r="10" spans="1:9" x14ac:dyDescent="0.3">
      <c r="A10" s="6">
        <v>44044</v>
      </c>
      <c r="B10" s="4">
        <v>18080.77599939585</v>
      </c>
      <c r="C10">
        <v>78</v>
      </c>
      <c r="D10">
        <f t="shared" si="0"/>
        <v>1109.394</v>
      </c>
      <c r="E10">
        <f t="shared" si="3"/>
        <v>31</v>
      </c>
      <c r="F10">
        <f t="shared" si="1"/>
        <v>34391.214</v>
      </c>
      <c r="G10">
        <f t="shared" si="4"/>
        <v>279896.21400000004</v>
      </c>
      <c r="H10">
        <f t="shared" si="2"/>
        <v>113724.46488100001</v>
      </c>
      <c r="I10">
        <f t="shared" si="5"/>
        <v>771323.93545499991</v>
      </c>
    </row>
    <row r="11" spans="1:9" x14ac:dyDescent="0.3">
      <c r="A11" s="6">
        <v>44075</v>
      </c>
      <c r="B11" s="4">
        <v>13454.279000127191</v>
      </c>
      <c r="C11">
        <v>79</v>
      </c>
      <c r="D11">
        <f t="shared" si="0"/>
        <v>1123.617</v>
      </c>
      <c r="E11">
        <f t="shared" si="3"/>
        <v>31</v>
      </c>
      <c r="F11">
        <f t="shared" si="1"/>
        <v>34832.127</v>
      </c>
      <c r="G11">
        <f t="shared" si="4"/>
        <v>314728.34100000001</v>
      </c>
      <c r="H11">
        <f t="shared" si="2"/>
        <v>84624.724054999999</v>
      </c>
      <c r="I11">
        <f t="shared" si="5"/>
        <v>855948.65950999991</v>
      </c>
    </row>
    <row r="12" spans="1:9" x14ac:dyDescent="0.3">
      <c r="A12" s="6">
        <v>44105</v>
      </c>
      <c r="B12" s="4">
        <v>13973.712000063597</v>
      </c>
      <c r="C12">
        <v>79</v>
      </c>
      <c r="D12">
        <f t="shared" si="0"/>
        <v>1123.617</v>
      </c>
      <c r="E12">
        <f t="shared" si="3"/>
        <v>30</v>
      </c>
      <c r="F12">
        <f t="shared" si="1"/>
        <v>33708.51</v>
      </c>
      <c r="G12">
        <f t="shared" si="4"/>
        <v>348436.85100000002</v>
      </c>
      <c r="H12">
        <f t="shared" si="2"/>
        <v>87891.853738000005</v>
      </c>
      <c r="I12">
        <f t="shared" si="5"/>
        <v>943840.51324799994</v>
      </c>
    </row>
    <row r="13" spans="1:9" x14ac:dyDescent="0.3">
      <c r="A13" s="6">
        <v>44136</v>
      </c>
      <c r="B13" s="4">
        <v>16881.05000015899</v>
      </c>
      <c r="C13">
        <v>79</v>
      </c>
      <c r="D13">
        <f t="shared" si="0"/>
        <v>1123.617</v>
      </c>
      <c r="E13">
        <f t="shared" si="3"/>
        <v>31</v>
      </c>
      <c r="F13">
        <f t="shared" si="1"/>
        <v>34832.127</v>
      </c>
      <c r="G13">
        <f t="shared" si="4"/>
        <v>383268.978</v>
      </c>
      <c r="H13">
        <f t="shared" si="2"/>
        <v>106178.428291</v>
      </c>
      <c r="I13">
        <f t="shared" si="5"/>
        <v>1050018.941539</v>
      </c>
    </row>
    <row r="14" spans="1:9" x14ac:dyDescent="0.3">
      <c r="A14" s="6">
        <v>44166</v>
      </c>
      <c r="B14" s="4">
        <v>13024.806000190785</v>
      </c>
      <c r="C14" s="7">
        <v>86.001546790409904</v>
      </c>
      <c r="D14">
        <f t="shared" si="0"/>
        <v>1223.2</v>
      </c>
      <c r="E14">
        <f t="shared" si="3"/>
        <v>30</v>
      </c>
      <c r="F14">
        <f t="shared" si="1"/>
        <v>36696</v>
      </c>
      <c r="G14">
        <f t="shared" si="4"/>
        <v>419964.978</v>
      </c>
      <c r="H14">
        <f t="shared" si="2"/>
        <v>81923.424780000001</v>
      </c>
      <c r="I14">
        <f t="shared" si="5"/>
        <v>1131942.366319</v>
      </c>
    </row>
    <row r="15" spans="1:9" x14ac:dyDescent="0.3">
      <c r="A15" s="6">
        <v>44197</v>
      </c>
      <c r="B15" s="4">
        <v>6472.7399998410128</v>
      </c>
      <c r="C15" s="7">
        <v>43.99915629614005</v>
      </c>
      <c r="D15">
        <f t="shared" si="0"/>
        <v>625.79999999999995</v>
      </c>
      <c r="E15">
        <f t="shared" si="3"/>
        <v>31</v>
      </c>
      <c r="F15">
        <f t="shared" si="1"/>
        <v>19399.8</v>
      </c>
      <c r="G15">
        <f t="shared" si="4"/>
        <v>439364.77799999999</v>
      </c>
      <c r="H15">
        <f t="shared" si="2"/>
        <v>40712.240051000001</v>
      </c>
      <c r="I15">
        <f t="shared" si="5"/>
        <v>1172654.6063699999</v>
      </c>
    </row>
    <row r="16" spans="1:9" x14ac:dyDescent="0.3">
      <c r="A16" s="6">
        <v>44228</v>
      </c>
      <c r="B16" s="4">
        <v>6392.785999713823</v>
      </c>
      <c r="C16" s="8">
        <v>50.003515432749772</v>
      </c>
      <c r="D16">
        <f t="shared" si="0"/>
        <v>711.2</v>
      </c>
      <c r="E16">
        <f t="shared" si="3"/>
        <v>31</v>
      </c>
      <c r="F16">
        <f t="shared" si="1"/>
        <v>22047.200000000001</v>
      </c>
      <c r="G16">
        <f t="shared" si="4"/>
        <v>461411.978</v>
      </c>
      <c r="H16">
        <f t="shared" si="2"/>
        <v>40209.345380999999</v>
      </c>
      <c r="I16">
        <f t="shared" si="5"/>
        <v>1212863.951751</v>
      </c>
    </row>
    <row r="17" spans="1:9" x14ac:dyDescent="0.3">
      <c r="A17" s="6">
        <v>44256</v>
      </c>
      <c r="B17" s="4">
        <v>8175.3809998728102</v>
      </c>
      <c r="C17" s="14">
        <v>43.99915629614005</v>
      </c>
      <c r="D17">
        <f t="shared" si="0"/>
        <v>625.79999999999995</v>
      </c>
      <c r="E17">
        <f t="shared" si="3"/>
        <v>28</v>
      </c>
      <c r="F17">
        <f t="shared" si="1"/>
        <v>17522.399999999998</v>
      </c>
      <c r="G17">
        <f t="shared" si="4"/>
        <v>478934.37800000003</v>
      </c>
      <c r="H17">
        <f t="shared" si="2"/>
        <v>51421.511413</v>
      </c>
      <c r="I17">
        <f t="shared" si="5"/>
        <v>1264285.4631640001</v>
      </c>
    </row>
    <row r="18" spans="1:9" x14ac:dyDescent="0.3">
      <c r="A18" s="6">
        <v>44287</v>
      </c>
      <c r="B18" s="4">
        <v>3991.1970000635956</v>
      </c>
      <c r="C18">
        <v>44</v>
      </c>
      <c r="D18">
        <f t="shared" si="0"/>
        <v>625.81200000000001</v>
      </c>
      <c r="E18">
        <f t="shared" si="3"/>
        <v>31</v>
      </c>
      <c r="F18">
        <f t="shared" si="1"/>
        <v>19400.171999999999</v>
      </c>
      <c r="G18">
        <f t="shared" si="4"/>
        <v>498334.55000000005</v>
      </c>
      <c r="H18">
        <f t="shared" si="2"/>
        <v>25103.830891000001</v>
      </c>
      <c r="I18">
        <f t="shared" si="5"/>
        <v>1289389.2940550002</v>
      </c>
    </row>
    <row r="19" spans="1:9" x14ac:dyDescent="0.3">
      <c r="A19" s="6">
        <v>44317</v>
      </c>
      <c r="B19" s="4">
        <v>2683.2480000953929</v>
      </c>
      <c r="C19">
        <v>44</v>
      </c>
      <c r="D19">
        <f t="shared" si="0"/>
        <v>625.81200000000001</v>
      </c>
      <c r="E19">
        <f t="shared" si="3"/>
        <v>30</v>
      </c>
      <c r="F19">
        <f t="shared" si="1"/>
        <v>18774.36</v>
      </c>
      <c r="G19">
        <f t="shared" si="4"/>
        <v>517108.91000000003</v>
      </c>
      <c r="H19">
        <f t="shared" si="2"/>
        <v>16877.093271000002</v>
      </c>
      <c r="I19">
        <f t="shared" si="5"/>
        <v>1306266.3873260003</v>
      </c>
    </row>
    <row r="20" spans="1:9" x14ac:dyDescent="0.3">
      <c r="A20" s="6">
        <v>44348</v>
      </c>
      <c r="B20" s="4">
        <v>4572.5630000953925</v>
      </c>
      <c r="C20">
        <v>40</v>
      </c>
      <c r="D20">
        <f t="shared" si="0"/>
        <v>568.92000000000007</v>
      </c>
      <c r="E20">
        <f t="shared" si="3"/>
        <v>31</v>
      </c>
      <c r="F20">
        <f t="shared" si="1"/>
        <v>17636.520000000004</v>
      </c>
      <c r="G20">
        <f t="shared" si="4"/>
        <v>534745.43000000005</v>
      </c>
      <c r="H20">
        <f t="shared" si="2"/>
        <v>28760.506757999996</v>
      </c>
      <c r="I20">
        <f t="shared" si="5"/>
        <v>1335026.8940840003</v>
      </c>
    </row>
    <row r="21" spans="1:9" x14ac:dyDescent="0.3">
      <c r="A21" s="6">
        <v>44378</v>
      </c>
      <c r="B21" s="4">
        <v>5141.9119995866331</v>
      </c>
      <c r="C21">
        <v>40</v>
      </c>
      <c r="D21">
        <f t="shared" si="0"/>
        <v>568.92000000000007</v>
      </c>
      <c r="E21">
        <f t="shared" si="3"/>
        <v>30</v>
      </c>
      <c r="F21">
        <f t="shared" si="1"/>
        <v>17067.600000000002</v>
      </c>
      <c r="G21">
        <f t="shared" si="4"/>
        <v>551813.03</v>
      </c>
      <c r="H21">
        <f t="shared" si="2"/>
        <v>32341.598095000001</v>
      </c>
      <c r="I21">
        <f t="shared" si="5"/>
        <v>1367368.4921790003</v>
      </c>
    </row>
    <row r="22" spans="1:9" x14ac:dyDescent="0.3">
      <c r="A22" s="6">
        <v>44409</v>
      </c>
      <c r="B22" s="4">
        <v>4467.4719999046074</v>
      </c>
      <c r="C22">
        <v>45</v>
      </c>
      <c r="D22">
        <f t="shared" si="0"/>
        <v>640.03500000000008</v>
      </c>
      <c r="E22">
        <f t="shared" si="3"/>
        <v>31</v>
      </c>
      <c r="F22">
        <f t="shared" si="1"/>
        <v>19841.085000000003</v>
      </c>
      <c r="G22">
        <f t="shared" si="4"/>
        <v>571654.11499999999</v>
      </c>
      <c r="H22">
        <f t="shared" si="2"/>
        <v>28099.505384999997</v>
      </c>
      <c r="I22">
        <f t="shared" si="5"/>
        <v>1395467.9975640003</v>
      </c>
    </row>
    <row r="23" spans="1:9" x14ac:dyDescent="0.3">
      <c r="A23" s="6">
        <v>44440</v>
      </c>
      <c r="B23" s="4">
        <v>2564.7399998410124</v>
      </c>
      <c r="C23">
        <v>45</v>
      </c>
      <c r="D23">
        <f t="shared" si="0"/>
        <v>640.03500000000008</v>
      </c>
      <c r="E23">
        <f t="shared" si="3"/>
        <v>31</v>
      </c>
      <c r="F23">
        <f t="shared" si="1"/>
        <v>19841.085000000003</v>
      </c>
      <c r="G23">
        <f t="shared" si="4"/>
        <v>591495.19999999995</v>
      </c>
      <c r="H23">
        <f t="shared" si="2"/>
        <v>16131.701650999999</v>
      </c>
      <c r="I23">
        <f t="shared" si="5"/>
        <v>1411599.6992150003</v>
      </c>
    </row>
    <row r="24" spans="1:9" x14ac:dyDescent="0.3">
      <c r="A24" s="6">
        <v>44470</v>
      </c>
      <c r="B24" s="4">
        <v>2411.3319995866327</v>
      </c>
      <c r="C24">
        <v>45</v>
      </c>
      <c r="D24">
        <f t="shared" si="0"/>
        <v>640.03500000000008</v>
      </c>
      <c r="E24">
        <f t="shared" si="3"/>
        <v>30</v>
      </c>
      <c r="F24">
        <f t="shared" si="1"/>
        <v>19201.050000000003</v>
      </c>
      <c r="G24">
        <f t="shared" si="4"/>
        <v>610696.25</v>
      </c>
      <c r="H24">
        <f t="shared" si="2"/>
        <v>15166.796011000002</v>
      </c>
      <c r="I24">
        <f t="shared" si="5"/>
        <v>1426766.4952260002</v>
      </c>
    </row>
    <row r="25" spans="1:9" x14ac:dyDescent="0.3">
      <c r="A25" s="6">
        <v>44501</v>
      </c>
      <c r="B25" s="4">
        <v>2441.9900000000002</v>
      </c>
      <c r="C25">
        <v>45</v>
      </c>
      <c r="D25">
        <f t="shared" si="0"/>
        <v>640.03500000000008</v>
      </c>
      <c r="E25">
        <f t="shared" si="3"/>
        <v>31</v>
      </c>
      <c r="F25">
        <f t="shared" si="1"/>
        <v>19841.085000000003</v>
      </c>
      <c r="G25">
        <f t="shared" si="4"/>
        <v>630537.33499999996</v>
      </c>
      <c r="H25">
        <f t="shared" si="2"/>
        <v>15359.628702</v>
      </c>
      <c r="I25">
        <f t="shared" si="5"/>
        <v>1442126.1239280002</v>
      </c>
    </row>
    <row r="26" spans="1:9" x14ac:dyDescent="0.3">
      <c r="A26" s="6">
        <v>44531</v>
      </c>
      <c r="B26" s="4">
        <v>1603.88099987281</v>
      </c>
      <c r="C26">
        <v>45</v>
      </c>
      <c r="D26">
        <f t="shared" si="0"/>
        <v>640.03500000000008</v>
      </c>
      <c r="E26">
        <f t="shared" si="3"/>
        <v>30</v>
      </c>
      <c r="F26">
        <f t="shared" si="1"/>
        <v>19201.050000000003</v>
      </c>
      <c r="G26">
        <f t="shared" si="4"/>
        <v>649738.38500000001</v>
      </c>
      <c r="H26">
        <f t="shared" si="2"/>
        <v>10088.090713</v>
      </c>
      <c r="I26">
        <f t="shared" si="5"/>
        <v>1452214.2146410001</v>
      </c>
    </row>
    <row r="27" spans="1:9" x14ac:dyDescent="0.3">
      <c r="A27" s="6">
        <v>44562</v>
      </c>
      <c r="B27" s="4">
        <v>3837.3290002861777</v>
      </c>
      <c r="C27">
        <v>45</v>
      </c>
      <c r="D27">
        <f t="shared" si="0"/>
        <v>640.03500000000008</v>
      </c>
      <c r="E27">
        <f t="shared" si="3"/>
        <v>31</v>
      </c>
      <c r="F27">
        <f t="shared" si="1"/>
        <v>19841.085000000003</v>
      </c>
      <c r="G27">
        <f t="shared" si="4"/>
        <v>669579.47</v>
      </c>
      <c r="H27">
        <f t="shared" si="2"/>
        <v>24136.031945999999</v>
      </c>
      <c r="I27">
        <f t="shared" si="5"/>
        <v>1476350.2465870001</v>
      </c>
    </row>
    <row r="28" spans="1:9" x14ac:dyDescent="0.3">
      <c r="A28" s="6">
        <v>44593</v>
      </c>
      <c r="B28" s="4">
        <v>3520.8740002861778</v>
      </c>
      <c r="C28">
        <v>45</v>
      </c>
      <c r="D28">
        <f t="shared" si="0"/>
        <v>640.03500000000008</v>
      </c>
      <c r="E28">
        <f t="shared" si="3"/>
        <v>31</v>
      </c>
      <c r="F28">
        <f t="shared" si="1"/>
        <v>19841.085000000003</v>
      </c>
      <c r="G28">
        <f t="shared" si="4"/>
        <v>689420.55499999993</v>
      </c>
      <c r="H28">
        <f t="shared" si="2"/>
        <v>22145.593287</v>
      </c>
      <c r="I28">
        <f t="shared" si="5"/>
        <v>1498495.8398740001</v>
      </c>
    </row>
    <row r="29" spans="1:9" x14ac:dyDescent="0.3">
      <c r="A29" s="6">
        <v>44621</v>
      </c>
      <c r="B29" s="4">
        <v>3906.8540002861778</v>
      </c>
      <c r="C29">
        <v>45</v>
      </c>
      <c r="D29">
        <f t="shared" si="0"/>
        <v>640.03500000000008</v>
      </c>
      <c r="E29">
        <f t="shared" si="3"/>
        <v>28</v>
      </c>
      <c r="F29">
        <f t="shared" si="1"/>
        <v>17920.980000000003</v>
      </c>
      <c r="G29">
        <f t="shared" si="4"/>
        <v>707341.53499999992</v>
      </c>
      <c r="H29">
        <f t="shared" si="2"/>
        <v>24573.330290999998</v>
      </c>
      <c r="I29">
        <f t="shared" si="5"/>
        <v>1523069.170165</v>
      </c>
    </row>
    <row r="30" spans="1:9" x14ac:dyDescent="0.3">
      <c r="A30" s="6">
        <v>44652</v>
      </c>
      <c r="B30" s="4">
        <v>2373.2510003497728</v>
      </c>
      <c r="C30">
        <v>45</v>
      </c>
      <c r="D30">
        <f t="shared" si="0"/>
        <v>640.03500000000008</v>
      </c>
      <c r="E30">
        <f t="shared" si="3"/>
        <v>31</v>
      </c>
      <c r="F30">
        <f t="shared" si="1"/>
        <v>19841.085000000003</v>
      </c>
      <c r="G30">
        <f t="shared" si="4"/>
        <v>727182.61999999988</v>
      </c>
      <c r="H30">
        <f t="shared" si="2"/>
        <v>14927.274142</v>
      </c>
      <c r="I30">
        <f t="shared" si="5"/>
        <v>1537996.4443069999</v>
      </c>
    </row>
    <row r="31" spans="1:9" x14ac:dyDescent="0.3">
      <c r="A31" s="6">
        <v>44682</v>
      </c>
      <c r="B31" s="4">
        <v>3759.8250000000003</v>
      </c>
      <c r="C31">
        <v>45</v>
      </c>
      <c r="D31">
        <f t="shared" si="0"/>
        <v>640.03500000000008</v>
      </c>
      <c r="E31">
        <f t="shared" si="3"/>
        <v>30</v>
      </c>
      <c r="F31">
        <f t="shared" si="1"/>
        <v>19201.050000000003</v>
      </c>
      <c r="G31">
        <f t="shared" si="4"/>
        <v>746383.66999999993</v>
      </c>
      <c r="H31">
        <f t="shared" si="2"/>
        <v>23648.547285000001</v>
      </c>
      <c r="I31">
        <f t="shared" si="5"/>
        <v>1561644.991592</v>
      </c>
    </row>
    <row r="32" spans="1:9" x14ac:dyDescent="0.3">
      <c r="A32" s="6">
        <v>44713</v>
      </c>
      <c r="B32" s="4">
        <v>3811.9440001271905</v>
      </c>
      <c r="C32">
        <v>45</v>
      </c>
      <c r="D32">
        <f t="shared" si="0"/>
        <v>640.03500000000008</v>
      </c>
      <c r="E32">
        <f t="shared" si="3"/>
        <v>31</v>
      </c>
      <c r="F32">
        <f t="shared" si="1"/>
        <v>19841.085000000003</v>
      </c>
      <c r="G32">
        <f t="shared" si="4"/>
        <v>766224.75499999989</v>
      </c>
      <c r="H32">
        <f t="shared" si="2"/>
        <v>23976.365372</v>
      </c>
      <c r="I32">
        <f t="shared" si="5"/>
        <v>1585621.356964</v>
      </c>
    </row>
    <row r="33" spans="1:9" x14ac:dyDescent="0.3">
      <c r="A33" s="6">
        <v>44743</v>
      </c>
      <c r="B33" s="4">
        <v>3557.6369999046078</v>
      </c>
      <c r="C33">
        <v>45</v>
      </c>
      <c r="D33">
        <f t="shared" si="0"/>
        <v>640.03500000000008</v>
      </c>
      <c r="E33">
        <f t="shared" si="3"/>
        <v>30</v>
      </c>
      <c r="F33">
        <f t="shared" si="1"/>
        <v>19201.050000000003</v>
      </c>
      <c r="G33">
        <f t="shared" si="4"/>
        <v>785425.80499999993</v>
      </c>
      <c r="H33">
        <f t="shared" si="2"/>
        <v>22376.825202</v>
      </c>
      <c r="I33">
        <f t="shared" si="5"/>
        <v>1607998.1821660001</v>
      </c>
    </row>
    <row r="34" spans="1:9" x14ac:dyDescent="0.3">
      <c r="A34" s="6">
        <v>44774</v>
      </c>
      <c r="B34" s="4">
        <v>3916.3320005405576</v>
      </c>
      <c r="C34">
        <v>45</v>
      </c>
      <c r="D34">
        <f t="shared" si="0"/>
        <v>640.03500000000008</v>
      </c>
      <c r="E34">
        <f t="shared" si="3"/>
        <v>31</v>
      </c>
      <c r="F34">
        <f t="shared" si="1"/>
        <v>19841.085000000003</v>
      </c>
      <c r="G34">
        <f t="shared" si="4"/>
        <v>805266.8899999999</v>
      </c>
      <c r="H34">
        <f t="shared" si="2"/>
        <v>24632.945016999998</v>
      </c>
      <c r="I34">
        <f t="shared" si="5"/>
        <v>1632631.1271830001</v>
      </c>
    </row>
    <row r="35" spans="1:9" x14ac:dyDescent="0.3">
      <c r="A35" s="6">
        <v>44805</v>
      </c>
      <c r="B35" s="4">
        <v>3771.3239998092154</v>
      </c>
      <c r="C35">
        <v>45</v>
      </c>
      <c r="D35">
        <f t="shared" si="0"/>
        <v>640.03500000000008</v>
      </c>
      <c r="E35">
        <f t="shared" si="3"/>
        <v>31</v>
      </c>
      <c r="F35">
        <f t="shared" si="1"/>
        <v>19841.085000000003</v>
      </c>
      <c r="G35">
        <f t="shared" si="4"/>
        <v>825107.97499999986</v>
      </c>
      <c r="H35">
        <f t="shared" si="2"/>
        <v>23720.873694000002</v>
      </c>
      <c r="I35">
        <f t="shared" si="5"/>
        <v>1656352.0008770002</v>
      </c>
    </row>
    <row r="36" spans="1:9" x14ac:dyDescent="0.3">
      <c r="A36" s="6">
        <v>44835</v>
      </c>
      <c r="B36" s="4">
        <v>8400.7299996820257</v>
      </c>
      <c r="C36">
        <v>80</v>
      </c>
      <c r="D36">
        <f t="shared" si="0"/>
        <v>1137.8400000000001</v>
      </c>
      <c r="E36">
        <f t="shared" si="3"/>
        <v>30</v>
      </c>
      <c r="F36">
        <f t="shared" si="1"/>
        <v>34135.200000000004</v>
      </c>
      <c r="G36">
        <f t="shared" si="4"/>
        <v>859243.17499999981</v>
      </c>
      <c r="H36">
        <f t="shared" si="2"/>
        <v>52838.911552000005</v>
      </c>
      <c r="I36">
        <f t="shared" si="5"/>
        <v>1709190.9124290003</v>
      </c>
    </row>
    <row r="37" spans="1:9" x14ac:dyDescent="0.3">
      <c r="A37" s="6">
        <v>44866</v>
      </c>
      <c r="B37" s="4">
        <v>3971.9559995548352</v>
      </c>
      <c r="C37">
        <v>80</v>
      </c>
      <c r="D37">
        <f t="shared" si="0"/>
        <v>1137.8400000000001</v>
      </c>
      <c r="E37">
        <f t="shared" si="3"/>
        <v>31</v>
      </c>
      <c r="F37">
        <f t="shared" si="1"/>
        <v>35273.040000000008</v>
      </c>
      <c r="G37">
        <f t="shared" si="4"/>
        <v>894516.21499999985</v>
      </c>
      <c r="H37">
        <f t="shared" si="2"/>
        <v>24982.808846</v>
      </c>
      <c r="I37">
        <f t="shared" si="5"/>
        <v>1734173.7212750004</v>
      </c>
    </row>
    <row r="38" spans="1:9" x14ac:dyDescent="0.3">
      <c r="A38" s="6">
        <v>44896</v>
      </c>
      <c r="B38" s="4">
        <v>5105.8279996184301</v>
      </c>
      <c r="C38">
        <v>80</v>
      </c>
      <c r="D38">
        <f t="shared" si="0"/>
        <v>1137.8400000000001</v>
      </c>
      <c r="E38">
        <f t="shared" si="3"/>
        <v>30</v>
      </c>
      <c r="F38">
        <f t="shared" si="1"/>
        <v>34135.200000000004</v>
      </c>
      <c r="G38">
        <f t="shared" si="4"/>
        <v>928651.4149999998</v>
      </c>
      <c r="H38">
        <f t="shared" si="2"/>
        <v>32114.636952000001</v>
      </c>
      <c r="I38">
        <f t="shared" si="5"/>
        <v>1766288.3582270003</v>
      </c>
    </row>
    <row r="39" spans="1:9" x14ac:dyDescent="0.3">
      <c r="A39" s="6">
        <v>44927</v>
      </c>
      <c r="B39" s="4">
        <v>5810.8579997774177</v>
      </c>
      <c r="C39">
        <v>80</v>
      </c>
      <c r="D39">
        <f t="shared" si="0"/>
        <v>1137.8400000000001</v>
      </c>
      <c r="E39">
        <f t="shared" si="3"/>
        <v>31</v>
      </c>
      <c r="F39">
        <f t="shared" si="1"/>
        <v>35273.040000000008</v>
      </c>
      <c r="G39">
        <f t="shared" si="4"/>
        <v>963924.45499999984</v>
      </c>
      <c r="H39">
        <f t="shared" si="2"/>
        <v>36549.134646999999</v>
      </c>
      <c r="I39">
        <f t="shared" si="5"/>
        <v>1802837.4928740002</v>
      </c>
    </row>
    <row r="40" spans="1:9" x14ac:dyDescent="0.3">
      <c r="A40" s="6">
        <v>44958</v>
      </c>
      <c r="B40" s="4">
        <v>3644.3210003497729</v>
      </c>
      <c r="C40" s="7">
        <v>82.000984321169923</v>
      </c>
      <c r="D40">
        <f t="shared" si="0"/>
        <v>1166.3</v>
      </c>
      <c r="E40">
        <f t="shared" si="3"/>
        <v>31</v>
      </c>
      <c r="F40">
        <f t="shared" si="1"/>
        <v>36155.299999999996</v>
      </c>
      <c r="G40">
        <f t="shared" si="4"/>
        <v>1000079.7549999999</v>
      </c>
      <c r="H40">
        <f t="shared" si="2"/>
        <v>22922.050228</v>
      </c>
      <c r="I40">
        <f t="shared" si="5"/>
        <v>1825759.5431020001</v>
      </c>
    </row>
    <row r="41" spans="1:9" x14ac:dyDescent="0.3">
      <c r="A41" s="6">
        <v>44986</v>
      </c>
      <c r="B41" s="4">
        <v>7073.7989998092153</v>
      </c>
      <c r="C41" s="7">
        <v>74.998242283625117</v>
      </c>
      <c r="D41">
        <f t="shared" si="0"/>
        <v>1066.7</v>
      </c>
      <c r="E41">
        <f t="shared" si="3"/>
        <v>28</v>
      </c>
      <c r="F41">
        <f t="shared" si="1"/>
        <v>29867.600000000002</v>
      </c>
      <c r="G41">
        <f t="shared" si="4"/>
        <v>1029947.3549999999</v>
      </c>
      <c r="H41">
        <f t="shared" si="2"/>
        <v>44492.780949</v>
      </c>
      <c r="I41">
        <f t="shared" si="5"/>
        <v>1870252.3240510002</v>
      </c>
    </row>
    <row r="42" spans="1:9" x14ac:dyDescent="0.3">
      <c r="A42" s="6">
        <v>45017</v>
      </c>
      <c r="B42" s="4">
        <v>10688.041999904608</v>
      </c>
      <c r="C42" s="7">
        <v>85.003163889474791</v>
      </c>
      <c r="D42">
        <f t="shared" si="0"/>
        <v>1209</v>
      </c>
      <c r="E42">
        <f t="shared" si="3"/>
        <v>31</v>
      </c>
      <c r="F42">
        <f t="shared" si="1"/>
        <v>37479</v>
      </c>
      <c r="G42">
        <f t="shared" si="4"/>
        <v>1067426.355</v>
      </c>
      <c r="H42">
        <f t="shared" si="2"/>
        <v>67225.646571000005</v>
      </c>
      <c r="I42">
        <f t="shared" si="5"/>
        <v>1937477.9706220003</v>
      </c>
    </row>
    <row r="43" spans="1:9" x14ac:dyDescent="0.3">
      <c r="A43" s="6">
        <v>45047</v>
      </c>
      <c r="B43" s="4">
        <v>10539.866000349773</v>
      </c>
      <c r="C43" s="7">
        <v>85</v>
      </c>
      <c r="D43">
        <f t="shared" si="0"/>
        <v>1208.9550000000002</v>
      </c>
      <c r="E43">
        <f t="shared" si="3"/>
        <v>30</v>
      </c>
      <c r="F43">
        <f t="shared" si="1"/>
        <v>36268.65</v>
      </c>
      <c r="G43">
        <f t="shared" si="4"/>
        <v>1103695.0049999999</v>
      </c>
      <c r="H43">
        <f t="shared" si="2"/>
        <v>66293.649168999997</v>
      </c>
      <c r="I43">
        <f t="shared" si="5"/>
        <v>2003771.6197910004</v>
      </c>
    </row>
    <row r="44" spans="1:9" x14ac:dyDescent="0.3">
      <c r="A44" s="6">
        <v>45078</v>
      </c>
      <c r="B44" s="4">
        <v>5582.6510003497733</v>
      </c>
      <c r="C44" s="7">
        <v>90</v>
      </c>
      <c r="D44">
        <f t="shared" si="0"/>
        <v>1280.0700000000002</v>
      </c>
      <c r="E44">
        <f t="shared" si="3"/>
        <v>31</v>
      </c>
      <c r="F44">
        <f t="shared" si="1"/>
        <v>39682.170000000006</v>
      </c>
      <c r="G44">
        <f t="shared" si="4"/>
        <v>1143377.1749999998</v>
      </c>
      <c r="H44">
        <f t="shared" si="2"/>
        <v>35113.758262000003</v>
      </c>
      <c r="I44">
        <f t="shared" si="5"/>
        <v>2038885.3780530004</v>
      </c>
    </row>
    <row r="45" spans="1:9" x14ac:dyDescent="0.3">
      <c r="A45" s="6">
        <v>45108</v>
      </c>
      <c r="B45" s="4">
        <v>5062.5389999682029</v>
      </c>
      <c r="C45" s="7">
        <v>90</v>
      </c>
      <c r="D45">
        <f t="shared" si="0"/>
        <v>1280.0700000000002</v>
      </c>
      <c r="E45">
        <f t="shared" si="3"/>
        <v>30</v>
      </c>
      <c r="F45">
        <f t="shared" si="1"/>
        <v>38402.100000000006</v>
      </c>
      <c r="G45">
        <f t="shared" si="4"/>
        <v>1181779.2749999999</v>
      </c>
      <c r="H45">
        <f t="shared" si="2"/>
        <v>31842.357802000002</v>
      </c>
      <c r="I45">
        <f t="shared" si="5"/>
        <v>2070727.7358550003</v>
      </c>
    </row>
    <row r="46" spans="1:9" x14ac:dyDescent="0.3">
      <c r="A46" s="6">
        <v>45139</v>
      </c>
      <c r="B46" s="4">
        <v>3351.4549998410125</v>
      </c>
      <c r="C46" s="7">
        <v>90</v>
      </c>
      <c r="D46">
        <f t="shared" si="0"/>
        <v>1280.0700000000002</v>
      </c>
      <c r="E46">
        <f t="shared" si="3"/>
        <v>31</v>
      </c>
      <c r="F46">
        <f t="shared" si="1"/>
        <v>39682.170000000006</v>
      </c>
      <c r="G46">
        <f t="shared" si="4"/>
        <v>1221461.4449999998</v>
      </c>
      <c r="H46">
        <f t="shared" si="2"/>
        <v>21079.981658000001</v>
      </c>
      <c r="I46">
        <f t="shared" si="5"/>
        <v>2091807.7175130004</v>
      </c>
    </row>
    <row r="47" spans="1:9" x14ac:dyDescent="0.3">
      <c r="A47" s="6">
        <v>45170</v>
      </c>
      <c r="B47" s="4">
        <v>5935.7100001589879</v>
      </c>
      <c r="C47" s="7">
        <v>87.042114884342254</v>
      </c>
      <c r="D47">
        <f t="shared" si="0"/>
        <v>1238</v>
      </c>
      <c r="E47">
        <f t="shared" si="3"/>
        <v>31</v>
      </c>
      <c r="F47">
        <f t="shared" si="1"/>
        <v>38378</v>
      </c>
      <c r="G47">
        <f t="shared" si="4"/>
        <v>1259839.4449999998</v>
      </c>
      <c r="H47">
        <f t="shared" si="2"/>
        <v>37334.428759000002</v>
      </c>
      <c r="I47">
        <f t="shared" si="5"/>
        <v>2129142.1462720004</v>
      </c>
    </row>
    <row r="48" spans="1:9" x14ac:dyDescent="0.3">
      <c r="A48" s="6">
        <v>45200</v>
      </c>
      <c r="B48" s="4">
        <v>8193.1040001271904</v>
      </c>
      <c r="C48" s="7">
        <v>90.002109259649856</v>
      </c>
      <c r="D48">
        <f t="shared" si="0"/>
        <v>1280.0999999999999</v>
      </c>
      <c r="E48">
        <f t="shared" si="3"/>
        <v>30</v>
      </c>
      <c r="F48">
        <f t="shared" si="1"/>
        <v>38403</v>
      </c>
      <c r="G48">
        <f t="shared" si="4"/>
        <v>1298242.4449999998</v>
      </c>
      <c r="H48">
        <f t="shared" si="2"/>
        <v>51532.985540000001</v>
      </c>
      <c r="I48">
        <f t="shared" si="5"/>
        <v>2180675.1318120002</v>
      </c>
    </row>
    <row r="49" spans="1:9" x14ac:dyDescent="0.3">
      <c r="A49" s="6">
        <v>45231</v>
      </c>
      <c r="B49" s="4">
        <v>7744.6089999682026</v>
      </c>
      <c r="C49" s="7">
        <v>75.019334880123736</v>
      </c>
      <c r="D49">
        <f t="shared" si="0"/>
        <v>1067</v>
      </c>
      <c r="E49">
        <f t="shared" si="3"/>
        <v>31</v>
      </c>
      <c r="F49">
        <f t="shared" si="1"/>
        <v>33077</v>
      </c>
      <c r="G49">
        <f t="shared" si="4"/>
        <v>1331319.4449999998</v>
      </c>
      <c r="H49">
        <f t="shared" si="2"/>
        <v>48712.041687999998</v>
      </c>
      <c r="I49">
        <f t="shared" si="5"/>
        <v>2229387.1735</v>
      </c>
    </row>
    <row r="50" spans="1:9" x14ac:dyDescent="0.3">
      <c r="A50" s="6">
        <v>45261</v>
      </c>
      <c r="B50" s="4">
        <v>16073.87</v>
      </c>
      <c r="C50" s="7">
        <v>75</v>
      </c>
      <c r="D50">
        <f t="shared" si="0"/>
        <v>1066.7250000000001</v>
      </c>
      <c r="E50">
        <f t="shared" si="3"/>
        <v>30</v>
      </c>
      <c r="F50">
        <f t="shared" si="1"/>
        <v>32001.750000000004</v>
      </c>
      <c r="G50">
        <f t="shared" si="4"/>
        <v>1363321.1949999998</v>
      </c>
      <c r="H50">
        <f t="shared" si="2"/>
        <v>101101.427526</v>
      </c>
      <c r="I50">
        <f t="shared" si="5"/>
        <v>2330488.601026</v>
      </c>
    </row>
    <row r="51" spans="1:9" x14ac:dyDescent="0.3">
      <c r="A51" s="6">
        <v>45292</v>
      </c>
      <c r="B51" s="4">
        <v>15673.82</v>
      </c>
      <c r="C51" s="7">
        <v>75</v>
      </c>
      <c r="D51">
        <f t="shared" si="0"/>
        <v>1066.7250000000001</v>
      </c>
      <c r="E51">
        <f t="shared" si="3"/>
        <v>31</v>
      </c>
      <c r="F51">
        <f t="shared" si="1"/>
        <v>33068.475000000006</v>
      </c>
      <c r="G51">
        <f t="shared" si="4"/>
        <v>1396389.67</v>
      </c>
      <c r="H51">
        <f t="shared" si="2"/>
        <v>98585.193035999997</v>
      </c>
      <c r="I51">
        <f t="shared" si="5"/>
        <v>2429073.7940619998</v>
      </c>
    </row>
    <row r="52" spans="1:9" x14ac:dyDescent="0.3">
      <c r="A52" s="6">
        <v>45323</v>
      </c>
      <c r="B52" s="4">
        <v>12339.726999904608</v>
      </c>
      <c r="C52" s="7">
        <v>74.008996345234749</v>
      </c>
      <c r="D52">
        <f t="shared" si="0"/>
        <v>1052.6299550182739</v>
      </c>
      <c r="E52">
        <f t="shared" si="3"/>
        <v>31</v>
      </c>
      <c r="F52">
        <f t="shared" si="1"/>
        <v>32631.528605566491</v>
      </c>
      <c r="G52">
        <f t="shared" si="4"/>
        <v>1429021.1986055665</v>
      </c>
      <c r="H52">
        <f t="shared" si="2"/>
        <v>77614.414883999998</v>
      </c>
      <c r="I52">
        <f t="shared" si="5"/>
        <v>2506688.2089459999</v>
      </c>
    </row>
    <row r="53" spans="1:9" x14ac:dyDescent="0.3">
      <c r="A53" s="6">
        <v>45352</v>
      </c>
      <c r="B53" s="4">
        <v>12300.441329788209</v>
      </c>
      <c r="C53" s="7">
        <v>73.973854371661517</v>
      </c>
      <c r="D53">
        <f t="shared" si="0"/>
        <v>1052.1301307281419</v>
      </c>
      <c r="E53">
        <f t="shared" si="3"/>
        <v>29</v>
      </c>
      <c r="F53">
        <f t="shared" si="1"/>
        <v>30511.773791116117</v>
      </c>
      <c r="G53">
        <f t="shared" si="4"/>
        <v>1459532.9723966827</v>
      </c>
      <c r="H53">
        <f t="shared" si="2"/>
        <v>77367.315876101871</v>
      </c>
      <c r="I53">
        <f t="shared" si="5"/>
        <v>2584055.5248221019</v>
      </c>
    </row>
    <row r="54" spans="1:9" x14ac:dyDescent="0.3">
      <c r="A54" s="6">
        <v>45383</v>
      </c>
      <c r="B54" s="4">
        <v>11004.995506959338</v>
      </c>
      <c r="C54" s="7">
        <v>73.973854371661517</v>
      </c>
      <c r="D54">
        <f t="shared" si="0"/>
        <v>1052.1301307281419</v>
      </c>
      <c r="E54">
        <f t="shared" si="3"/>
        <v>31</v>
      </c>
      <c r="F54">
        <f t="shared" si="1"/>
        <v>32616.034052572399</v>
      </c>
      <c r="G54">
        <f t="shared" si="4"/>
        <v>1492149.0064492552</v>
      </c>
      <c r="H54">
        <f t="shared" si="2"/>
        <v>69219.220739672834</v>
      </c>
      <c r="I54">
        <f t="shared" si="5"/>
        <v>2653274.7455617748</v>
      </c>
    </row>
    <row r="55" spans="1:9" x14ac:dyDescent="0.3">
      <c r="A55" s="6">
        <v>45413</v>
      </c>
      <c r="B55" s="4">
        <v>10949.938999809217</v>
      </c>
      <c r="C55" s="7">
        <v>74</v>
      </c>
      <c r="D55">
        <f t="shared" si="0"/>
        <v>1052.502</v>
      </c>
      <c r="E55">
        <f t="shared" si="3"/>
        <v>30</v>
      </c>
      <c r="F55">
        <f t="shared" si="1"/>
        <v>31575.059999999998</v>
      </c>
      <c r="G55">
        <f t="shared" si="4"/>
        <v>1523724.0664492552</v>
      </c>
      <c r="H55">
        <f t="shared" si="2"/>
        <v>68872.926321000006</v>
      </c>
      <c r="I55">
        <f t="shared" si="5"/>
        <v>2722147.6718827747</v>
      </c>
    </row>
    <row r="56" spans="1:9" x14ac:dyDescent="0.3">
      <c r="A56" s="6">
        <v>45444</v>
      </c>
      <c r="B56" s="4">
        <v>9789.5310003497743</v>
      </c>
      <c r="C56" s="7">
        <v>79.983131852684849</v>
      </c>
      <c r="D56">
        <f t="shared" si="0"/>
        <v>1137.6000843407367</v>
      </c>
      <c r="E56">
        <f t="shared" si="3"/>
        <v>31</v>
      </c>
      <c r="F56">
        <f t="shared" si="1"/>
        <v>35265.602614562835</v>
      </c>
      <c r="G56">
        <f t="shared" si="4"/>
        <v>1558989.6690638179</v>
      </c>
      <c r="H56">
        <f t="shared" si="2"/>
        <v>61574.19208600001</v>
      </c>
      <c r="I56">
        <f t="shared" si="5"/>
        <v>2783721.8639687747</v>
      </c>
    </row>
    <row r="57" spans="1:9" x14ac:dyDescent="0.3">
      <c r="A57" s="6">
        <v>45474</v>
      </c>
      <c r="B57" s="4">
        <v>9857.1439999682043</v>
      </c>
      <c r="C57" s="7">
        <v>79.983131852684849</v>
      </c>
      <c r="D57">
        <f t="shared" si="0"/>
        <v>1137.6000843407367</v>
      </c>
      <c r="E57">
        <f t="shared" si="3"/>
        <v>30</v>
      </c>
      <c r="F57">
        <f t="shared" si="1"/>
        <v>34128.002530222097</v>
      </c>
      <c r="G57">
        <f t="shared" si="4"/>
        <v>1593117.67159404</v>
      </c>
      <c r="H57">
        <f t="shared" si="2"/>
        <v>61999.46433100001</v>
      </c>
      <c r="I57">
        <f t="shared" si="5"/>
        <v>2845721.3282997748</v>
      </c>
    </row>
    <row r="58" spans="1:9" x14ac:dyDescent="0.3">
      <c r="A58" s="6">
        <v>45505</v>
      </c>
      <c r="B58" s="4">
        <v>9718.3220006995471</v>
      </c>
      <c r="C58" s="7">
        <v>82.021366319932525</v>
      </c>
      <c r="D58">
        <f t="shared" si="0"/>
        <v>1166.5898931684003</v>
      </c>
      <c r="E58">
        <f t="shared" si="3"/>
        <v>31</v>
      </c>
      <c r="F58">
        <f t="shared" si="1"/>
        <v>36164.286688220411</v>
      </c>
      <c r="G58">
        <f t="shared" si="4"/>
        <v>1629281.9582822605</v>
      </c>
      <c r="H58">
        <f t="shared" si="2"/>
        <v>61126.30172000001</v>
      </c>
      <c r="I58">
        <f t="shared" si="5"/>
        <v>2906847.6300197747</v>
      </c>
    </row>
    <row r="59" spans="1:9" x14ac:dyDescent="0.3">
      <c r="A59" s="6">
        <v>45536</v>
      </c>
      <c r="B59" s="4">
        <v>16016.193000095393</v>
      </c>
      <c r="C59" s="7">
        <v>81.972167556929989</v>
      </c>
      <c r="D59">
        <f t="shared" si="0"/>
        <v>1165.8901391622153</v>
      </c>
      <c r="E59">
        <f t="shared" si="3"/>
        <v>31</v>
      </c>
      <c r="F59">
        <f t="shared" si="1"/>
        <v>36142.594314028676</v>
      </c>
      <c r="G59">
        <f t="shared" si="4"/>
        <v>1665424.5525962892</v>
      </c>
      <c r="H59">
        <f t="shared" si="2"/>
        <v>100738.65073199999</v>
      </c>
      <c r="I59">
        <f t="shared" si="5"/>
        <v>3007586.2807517746</v>
      </c>
    </row>
    <row r="60" spans="1:9" x14ac:dyDescent="0.3">
      <c r="A60" s="6">
        <v>45566</v>
      </c>
      <c r="B60" s="4">
        <v>16156.372000063597</v>
      </c>
      <c r="C60" s="7">
        <v>82</v>
      </c>
      <c r="D60">
        <f t="shared" si="0"/>
        <v>1166.2860000000001</v>
      </c>
      <c r="E60">
        <f t="shared" si="3"/>
        <v>30</v>
      </c>
      <c r="F60">
        <f t="shared" si="1"/>
        <v>34988.58</v>
      </c>
      <c r="G60">
        <f t="shared" si="4"/>
        <v>1700413.1325962893</v>
      </c>
      <c r="H60">
        <f t="shared" si="2"/>
        <v>101620.348606</v>
      </c>
      <c r="I60">
        <f t="shared" si="5"/>
        <v>3109206.6293577747</v>
      </c>
    </row>
    <row r="61" spans="1:9" x14ac:dyDescent="0.3">
      <c r="A61" s="6">
        <v>45597</v>
      </c>
      <c r="B61" s="4">
        <v>16403.486000349774</v>
      </c>
      <c r="C61" s="7">
        <v>84</v>
      </c>
      <c r="D61">
        <f t="shared" si="0"/>
        <v>1194.732</v>
      </c>
      <c r="E61">
        <f t="shared" si="3"/>
        <v>31</v>
      </c>
      <c r="F61">
        <f t="shared" si="1"/>
        <v>37036.691999999995</v>
      </c>
      <c r="G61">
        <f t="shared" si="4"/>
        <v>1737449.8245962893</v>
      </c>
      <c r="H61">
        <f t="shared" si="2"/>
        <v>103174.64624500001</v>
      </c>
      <c r="I61">
        <f t="shared" si="5"/>
        <v>3212381.2756027747</v>
      </c>
    </row>
    <row r="62" spans="1:9" x14ac:dyDescent="0.3">
      <c r="A62" s="6">
        <v>45627</v>
      </c>
      <c r="B62" s="4">
        <v>9669.38300025438</v>
      </c>
      <c r="C62" s="7">
        <v>84</v>
      </c>
      <c r="D62">
        <f t="shared" si="0"/>
        <v>1194.732</v>
      </c>
      <c r="E62">
        <f t="shared" si="3"/>
        <v>30</v>
      </c>
      <c r="F62">
        <f t="shared" si="1"/>
        <v>35841.96</v>
      </c>
      <c r="G62">
        <f t="shared" si="4"/>
        <v>1773291.7845962893</v>
      </c>
      <c r="H62">
        <f t="shared" si="2"/>
        <v>60818.485194999994</v>
      </c>
      <c r="I62">
        <f t="shared" si="5"/>
        <v>3273199.7607977749</v>
      </c>
    </row>
    <row r="63" spans="1:9" x14ac:dyDescent="0.3">
      <c r="A63" s="6">
        <v>45658</v>
      </c>
      <c r="B63" s="4">
        <v>11468.344999841014</v>
      </c>
      <c r="C63" s="7">
        <v>83</v>
      </c>
      <c r="D63">
        <f t="shared" si="0"/>
        <v>1180.509</v>
      </c>
      <c r="E63">
        <f t="shared" si="3"/>
        <v>31</v>
      </c>
      <c r="F63">
        <f t="shared" si="1"/>
        <v>36595.779000000002</v>
      </c>
      <c r="G63">
        <f t="shared" si="4"/>
        <v>1809887.5635962894</v>
      </c>
      <c r="H63">
        <f t="shared" si="2"/>
        <v>72133.596380000003</v>
      </c>
      <c r="I63">
        <f t="shared" si="5"/>
        <v>3345333.3571777749</v>
      </c>
    </row>
    <row r="64" spans="1:9" x14ac:dyDescent="0.3">
      <c r="A64" s="6">
        <v>45689</v>
      </c>
      <c r="B64" s="4">
        <v>9687.3530000953942</v>
      </c>
      <c r="C64" s="7">
        <v>83</v>
      </c>
      <c r="D64">
        <f t="shared" si="0"/>
        <v>1180.509</v>
      </c>
      <c r="E64">
        <f t="shared" si="3"/>
        <v>31</v>
      </c>
      <c r="F64">
        <f t="shared" si="1"/>
        <v>36595.779000000002</v>
      </c>
      <c r="G64">
        <f t="shared" si="4"/>
        <v>1846483.3425962895</v>
      </c>
      <c r="H64">
        <f t="shared" si="2"/>
        <v>60931.512900000009</v>
      </c>
      <c r="I64">
        <f t="shared" si="5"/>
        <v>3406264.8700777749</v>
      </c>
    </row>
    <row r="65" spans="1:9" x14ac:dyDescent="0.3">
      <c r="A65" s="6">
        <v>45717</v>
      </c>
      <c r="B65" s="4">
        <v>10874.903999809218</v>
      </c>
      <c r="C65" s="7">
        <v>83</v>
      </c>
      <c r="D65">
        <f t="shared" si="0"/>
        <v>1180.509</v>
      </c>
      <c r="E65">
        <f t="shared" si="3"/>
        <v>28</v>
      </c>
      <c r="F65">
        <f t="shared" si="1"/>
        <v>33054.252</v>
      </c>
      <c r="G65">
        <f t="shared" si="4"/>
        <v>1879537.5945962896</v>
      </c>
      <c r="H65">
        <f t="shared" si="2"/>
        <v>68400.971178000007</v>
      </c>
      <c r="I65">
        <f t="shared" si="5"/>
        <v>3474665.8412557747</v>
      </c>
    </row>
    <row r="66" spans="1:9" x14ac:dyDescent="0.3">
      <c r="A66" s="6">
        <v>45748</v>
      </c>
      <c r="B66" s="4">
        <v>9222.7900001589878</v>
      </c>
      <c r="C66" s="7">
        <v>87</v>
      </c>
      <c r="D66">
        <f t="shared" si="0"/>
        <v>1237.4010000000001</v>
      </c>
      <c r="E66">
        <f t="shared" si="3"/>
        <v>31</v>
      </c>
      <c r="F66">
        <f t="shared" si="1"/>
        <v>38359.431000000004</v>
      </c>
      <c r="G66">
        <f t="shared" si="4"/>
        <v>1917897.0255962897</v>
      </c>
      <c r="H66">
        <f t="shared" si="2"/>
        <v>58009.504542999995</v>
      </c>
      <c r="I66">
        <f t="shared" si="5"/>
        <v>3532675.3457987746</v>
      </c>
    </row>
    <row r="67" spans="1:9" x14ac:dyDescent="0.3">
      <c r="A67" s="6">
        <v>45778</v>
      </c>
      <c r="B67" s="4">
        <v>9264.6129997774187</v>
      </c>
      <c r="C67" s="7">
        <v>87</v>
      </c>
      <c r="D67">
        <f t="shared" ref="D67:D70" si="6">14.223*C67</f>
        <v>1237.4010000000001</v>
      </c>
      <c r="E67">
        <f t="shared" si="3"/>
        <v>30</v>
      </c>
      <c r="F67">
        <f t="shared" ref="F67:F70" si="7">D67*E67</f>
        <v>37122.03</v>
      </c>
      <c r="G67">
        <f t="shared" si="4"/>
        <v>1955019.0555962897</v>
      </c>
      <c r="H67">
        <f t="shared" ref="H67:H70" si="8">6.2898*B67</f>
        <v>58272.562846000008</v>
      </c>
      <c r="I67">
        <f t="shared" si="5"/>
        <v>3590947.9086447745</v>
      </c>
    </row>
    <row r="68" spans="1:9" x14ac:dyDescent="0.3">
      <c r="A68" s="6">
        <v>45809</v>
      </c>
      <c r="B68" s="4">
        <v>8770.5360000317978</v>
      </c>
      <c r="C68" s="7">
        <v>87</v>
      </c>
      <c r="D68">
        <f t="shared" si="6"/>
        <v>1237.4010000000001</v>
      </c>
      <c r="E68">
        <f t="shared" ref="E68:E70" si="9">A68-A67</f>
        <v>31</v>
      </c>
      <c r="F68">
        <f t="shared" si="7"/>
        <v>38359.431000000004</v>
      </c>
      <c r="G68">
        <f t="shared" ref="G68:G70" si="10">G67+F68</f>
        <v>1993378.4865962898</v>
      </c>
      <c r="H68">
        <f t="shared" si="8"/>
        <v>55164.917332999998</v>
      </c>
      <c r="I68">
        <f t="shared" ref="I68:I70" si="11">I67+H68</f>
        <v>3646112.8259777743</v>
      </c>
    </row>
    <row r="69" spans="1:9" x14ac:dyDescent="0.3">
      <c r="A69" s="16">
        <v>45839</v>
      </c>
      <c r="B69" s="17">
        <v>9361.7689999682025</v>
      </c>
      <c r="C69" s="7">
        <v>87</v>
      </c>
      <c r="D69">
        <f t="shared" si="6"/>
        <v>1237.4010000000001</v>
      </c>
      <c r="E69">
        <f t="shared" si="9"/>
        <v>30</v>
      </c>
      <c r="F69">
        <f t="shared" si="7"/>
        <v>37122.03</v>
      </c>
      <c r="G69">
        <f t="shared" si="10"/>
        <v>2030500.5165962898</v>
      </c>
      <c r="H69">
        <f t="shared" si="8"/>
        <v>58883.654655999999</v>
      </c>
      <c r="I69">
        <f t="shared" si="11"/>
        <v>3704996.4806337743</v>
      </c>
    </row>
    <row r="70" spans="1:9" x14ac:dyDescent="0.3">
      <c r="A70" s="16">
        <v>45870</v>
      </c>
      <c r="D70">
        <f t="shared" si="6"/>
        <v>0</v>
      </c>
      <c r="E70">
        <f t="shared" si="9"/>
        <v>31</v>
      </c>
      <c r="F70">
        <f t="shared" si="7"/>
        <v>0</v>
      </c>
      <c r="G70">
        <f t="shared" si="10"/>
        <v>2030500.5165962898</v>
      </c>
      <c r="H70">
        <f t="shared" si="8"/>
        <v>0</v>
      </c>
      <c r="I70">
        <f t="shared" si="11"/>
        <v>3704996.4806337743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FD24-C5ED-4E50-8E44-ED7ECD46C52C}">
  <dimension ref="A1:I46"/>
  <sheetViews>
    <sheetView workbookViewId="0">
      <selection activeCell="G1" activeCellId="1" sqref="I1:I1048576 G1:G1048576"/>
    </sheetView>
  </sheetViews>
  <sheetFormatPr defaultRowHeight="14.4" x14ac:dyDescent="0.3"/>
  <cols>
    <col min="6" max="6" width="16.6640625" customWidth="1"/>
    <col min="7" max="7" width="21.21875" customWidth="1"/>
    <col min="8" max="8" width="23.6640625" customWidth="1"/>
    <col min="9" max="9" width="27.10937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6">
        <v>44562</v>
      </c>
      <c r="B2" s="4">
        <v>3488.030000317975</v>
      </c>
      <c r="C2" s="8">
        <v>77</v>
      </c>
      <c r="D2">
        <f>14.223*C2</f>
        <v>1095.171</v>
      </c>
      <c r="E2">
        <v>0</v>
      </c>
      <c r="F2">
        <f>D2*E2</f>
        <v>0</v>
      </c>
      <c r="G2">
        <f>F2</f>
        <v>0</v>
      </c>
      <c r="H2">
        <f>6.2898*B2</f>
        <v>21939.011095999998</v>
      </c>
      <c r="I2">
        <f>H2</f>
        <v>21939.011095999998</v>
      </c>
    </row>
    <row r="3" spans="1:9" x14ac:dyDescent="0.3">
      <c r="A3" s="6">
        <v>44593</v>
      </c>
      <c r="B3" s="4">
        <v>4203.372999777418</v>
      </c>
      <c r="C3" s="7">
        <v>77</v>
      </c>
      <c r="D3">
        <f t="shared" ref="D3:D45" si="0">14.223*C3</f>
        <v>1095.171</v>
      </c>
      <c r="E3">
        <f>A3-A2</f>
        <v>31</v>
      </c>
      <c r="F3">
        <f t="shared" ref="F3:F45" si="1">D3*E3</f>
        <v>33950.300999999999</v>
      </c>
      <c r="G3">
        <f>G2+F3</f>
        <v>33950.300999999999</v>
      </c>
      <c r="H3">
        <f t="shared" ref="H3:H45" si="2">6.2898*B3</f>
        <v>26438.375494000004</v>
      </c>
      <c r="I3">
        <f>I2+H3</f>
        <v>48377.386590000002</v>
      </c>
    </row>
    <row r="4" spans="1:9" x14ac:dyDescent="0.3">
      <c r="A4" s="6">
        <v>44621</v>
      </c>
      <c r="B4" s="4">
        <v>4141.9419997456198</v>
      </c>
      <c r="C4" s="9">
        <v>77</v>
      </c>
      <c r="D4">
        <f t="shared" si="0"/>
        <v>1095.171</v>
      </c>
      <c r="E4">
        <f t="shared" ref="E4:E45" si="3">A4-A3</f>
        <v>28</v>
      </c>
      <c r="F4">
        <f t="shared" si="1"/>
        <v>30664.788</v>
      </c>
      <c r="G4">
        <f t="shared" ref="G4:G45" si="4">G3+F4</f>
        <v>64615.089</v>
      </c>
      <c r="H4">
        <f t="shared" si="2"/>
        <v>26051.986789999999</v>
      </c>
      <c r="I4">
        <f t="shared" ref="I4:I45" si="5">I3+H4</f>
        <v>74429.373380000005</v>
      </c>
    </row>
    <row r="5" spans="1:9" x14ac:dyDescent="0.3">
      <c r="A5" s="6">
        <v>44652</v>
      </c>
      <c r="B5" s="4">
        <v>2875.06099987281</v>
      </c>
      <c r="C5">
        <v>0</v>
      </c>
      <c r="D5">
        <f t="shared" si="0"/>
        <v>0</v>
      </c>
      <c r="E5">
        <f t="shared" si="3"/>
        <v>31</v>
      </c>
      <c r="F5">
        <f t="shared" si="1"/>
        <v>0</v>
      </c>
      <c r="G5">
        <f t="shared" si="4"/>
        <v>64615.089</v>
      </c>
      <c r="H5">
        <f t="shared" si="2"/>
        <v>18083.558677000001</v>
      </c>
      <c r="I5">
        <f t="shared" si="5"/>
        <v>92512.932056999998</v>
      </c>
    </row>
    <row r="6" spans="1:9" x14ac:dyDescent="0.3">
      <c r="A6" s="6">
        <v>44682</v>
      </c>
      <c r="B6" s="4">
        <v>5965.7070002225828</v>
      </c>
      <c r="C6">
        <v>42</v>
      </c>
      <c r="D6">
        <f t="shared" si="0"/>
        <v>597.36599999999999</v>
      </c>
      <c r="E6">
        <f t="shared" si="3"/>
        <v>30</v>
      </c>
      <c r="F6">
        <f t="shared" si="1"/>
        <v>17920.98</v>
      </c>
      <c r="G6">
        <f t="shared" si="4"/>
        <v>82536.069000000003</v>
      </c>
      <c r="H6">
        <f t="shared" si="2"/>
        <v>37523.103889999999</v>
      </c>
      <c r="I6">
        <f t="shared" si="5"/>
        <v>130036.035947</v>
      </c>
    </row>
    <row r="7" spans="1:9" x14ac:dyDescent="0.3">
      <c r="A7" s="6">
        <v>44713</v>
      </c>
      <c r="B7" s="4">
        <v>13813.573000254382</v>
      </c>
      <c r="C7">
        <v>42</v>
      </c>
      <c r="D7">
        <f t="shared" si="0"/>
        <v>597.36599999999999</v>
      </c>
      <c r="E7">
        <f t="shared" si="3"/>
        <v>31</v>
      </c>
      <c r="F7">
        <f t="shared" si="1"/>
        <v>18518.345999999998</v>
      </c>
      <c r="G7">
        <f t="shared" si="4"/>
        <v>101054.41500000001</v>
      </c>
      <c r="H7">
        <f t="shared" si="2"/>
        <v>86884.611457000006</v>
      </c>
      <c r="I7">
        <f t="shared" si="5"/>
        <v>216920.64740399999</v>
      </c>
    </row>
    <row r="8" spans="1:9" x14ac:dyDescent="0.3">
      <c r="A8" s="6">
        <v>44743</v>
      </c>
      <c r="B8" s="4">
        <v>13645.08500015899</v>
      </c>
      <c r="C8">
        <v>42</v>
      </c>
      <c r="D8">
        <f t="shared" si="0"/>
        <v>597.36599999999999</v>
      </c>
      <c r="E8">
        <f t="shared" si="3"/>
        <v>30</v>
      </c>
      <c r="F8">
        <f t="shared" si="1"/>
        <v>17920.98</v>
      </c>
      <c r="G8">
        <f t="shared" si="4"/>
        <v>118975.395</v>
      </c>
      <c r="H8">
        <f t="shared" si="2"/>
        <v>85824.855634000007</v>
      </c>
      <c r="I8">
        <f t="shared" si="5"/>
        <v>302745.50303799997</v>
      </c>
    </row>
    <row r="9" spans="1:9" x14ac:dyDescent="0.3">
      <c r="A9" s="6">
        <v>44774</v>
      </c>
      <c r="B9" s="4">
        <v>14629.153999968205</v>
      </c>
      <c r="C9">
        <v>42</v>
      </c>
      <c r="D9">
        <f t="shared" si="0"/>
        <v>597.36599999999999</v>
      </c>
      <c r="E9">
        <f t="shared" si="3"/>
        <v>31</v>
      </c>
      <c r="F9">
        <f t="shared" si="1"/>
        <v>18518.345999999998</v>
      </c>
      <c r="G9">
        <f t="shared" si="4"/>
        <v>137493.74100000001</v>
      </c>
      <c r="H9">
        <f t="shared" si="2"/>
        <v>92014.452829000002</v>
      </c>
      <c r="I9">
        <f t="shared" si="5"/>
        <v>394759.95586699998</v>
      </c>
    </row>
    <row r="10" spans="1:9" x14ac:dyDescent="0.3">
      <c r="A10" s="6">
        <v>44805</v>
      </c>
      <c r="B10" s="4">
        <v>13772.056999904607</v>
      </c>
      <c r="C10">
        <v>42</v>
      </c>
      <c r="D10">
        <f t="shared" si="0"/>
        <v>597.36599999999999</v>
      </c>
      <c r="E10">
        <f t="shared" si="3"/>
        <v>31</v>
      </c>
      <c r="F10">
        <f t="shared" si="1"/>
        <v>18518.345999999998</v>
      </c>
      <c r="G10">
        <f t="shared" si="4"/>
        <v>156012.087</v>
      </c>
      <c r="H10">
        <f t="shared" si="2"/>
        <v>86623.484117999993</v>
      </c>
      <c r="I10">
        <f t="shared" si="5"/>
        <v>481383.43998499995</v>
      </c>
    </row>
    <row r="11" spans="1:9" x14ac:dyDescent="0.3">
      <c r="A11" s="6">
        <v>44835</v>
      </c>
      <c r="B11" s="4">
        <v>13166.29</v>
      </c>
      <c r="C11">
        <v>42</v>
      </c>
      <c r="D11">
        <f t="shared" si="0"/>
        <v>597.36599999999999</v>
      </c>
      <c r="E11">
        <f t="shared" si="3"/>
        <v>30</v>
      </c>
      <c r="F11">
        <f t="shared" si="1"/>
        <v>17920.98</v>
      </c>
      <c r="G11">
        <f t="shared" si="4"/>
        <v>173933.06700000001</v>
      </c>
      <c r="H11">
        <f t="shared" si="2"/>
        <v>82813.330841999996</v>
      </c>
      <c r="I11">
        <f t="shared" si="5"/>
        <v>564196.77082699991</v>
      </c>
    </row>
    <row r="12" spans="1:9" x14ac:dyDescent="0.3">
      <c r="A12" s="6">
        <v>44866</v>
      </c>
      <c r="B12" s="4">
        <v>6225.1640006041525</v>
      </c>
      <c r="C12">
        <v>42</v>
      </c>
      <c r="D12">
        <f t="shared" si="0"/>
        <v>597.36599999999999</v>
      </c>
      <c r="E12">
        <f t="shared" si="3"/>
        <v>31</v>
      </c>
      <c r="F12">
        <f t="shared" si="1"/>
        <v>18518.345999999998</v>
      </c>
      <c r="G12">
        <f t="shared" si="4"/>
        <v>192451.413</v>
      </c>
      <c r="H12">
        <f t="shared" si="2"/>
        <v>39155.036530999998</v>
      </c>
      <c r="I12">
        <f t="shared" si="5"/>
        <v>603351.80735799996</v>
      </c>
    </row>
    <row r="13" spans="1:9" x14ac:dyDescent="0.3">
      <c r="A13" s="6">
        <v>44896</v>
      </c>
      <c r="B13" s="4">
        <v>6160.4030000953935</v>
      </c>
      <c r="C13">
        <v>0</v>
      </c>
      <c r="D13">
        <f t="shared" si="0"/>
        <v>0</v>
      </c>
      <c r="E13">
        <f t="shared" si="3"/>
        <v>30</v>
      </c>
      <c r="F13">
        <f t="shared" si="1"/>
        <v>0</v>
      </c>
      <c r="G13">
        <f t="shared" si="4"/>
        <v>192451.413</v>
      </c>
      <c r="H13">
        <f t="shared" si="2"/>
        <v>38747.702790000003</v>
      </c>
      <c r="I13">
        <f t="shared" si="5"/>
        <v>642099.51014799997</v>
      </c>
    </row>
    <row r="14" spans="1:9" x14ac:dyDescent="0.3">
      <c r="A14" s="6">
        <v>44927</v>
      </c>
      <c r="B14" s="4">
        <v>839.63199990460748</v>
      </c>
      <c r="C14">
        <v>0</v>
      </c>
      <c r="D14">
        <f t="shared" si="0"/>
        <v>0</v>
      </c>
      <c r="E14">
        <f t="shared" si="3"/>
        <v>31</v>
      </c>
      <c r="F14">
        <f t="shared" si="1"/>
        <v>0</v>
      </c>
      <c r="G14">
        <f t="shared" si="4"/>
        <v>192451.413</v>
      </c>
      <c r="H14">
        <f t="shared" si="2"/>
        <v>5281.1173529999996</v>
      </c>
      <c r="I14">
        <f t="shared" si="5"/>
        <v>647380.62750099995</v>
      </c>
    </row>
    <row r="15" spans="1:9" x14ac:dyDescent="0.3">
      <c r="A15" s="6">
        <v>44958</v>
      </c>
      <c r="B15" s="4">
        <v>3.6000031797513439E-2</v>
      </c>
      <c r="C15">
        <v>0</v>
      </c>
      <c r="D15">
        <f t="shared" si="0"/>
        <v>0</v>
      </c>
      <c r="E15">
        <f t="shared" si="3"/>
        <v>31</v>
      </c>
      <c r="F15">
        <f t="shared" si="1"/>
        <v>0</v>
      </c>
      <c r="G15">
        <f t="shared" si="4"/>
        <v>192451.413</v>
      </c>
      <c r="H15">
        <f t="shared" si="2"/>
        <v>0.22643300000000002</v>
      </c>
      <c r="I15">
        <f t="shared" si="5"/>
        <v>647380.8539339999</v>
      </c>
    </row>
    <row r="16" spans="1:9" x14ac:dyDescent="0.3">
      <c r="A16" s="6">
        <v>44986</v>
      </c>
      <c r="B16" s="4">
        <v>0</v>
      </c>
      <c r="C16">
        <v>0</v>
      </c>
      <c r="D16">
        <f t="shared" si="0"/>
        <v>0</v>
      </c>
      <c r="E16">
        <f t="shared" si="3"/>
        <v>28</v>
      </c>
      <c r="F16">
        <f t="shared" si="1"/>
        <v>0</v>
      </c>
      <c r="G16">
        <f t="shared" si="4"/>
        <v>192451.413</v>
      </c>
      <c r="H16">
        <f t="shared" si="2"/>
        <v>0</v>
      </c>
      <c r="I16">
        <f t="shared" si="5"/>
        <v>647380.8539339999</v>
      </c>
    </row>
    <row r="17" spans="1:9" x14ac:dyDescent="0.3">
      <c r="A17" s="6">
        <v>45017</v>
      </c>
      <c r="B17" s="4">
        <v>0</v>
      </c>
      <c r="C17">
        <v>0</v>
      </c>
      <c r="D17">
        <f t="shared" si="0"/>
        <v>0</v>
      </c>
      <c r="E17">
        <f t="shared" si="3"/>
        <v>31</v>
      </c>
      <c r="F17">
        <f t="shared" si="1"/>
        <v>0</v>
      </c>
      <c r="G17">
        <f t="shared" si="4"/>
        <v>192451.413</v>
      </c>
      <c r="H17">
        <f t="shared" si="2"/>
        <v>0</v>
      </c>
      <c r="I17">
        <f t="shared" si="5"/>
        <v>647380.8539339999</v>
      </c>
    </row>
    <row r="18" spans="1:9" x14ac:dyDescent="0.3">
      <c r="A18" s="6">
        <v>45047</v>
      </c>
      <c r="B18" s="4">
        <v>593.35100003179753</v>
      </c>
      <c r="C18">
        <v>0</v>
      </c>
      <c r="D18">
        <f t="shared" si="0"/>
        <v>0</v>
      </c>
      <c r="E18">
        <f t="shared" si="3"/>
        <v>30</v>
      </c>
      <c r="F18">
        <f t="shared" si="1"/>
        <v>0</v>
      </c>
      <c r="G18">
        <f t="shared" si="4"/>
        <v>192451.413</v>
      </c>
      <c r="H18">
        <f t="shared" si="2"/>
        <v>3732.0591199999999</v>
      </c>
      <c r="I18">
        <f t="shared" si="5"/>
        <v>651112.91305399989</v>
      </c>
    </row>
    <row r="19" spans="1:9" x14ac:dyDescent="0.3">
      <c r="A19" s="6">
        <v>45078</v>
      </c>
      <c r="B19" s="4">
        <v>1440.4320000635953</v>
      </c>
      <c r="C19">
        <v>0</v>
      </c>
      <c r="D19">
        <f t="shared" si="0"/>
        <v>0</v>
      </c>
      <c r="E19">
        <f t="shared" si="3"/>
        <v>31</v>
      </c>
      <c r="F19">
        <f t="shared" si="1"/>
        <v>0</v>
      </c>
      <c r="G19">
        <f t="shared" si="4"/>
        <v>192451.413</v>
      </c>
      <c r="H19">
        <f t="shared" si="2"/>
        <v>9060.0291940000006</v>
      </c>
      <c r="I19">
        <f t="shared" si="5"/>
        <v>660172.94224799983</v>
      </c>
    </row>
    <row r="20" spans="1:9" x14ac:dyDescent="0.3">
      <c r="A20" s="6">
        <v>45108</v>
      </c>
      <c r="B20" s="4">
        <v>4794.5239999682026</v>
      </c>
      <c r="C20">
        <v>13</v>
      </c>
      <c r="D20">
        <f t="shared" si="0"/>
        <v>184.899</v>
      </c>
      <c r="E20">
        <f t="shared" si="3"/>
        <v>30</v>
      </c>
      <c r="F20">
        <f t="shared" si="1"/>
        <v>5546.97</v>
      </c>
      <c r="G20">
        <f t="shared" si="4"/>
        <v>197998.383</v>
      </c>
      <c r="H20">
        <f t="shared" si="2"/>
        <v>30156.597054999998</v>
      </c>
      <c r="I20">
        <f t="shared" si="5"/>
        <v>690329.53930299985</v>
      </c>
    </row>
    <row r="21" spans="1:9" x14ac:dyDescent="0.3">
      <c r="A21" s="6">
        <v>45139</v>
      </c>
      <c r="B21" s="4">
        <v>4535.8999998410127</v>
      </c>
      <c r="C21">
        <v>13</v>
      </c>
      <c r="D21">
        <f t="shared" si="0"/>
        <v>184.899</v>
      </c>
      <c r="E21">
        <f t="shared" si="3"/>
        <v>31</v>
      </c>
      <c r="F21">
        <f t="shared" si="1"/>
        <v>5731.8689999999997</v>
      </c>
      <c r="G21">
        <f t="shared" si="4"/>
        <v>203730.25200000001</v>
      </c>
      <c r="H21">
        <f t="shared" si="2"/>
        <v>28529.903818999999</v>
      </c>
      <c r="I21">
        <f t="shared" si="5"/>
        <v>718859.44312199985</v>
      </c>
    </row>
    <row r="22" spans="1:9" x14ac:dyDescent="0.3">
      <c r="A22" s="6">
        <v>45170</v>
      </c>
      <c r="B22" s="4">
        <v>4727.9279997774174</v>
      </c>
      <c r="C22">
        <v>100</v>
      </c>
      <c r="D22">
        <f t="shared" si="0"/>
        <v>1422.3000000000002</v>
      </c>
      <c r="E22">
        <f t="shared" si="3"/>
        <v>31</v>
      </c>
      <c r="F22">
        <f t="shared" si="1"/>
        <v>44091.3</v>
      </c>
      <c r="G22">
        <f t="shared" si="4"/>
        <v>247821.55200000003</v>
      </c>
      <c r="H22">
        <f t="shared" si="2"/>
        <v>29737.721533</v>
      </c>
      <c r="I22">
        <f t="shared" si="5"/>
        <v>748597.16465499985</v>
      </c>
    </row>
    <row r="23" spans="1:9" x14ac:dyDescent="0.3">
      <c r="A23" s="6">
        <v>45200</v>
      </c>
      <c r="B23" s="4">
        <v>5305.5409998728101</v>
      </c>
      <c r="C23">
        <v>10</v>
      </c>
      <c r="D23">
        <f t="shared" si="0"/>
        <v>142.23000000000002</v>
      </c>
      <c r="E23">
        <f t="shared" si="3"/>
        <v>30</v>
      </c>
      <c r="F23">
        <f t="shared" si="1"/>
        <v>4266.9000000000005</v>
      </c>
      <c r="G23">
        <f t="shared" si="4"/>
        <v>252088.45200000002</v>
      </c>
      <c r="H23">
        <f t="shared" si="2"/>
        <v>33370.791781</v>
      </c>
      <c r="I23">
        <f t="shared" si="5"/>
        <v>781967.95643599983</v>
      </c>
    </row>
    <row r="24" spans="1:9" x14ac:dyDescent="0.3">
      <c r="A24" s="6">
        <v>45231</v>
      </c>
      <c r="B24" s="4">
        <v>1187.53599987281</v>
      </c>
      <c r="C24">
        <v>10</v>
      </c>
      <c r="D24">
        <f t="shared" si="0"/>
        <v>142.23000000000002</v>
      </c>
      <c r="E24">
        <f t="shared" si="3"/>
        <v>31</v>
      </c>
      <c r="F24">
        <f t="shared" si="1"/>
        <v>4409.130000000001</v>
      </c>
      <c r="G24">
        <f t="shared" si="4"/>
        <v>256497.58200000002</v>
      </c>
      <c r="H24">
        <f t="shared" si="2"/>
        <v>7469.3639319999993</v>
      </c>
      <c r="I24">
        <f t="shared" si="5"/>
        <v>789437.32036799984</v>
      </c>
    </row>
    <row r="25" spans="1:9" x14ac:dyDescent="0.3">
      <c r="A25" s="6">
        <v>45261</v>
      </c>
      <c r="B25" s="4">
        <v>273.07499999999999</v>
      </c>
      <c r="C25">
        <v>10</v>
      </c>
      <c r="D25">
        <f t="shared" si="0"/>
        <v>142.23000000000002</v>
      </c>
      <c r="E25">
        <f t="shared" si="3"/>
        <v>30</v>
      </c>
      <c r="F25">
        <f t="shared" si="1"/>
        <v>4266.9000000000005</v>
      </c>
      <c r="G25">
        <f t="shared" si="4"/>
        <v>260764.48200000002</v>
      </c>
      <c r="H25">
        <f t="shared" si="2"/>
        <v>1717.5871349999998</v>
      </c>
      <c r="I25">
        <f t="shared" si="5"/>
        <v>791154.90750299988</v>
      </c>
    </row>
    <row r="26" spans="1:9" x14ac:dyDescent="0.3">
      <c r="A26" s="6">
        <v>45292</v>
      </c>
      <c r="B26" s="4">
        <v>5173.4380000953925</v>
      </c>
      <c r="C26">
        <v>10</v>
      </c>
      <c r="D26">
        <f t="shared" si="0"/>
        <v>142.23000000000002</v>
      </c>
      <c r="E26">
        <f t="shared" si="3"/>
        <v>31</v>
      </c>
      <c r="F26">
        <f t="shared" si="1"/>
        <v>4409.130000000001</v>
      </c>
      <c r="G26">
        <f t="shared" si="4"/>
        <v>265173.61200000002</v>
      </c>
      <c r="H26">
        <f t="shared" si="2"/>
        <v>32539.890332999996</v>
      </c>
      <c r="I26">
        <f t="shared" si="5"/>
        <v>823694.79783599987</v>
      </c>
    </row>
    <row r="27" spans="1:9" x14ac:dyDescent="0.3">
      <c r="A27" s="6">
        <v>45323</v>
      </c>
      <c r="B27" s="4">
        <v>5703.4640004451658</v>
      </c>
      <c r="C27">
        <v>8</v>
      </c>
      <c r="D27">
        <f t="shared" si="0"/>
        <v>113.78400000000001</v>
      </c>
      <c r="E27">
        <f t="shared" si="3"/>
        <v>31</v>
      </c>
      <c r="F27">
        <f t="shared" si="1"/>
        <v>3527.3040000000001</v>
      </c>
      <c r="G27">
        <f t="shared" si="4"/>
        <v>268700.91600000003</v>
      </c>
      <c r="H27">
        <f t="shared" si="2"/>
        <v>35873.647870000001</v>
      </c>
      <c r="I27">
        <f t="shared" si="5"/>
        <v>859568.44570599985</v>
      </c>
    </row>
    <row r="28" spans="1:9" x14ac:dyDescent="0.3">
      <c r="A28" s="6">
        <v>45352</v>
      </c>
      <c r="B28" s="4">
        <v>6166.9776368777248</v>
      </c>
      <c r="C28">
        <v>8</v>
      </c>
      <c r="D28">
        <f t="shared" si="0"/>
        <v>113.78400000000001</v>
      </c>
      <c r="E28">
        <f t="shared" si="3"/>
        <v>29</v>
      </c>
      <c r="F28">
        <f t="shared" si="1"/>
        <v>3299.7360000000003</v>
      </c>
      <c r="G28">
        <f t="shared" si="4"/>
        <v>272000.652</v>
      </c>
      <c r="H28">
        <f t="shared" si="2"/>
        <v>38789.055940433507</v>
      </c>
      <c r="I28">
        <f t="shared" si="5"/>
        <v>898357.50164643337</v>
      </c>
    </row>
    <row r="29" spans="1:9" x14ac:dyDescent="0.3">
      <c r="A29" s="6">
        <v>45383</v>
      </c>
      <c r="B29" s="4">
        <v>5657.2904931336416</v>
      </c>
      <c r="C29">
        <v>34</v>
      </c>
      <c r="D29">
        <f t="shared" si="0"/>
        <v>483.58200000000005</v>
      </c>
      <c r="E29">
        <f t="shared" si="3"/>
        <v>31</v>
      </c>
      <c r="F29">
        <f t="shared" si="1"/>
        <v>14991.042000000001</v>
      </c>
      <c r="G29">
        <f t="shared" si="4"/>
        <v>286991.69400000002</v>
      </c>
      <c r="H29">
        <f t="shared" si="2"/>
        <v>35583.225743711977</v>
      </c>
      <c r="I29">
        <f t="shared" si="5"/>
        <v>933940.7273901453</v>
      </c>
    </row>
    <row r="30" spans="1:9" x14ac:dyDescent="0.3">
      <c r="A30" s="6">
        <v>45413</v>
      </c>
      <c r="B30" s="4">
        <v>4272.1919997456207</v>
      </c>
      <c r="C30">
        <v>52</v>
      </c>
      <c r="D30">
        <f t="shared" si="0"/>
        <v>739.596</v>
      </c>
      <c r="E30">
        <f t="shared" si="3"/>
        <v>30</v>
      </c>
      <c r="F30">
        <f t="shared" si="1"/>
        <v>22187.88</v>
      </c>
      <c r="G30">
        <f t="shared" si="4"/>
        <v>309179.57400000002</v>
      </c>
      <c r="H30">
        <f t="shared" si="2"/>
        <v>26871.233240000005</v>
      </c>
      <c r="I30">
        <f t="shared" si="5"/>
        <v>960811.96063014527</v>
      </c>
    </row>
    <row r="31" spans="1:9" x14ac:dyDescent="0.3">
      <c r="A31" s="6">
        <v>45444</v>
      </c>
      <c r="B31" s="4">
        <v>0</v>
      </c>
      <c r="C31">
        <v>52</v>
      </c>
      <c r="D31">
        <f t="shared" si="0"/>
        <v>739.596</v>
      </c>
      <c r="E31">
        <f t="shared" si="3"/>
        <v>31</v>
      </c>
      <c r="F31">
        <f t="shared" si="1"/>
        <v>22927.475999999999</v>
      </c>
      <c r="G31">
        <f t="shared" si="4"/>
        <v>332107.05000000005</v>
      </c>
      <c r="H31">
        <f t="shared" si="2"/>
        <v>0</v>
      </c>
      <c r="I31">
        <f t="shared" si="5"/>
        <v>960811.96063014527</v>
      </c>
    </row>
    <row r="32" spans="1:9" x14ac:dyDescent="0.3">
      <c r="A32" s="6">
        <v>45474</v>
      </c>
      <c r="B32" s="4">
        <v>3135.2479996184302</v>
      </c>
      <c r="C32">
        <v>3</v>
      </c>
      <c r="D32">
        <f t="shared" si="0"/>
        <v>42.669000000000004</v>
      </c>
      <c r="E32">
        <f t="shared" si="3"/>
        <v>30</v>
      </c>
      <c r="F32">
        <f t="shared" si="1"/>
        <v>1280.0700000000002</v>
      </c>
      <c r="G32">
        <f t="shared" si="4"/>
        <v>333387.12000000005</v>
      </c>
      <c r="H32">
        <f t="shared" si="2"/>
        <v>19720.082868000001</v>
      </c>
      <c r="I32">
        <f t="shared" si="5"/>
        <v>980532.0434981453</v>
      </c>
    </row>
    <row r="33" spans="1:9" x14ac:dyDescent="0.3">
      <c r="A33" s="6">
        <v>45505</v>
      </c>
      <c r="B33" s="4">
        <v>2879.2819994276447</v>
      </c>
      <c r="C33">
        <v>10</v>
      </c>
      <c r="D33">
        <f t="shared" si="0"/>
        <v>142.23000000000002</v>
      </c>
      <c r="E33">
        <f t="shared" si="3"/>
        <v>31</v>
      </c>
      <c r="F33">
        <f t="shared" si="1"/>
        <v>4409.130000000001</v>
      </c>
      <c r="G33">
        <f t="shared" si="4"/>
        <v>337796.25000000006</v>
      </c>
      <c r="H33">
        <f t="shared" si="2"/>
        <v>18110.107919999999</v>
      </c>
      <c r="I33">
        <f t="shared" si="5"/>
        <v>998642.15141814528</v>
      </c>
    </row>
    <row r="34" spans="1:9" x14ac:dyDescent="0.3">
      <c r="A34" s="6">
        <v>45536</v>
      </c>
      <c r="B34" s="4">
        <v>2465.19</v>
      </c>
      <c r="C34">
        <v>4</v>
      </c>
      <c r="D34">
        <f t="shared" si="0"/>
        <v>56.892000000000003</v>
      </c>
      <c r="E34">
        <f t="shared" si="3"/>
        <v>31</v>
      </c>
      <c r="F34">
        <f t="shared" si="1"/>
        <v>1763.652</v>
      </c>
      <c r="G34">
        <f t="shared" si="4"/>
        <v>339559.90200000006</v>
      </c>
      <c r="H34">
        <f t="shared" si="2"/>
        <v>15505.552061999999</v>
      </c>
      <c r="I34">
        <f t="shared" si="5"/>
        <v>1014147.7034801453</v>
      </c>
    </row>
    <row r="35" spans="1:9" x14ac:dyDescent="0.3">
      <c r="A35" s="6">
        <v>45566</v>
      </c>
      <c r="B35" s="4">
        <v>2284.5629997774176</v>
      </c>
      <c r="C35">
        <v>2</v>
      </c>
      <c r="D35">
        <f t="shared" si="0"/>
        <v>28.446000000000002</v>
      </c>
      <c r="E35">
        <f t="shared" si="3"/>
        <v>30</v>
      </c>
      <c r="F35">
        <f t="shared" si="1"/>
        <v>853.38</v>
      </c>
      <c r="G35">
        <f t="shared" si="4"/>
        <v>340413.28200000006</v>
      </c>
      <c r="H35">
        <f t="shared" si="2"/>
        <v>14369.444356</v>
      </c>
      <c r="I35">
        <f t="shared" si="5"/>
        <v>1028517.1478361454</v>
      </c>
    </row>
    <row r="36" spans="1:9" x14ac:dyDescent="0.3">
      <c r="A36" s="6">
        <v>45597</v>
      </c>
      <c r="B36" s="4">
        <v>1506.6450004769629</v>
      </c>
      <c r="C36">
        <v>3</v>
      </c>
      <c r="D36">
        <f t="shared" si="0"/>
        <v>42.669000000000004</v>
      </c>
      <c r="E36">
        <f t="shared" si="3"/>
        <v>31</v>
      </c>
      <c r="F36">
        <f t="shared" si="1"/>
        <v>1322.739</v>
      </c>
      <c r="G36">
        <f t="shared" si="4"/>
        <v>341736.02100000007</v>
      </c>
      <c r="H36">
        <f t="shared" si="2"/>
        <v>9476.4957240000003</v>
      </c>
      <c r="I36">
        <f t="shared" si="5"/>
        <v>1037993.6435601454</v>
      </c>
    </row>
    <row r="37" spans="1:9" x14ac:dyDescent="0.3">
      <c r="A37" s="6">
        <v>45627</v>
      </c>
      <c r="B37" s="4">
        <v>1063.9059997138224</v>
      </c>
      <c r="C37">
        <v>3</v>
      </c>
      <c r="D37">
        <f t="shared" si="0"/>
        <v>42.669000000000004</v>
      </c>
      <c r="E37">
        <f t="shared" si="3"/>
        <v>30</v>
      </c>
      <c r="F37">
        <f t="shared" si="1"/>
        <v>1280.0700000000002</v>
      </c>
      <c r="G37">
        <f t="shared" si="4"/>
        <v>343016.09100000007</v>
      </c>
      <c r="H37">
        <f t="shared" si="2"/>
        <v>6691.7559570000003</v>
      </c>
      <c r="I37">
        <f t="shared" si="5"/>
        <v>1044685.3995171454</v>
      </c>
    </row>
    <row r="38" spans="1:9" x14ac:dyDescent="0.3">
      <c r="A38" s="6">
        <v>45658</v>
      </c>
      <c r="B38" s="4">
        <v>0</v>
      </c>
      <c r="C38">
        <v>3</v>
      </c>
      <c r="D38">
        <f t="shared" si="0"/>
        <v>42.669000000000004</v>
      </c>
      <c r="E38">
        <f t="shared" si="3"/>
        <v>31</v>
      </c>
      <c r="F38">
        <f t="shared" si="1"/>
        <v>1322.739</v>
      </c>
      <c r="G38">
        <f t="shared" si="4"/>
        <v>344338.83000000007</v>
      </c>
      <c r="H38">
        <f t="shared" si="2"/>
        <v>0</v>
      </c>
      <c r="I38">
        <f t="shared" si="5"/>
        <v>1044685.3995171454</v>
      </c>
    </row>
    <row r="39" spans="1:9" x14ac:dyDescent="0.3">
      <c r="A39" s="6">
        <v>45689</v>
      </c>
      <c r="B39" s="4">
        <v>946.44999952303738</v>
      </c>
      <c r="C39">
        <v>3</v>
      </c>
      <c r="D39">
        <f t="shared" si="0"/>
        <v>42.669000000000004</v>
      </c>
      <c r="E39">
        <f t="shared" si="3"/>
        <v>31</v>
      </c>
      <c r="F39">
        <f t="shared" si="1"/>
        <v>1322.739</v>
      </c>
      <c r="G39">
        <f t="shared" si="4"/>
        <v>345661.56900000008</v>
      </c>
      <c r="H39">
        <f t="shared" si="2"/>
        <v>5952.9812069999998</v>
      </c>
      <c r="I39">
        <f t="shared" si="5"/>
        <v>1050638.3807241453</v>
      </c>
    </row>
    <row r="40" spans="1:9" x14ac:dyDescent="0.3">
      <c r="A40" s="6">
        <v>45717</v>
      </c>
      <c r="B40" s="4">
        <v>17.615000000000002</v>
      </c>
      <c r="C40">
        <v>3</v>
      </c>
      <c r="D40">
        <f t="shared" si="0"/>
        <v>42.669000000000004</v>
      </c>
      <c r="E40">
        <f t="shared" si="3"/>
        <v>28</v>
      </c>
      <c r="F40">
        <f t="shared" si="1"/>
        <v>1194.7320000000002</v>
      </c>
      <c r="G40">
        <f t="shared" si="4"/>
        <v>346856.30100000009</v>
      </c>
      <c r="H40">
        <f t="shared" si="2"/>
        <v>110.79482700000001</v>
      </c>
      <c r="I40">
        <f t="shared" si="5"/>
        <v>1050749.1755511453</v>
      </c>
    </row>
    <row r="41" spans="1:9" x14ac:dyDescent="0.3">
      <c r="A41" s="6">
        <v>45748</v>
      </c>
      <c r="B41" s="4">
        <v>4078.9550001589878</v>
      </c>
      <c r="C41">
        <v>3</v>
      </c>
      <c r="D41">
        <f t="shared" si="0"/>
        <v>42.669000000000004</v>
      </c>
      <c r="E41">
        <f t="shared" si="3"/>
        <v>31</v>
      </c>
      <c r="F41">
        <f t="shared" si="1"/>
        <v>1322.739</v>
      </c>
      <c r="G41">
        <f t="shared" si="4"/>
        <v>348179.0400000001</v>
      </c>
      <c r="H41">
        <f t="shared" si="2"/>
        <v>25655.811160000001</v>
      </c>
      <c r="I41">
        <f t="shared" si="5"/>
        <v>1076404.9867111454</v>
      </c>
    </row>
    <row r="42" spans="1:9" x14ac:dyDescent="0.3">
      <c r="A42" s="6">
        <v>45778</v>
      </c>
      <c r="B42" s="4">
        <v>41.078999968202488</v>
      </c>
      <c r="C42">
        <v>3</v>
      </c>
      <c r="D42">
        <f t="shared" si="0"/>
        <v>42.669000000000004</v>
      </c>
      <c r="E42">
        <f t="shared" si="3"/>
        <v>30</v>
      </c>
      <c r="F42">
        <f t="shared" si="1"/>
        <v>1280.0700000000002</v>
      </c>
      <c r="G42">
        <f t="shared" si="4"/>
        <v>349459.1100000001</v>
      </c>
      <c r="H42">
        <f t="shared" si="2"/>
        <v>258.378694</v>
      </c>
      <c r="I42">
        <f t="shared" si="5"/>
        <v>1076663.3654051453</v>
      </c>
    </row>
    <row r="43" spans="1:9" x14ac:dyDescent="0.3">
      <c r="A43" s="6">
        <v>45809</v>
      </c>
      <c r="B43" s="4">
        <v>90.558999968202485</v>
      </c>
      <c r="C43">
        <v>2</v>
      </c>
      <c r="D43">
        <f t="shared" si="0"/>
        <v>28.446000000000002</v>
      </c>
      <c r="E43">
        <f t="shared" si="3"/>
        <v>31</v>
      </c>
      <c r="F43">
        <f t="shared" si="1"/>
        <v>881.82600000000002</v>
      </c>
      <c r="G43">
        <f t="shared" si="4"/>
        <v>350340.9360000001</v>
      </c>
      <c r="H43">
        <f t="shared" si="2"/>
        <v>569.59799799999996</v>
      </c>
      <c r="I43">
        <f t="shared" si="5"/>
        <v>1077232.9634031453</v>
      </c>
    </row>
    <row r="44" spans="1:9" x14ac:dyDescent="0.3">
      <c r="A44" s="16">
        <v>45839</v>
      </c>
      <c r="B44" s="17">
        <v>0</v>
      </c>
      <c r="D44">
        <f t="shared" si="0"/>
        <v>0</v>
      </c>
      <c r="E44">
        <f t="shared" si="3"/>
        <v>30</v>
      </c>
      <c r="F44">
        <f t="shared" si="1"/>
        <v>0</v>
      </c>
      <c r="G44">
        <f t="shared" si="4"/>
        <v>350340.9360000001</v>
      </c>
      <c r="H44">
        <f t="shared" si="2"/>
        <v>0</v>
      </c>
      <c r="I44">
        <f t="shared" si="5"/>
        <v>1077232.9634031453</v>
      </c>
    </row>
    <row r="45" spans="1:9" x14ac:dyDescent="0.3">
      <c r="A45" s="16">
        <v>45870</v>
      </c>
      <c r="D45">
        <f t="shared" si="0"/>
        <v>0</v>
      </c>
      <c r="E45">
        <f t="shared" si="3"/>
        <v>31</v>
      </c>
      <c r="F45">
        <f t="shared" si="1"/>
        <v>0</v>
      </c>
      <c r="G45">
        <f t="shared" si="4"/>
        <v>350340.9360000001</v>
      </c>
      <c r="H45">
        <f t="shared" si="2"/>
        <v>0</v>
      </c>
      <c r="I45">
        <f t="shared" si="5"/>
        <v>1077232.9634031453</v>
      </c>
    </row>
    <row r="46" spans="1:9" x14ac:dyDescent="0.3">
      <c r="A46" s="1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271F-6C62-4B93-940B-501DB5E79EBB}">
  <dimension ref="A1:I42"/>
  <sheetViews>
    <sheetView workbookViewId="0">
      <selection activeCell="G1" activeCellId="1" sqref="I1:I1048576 G1:G1048576"/>
    </sheetView>
  </sheetViews>
  <sheetFormatPr defaultRowHeight="14.4" x14ac:dyDescent="0.3"/>
  <cols>
    <col min="6" max="6" width="16.77734375" customWidth="1"/>
    <col min="7" max="7" width="19" customWidth="1"/>
    <col min="8" max="8" width="22.44140625" customWidth="1"/>
    <col min="9" max="9" width="27.10937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6">
        <v>44652</v>
      </c>
      <c r="B2" s="4">
        <v>1265.0009998728099</v>
      </c>
      <c r="C2">
        <v>65</v>
      </c>
      <c r="D2">
        <f>14.223*C2</f>
        <v>924.495</v>
      </c>
      <c r="E2">
        <v>0</v>
      </c>
      <c r="F2">
        <f>D2*E2</f>
        <v>0</v>
      </c>
      <c r="G2">
        <f>F2</f>
        <v>0</v>
      </c>
      <c r="H2">
        <f>6.2898*B2</f>
        <v>7956.6032889999988</v>
      </c>
      <c r="I2">
        <f>H2</f>
        <v>7956.6032889999988</v>
      </c>
    </row>
    <row r="3" spans="1:9" x14ac:dyDescent="0.3">
      <c r="A3" s="6">
        <v>44682</v>
      </c>
      <c r="B3" s="4">
        <v>4701.1789999682032</v>
      </c>
      <c r="C3">
        <v>65</v>
      </c>
      <c r="D3">
        <f t="shared" ref="D3:D42" si="0">14.223*C3</f>
        <v>924.495</v>
      </c>
      <c r="E3">
        <f>A3-A2</f>
        <v>30</v>
      </c>
      <c r="F3">
        <f t="shared" ref="F3:F42" si="1">D3*E3</f>
        <v>27734.85</v>
      </c>
      <c r="G3">
        <f>G2+F3</f>
        <v>27734.85</v>
      </c>
      <c r="H3">
        <f t="shared" ref="H3:H42" si="2">6.2898*B3</f>
        <v>29569.475674000001</v>
      </c>
      <c r="I3">
        <f>I2+H3</f>
        <v>37526.078963</v>
      </c>
    </row>
    <row r="4" spans="1:9" x14ac:dyDescent="0.3">
      <c r="A4" s="6">
        <v>44713</v>
      </c>
      <c r="B4" s="4">
        <v>4766.344000286178</v>
      </c>
      <c r="C4">
        <v>65</v>
      </c>
      <c r="D4">
        <f t="shared" si="0"/>
        <v>924.495</v>
      </c>
      <c r="E4">
        <f t="shared" ref="E4:E42" si="3">A4-A3</f>
        <v>31</v>
      </c>
      <c r="F4">
        <f t="shared" si="1"/>
        <v>28659.345000000001</v>
      </c>
      <c r="G4">
        <f t="shared" ref="G4:G42" si="4">G3+F4</f>
        <v>56394.195</v>
      </c>
      <c r="H4">
        <f t="shared" si="2"/>
        <v>29979.350493000002</v>
      </c>
      <c r="I4">
        <f t="shared" ref="I4:I42" si="5">I3+H4</f>
        <v>67505.429455999998</v>
      </c>
    </row>
    <row r="5" spans="1:9" x14ac:dyDescent="0.3">
      <c r="A5" s="6">
        <v>44743</v>
      </c>
      <c r="B5" s="4">
        <v>4448.3719997456201</v>
      </c>
      <c r="C5">
        <v>65</v>
      </c>
      <c r="D5">
        <f t="shared" si="0"/>
        <v>924.495</v>
      </c>
      <c r="E5">
        <f t="shared" si="3"/>
        <v>30</v>
      </c>
      <c r="F5">
        <f t="shared" si="1"/>
        <v>27734.85</v>
      </c>
      <c r="G5">
        <f t="shared" si="4"/>
        <v>84129.044999999998</v>
      </c>
      <c r="H5">
        <f t="shared" si="2"/>
        <v>27979.370203999999</v>
      </c>
      <c r="I5">
        <f t="shared" si="5"/>
        <v>95484.79965999999</v>
      </c>
    </row>
    <row r="6" spans="1:9" x14ac:dyDescent="0.3">
      <c r="A6" s="6">
        <v>44774</v>
      </c>
      <c r="B6" s="4">
        <v>4896.8700004769635</v>
      </c>
      <c r="C6">
        <v>65</v>
      </c>
      <c r="D6">
        <f t="shared" si="0"/>
        <v>924.495</v>
      </c>
      <c r="E6">
        <f t="shared" si="3"/>
        <v>31</v>
      </c>
      <c r="F6">
        <f t="shared" si="1"/>
        <v>28659.345000000001</v>
      </c>
      <c r="G6">
        <f t="shared" si="4"/>
        <v>112788.39</v>
      </c>
      <c r="H6">
        <f t="shared" si="2"/>
        <v>30800.332929000004</v>
      </c>
      <c r="I6">
        <f t="shared" si="5"/>
        <v>126285.13258899999</v>
      </c>
    </row>
    <row r="7" spans="1:9" x14ac:dyDescent="0.3">
      <c r="A7" s="6">
        <v>44805</v>
      </c>
      <c r="B7" s="4">
        <v>4715.5650000000005</v>
      </c>
      <c r="C7">
        <v>65</v>
      </c>
      <c r="D7">
        <f t="shared" si="0"/>
        <v>924.495</v>
      </c>
      <c r="E7">
        <f t="shared" si="3"/>
        <v>31</v>
      </c>
      <c r="F7">
        <f t="shared" si="1"/>
        <v>28659.345000000001</v>
      </c>
      <c r="G7">
        <f t="shared" si="4"/>
        <v>141447.73499999999</v>
      </c>
      <c r="H7">
        <f t="shared" si="2"/>
        <v>29659.960737000001</v>
      </c>
      <c r="I7">
        <f t="shared" si="5"/>
        <v>155945.09332599997</v>
      </c>
    </row>
    <row r="8" spans="1:9" x14ac:dyDescent="0.3">
      <c r="A8" s="6">
        <v>44835</v>
      </c>
      <c r="B8" s="4">
        <v>19331.950000158988</v>
      </c>
      <c r="C8">
        <v>82</v>
      </c>
      <c r="D8">
        <f t="shared" si="0"/>
        <v>1166.2860000000001</v>
      </c>
      <c r="E8">
        <f t="shared" si="3"/>
        <v>30</v>
      </c>
      <c r="F8">
        <f t="shared" si="1"/>
        <v>34988.58</v>
      </c>
      <c r="G8">
        <f t="shared" si="4"/>
        <v>176436.315</v>
      </c>
      <c r="H8">
        <f t="shared" si="2"/>
        <v>121594.09911099999</v>
      </c>
      <c r="I8">
        <f t="shared" si="5"/>
        <v>277539.19243699999</v>
      </c>
    </row>
    <row r="9" spans="1:9" x14ac:dyDescent="0.3">
      <c r="A9" s="6">
        <v>44866</v>
      </c>
      <c r="B9" s="4">
        <v>9140.3569997456216</v>
      </c>
      <c r="C9">
        <v>82</v>
      </c>
      <c r="D9">
        <f t="shared" si="0"/>
        <v>1166.2860000000001</v>
      </c>
      <c r="E9">
        <f t="shared" si="3"/>
        <v>31</v>
      </c>
      <c r="F9">
        <f t="shared" si="1"/>
        <v>36154.866000000002</v>
      </c>
      <c r="G9">
        <f t="shared" si="4"/>
        <v>212591.18100000001</v>
      </c>
      <c r="H9">
        <f t="shared" si="2"/>
        <v>57491.017457000009</v>
      </c>
      <c r="I9">
        <f t="shared" si="5"/>
        <v>335030.20989399997</v>
      </c>
    </row>
    <row r="10" spans="1:9" x14ac:dyDescent="0.3">
      <c r="A10" s="6">
        <v>44896</v>
      </c>
      <c r="B10" s="4">
        <v>11749.654999841014</v>
      </c>
      <c r="C10">
        <v>82</v>
      </c>
      <c r="D10">
        <f t="shared" si="0"/>
        <v>1166.2860000000001</v>
      </c>
      <c r="E10">
        <f t="shared" si="3"/>
        <v>30</v>
      </c>
      <c r="F10">
        <f t="shared" si="1"/>
        <v>34988.58</v>
      </c>
      <c r="G10">
        <f t="shared" si="4"/>
        <v>247579.761</v>
      </c>
      <c r="H10">
        <f t="shared" si="2"/>
        <v>73902.980018000002</v>
      </c>
      <c r="I10">
        <f t="shared" si="5"/>
        <v>408933.18991199997</v>
      </c>
    </row>
    <row r="11" spans="1:9" x14ac:dyDescent="0.3">
      <c r="A11" s="6">
        <v>44927</v>
      </c>
      <c r="B11" s="4">
        <v>13372.077000063595</v>
      </c>
      <c r="C11">
        <v>82</v>
      </c>
      <c r="D11">
        <f t="shared" si="0"/>
        <v>1166.2860000000001</v>
      </c>
      <c r="E11">
        <f t="shared" si="3"/>
        <v>31</v>
      </c>
      <c r="F11">
        <f t="shared" si="1"/>
        <v>36154.866000000002</v>
      </c>
      <c r="G11">
        <f t="shared" si="4"/>
        <v>283734.62699999998</v>
      </c>
      <c r="H11">
        <f t="shared" si="2"/>
        <v>84107.689914999995</v>
      </c>
      <c r="I11">
        <f t="shared" si="5"/>
        <v>493040.87982699997</v>
      </c>
    </row>
    <row r="12" spans="1:9" x14ac:dyDescent="0.3">
      <c r="A12" s="6">
        <v>44958</v>
      </c>
      <c r="B12" s="4">
        <v>7178.8600000000006</v>
      </c>
      <c r="C12">
        <v>60</v>
      </c>
      <c r="D12">
        <f t="shared" si="0"/>
        <v>853.38</v>
      </c>
      <c r="E12">
        <f t="shared" si="3"/>
        <v>31</v>
      </c>
      <c r="F12">
        <f t="shared" si="1"/>
        <v>26454.78</v>
      </c>
      <c r="G12">
        <f t="shared" si="4"/>
        <v>310189.40700000001</v>
      </c>
      <c r="H12">
        <f t="shared" si="2"/>
        <v>45153.593628000002</v>
      </c>
      <c r="I12">
        <f t="shared" si="5"/>
        <v>538194.47345499997</v>
      </c>
    </row>
    <row r="13" spans="1:9" x14ac:dyDescent="0.3">
      <c r="A13" s="6">
        <v>44986</v>
      </c>
      <c r="B13" s="4">
        <v>7629.4520000635948</v>
      </c>
      <c r="C13">
        <v>60</v>
      </c>
      <c r="D13">
        <f t="shared" si="0"/>
        <v>853.38</v>
      </c>
      <c r="E13">
        <f t="shared" si="3"/>
        <v>28</v>
      </c>
      <c r="F13">
        <f t="shared" si="1"/>
        <v>23894.639999999999</v>
      </c>
      <c r="G13">
        <f t="shared" si="4"/>
        <v>334084.04700000002</v>
      </c>
      <c r="H13">
        <f t="shared" si="2"/>
        <v>47987.727189999998</v>
      </c>
      <c r="I13">
        <f t="shared" si="5"/>
        <v>586182.20064499998</v>
      </c>
    </row>
    <row r="14" spans="1:9" x14ac:dyDescent="0.3">
      <c r="A14" s="6">
        <v>45017</v>
      </c>
      <c r="B14" s="4">
        <v>10318.643000095393</v>
      </c>
      <c r="C14">
        <v>65</v>
      </c>
      <c r="D14">
        <f t="shared" si="0"/>
        <v>924.495</v>
      </c>
      <c r="E14">
        <f t="shared" si="3"/>
        <v>31</v>
      </c>
      <c r="F14">
        <f t="shared" si="1"/>
        <v>28659.345000000001</v>
      </c>
      <c r="G14">
        <f t="shared" si="4"/>
        <v>362743.39199999999</v>
      </c>
      <c r="H14">
        <f t="shared" si="2"/>
        <v>64902.200742000001</v>
      </c>
      <c r="I14">
        <f t="shared" si="5"/>
        <v>651084.40138699999</v>
      </c>
    </row>
    <row r="15" spans="1:9" x14ac:dyDescent="0.3">
      <c r="A15" s="6">
        <v>45047</v>
      </c>
      <c r="B15" s="4">
        <v>10539.865000476962</v>
      </c>
      <c r="C15">
        <v>65</v>
      </c>
      <c r="D15">
        <f t="shared" si="0"/>
        <v>924.495</v>
      </c>
      <c r="E15">
        <f t="shared" si="3"/>
        <v>30</v>
      </c>
      <c r="F15">
        <f t="shared" si="1"/>
        <v>27734.85</v>
      </c>
      <c r="G15">
        <f t="shared" si="4"/>
        <v>390478.24199999997</v>
      </c>
      <c r="H15">
        <f t="shared" si="2"/>
        <v>66293.642879999999</v>
      </c>
      <c r="I15">
        <f t="shared" si="5"/>
        <v>717378.04426699993</v>
      </c>
    </row>
    <row r="16" spans="1:9" x14ac:dyDescent="0.3">
      <c r="A16" s="6">
        <v>45078</v>
      </c>
      <c r="B16" s="4">
        <v>5249.7490001271908</v>
      </c>
      <c r="C16">
        <v>68</v>
      </c>
      <c r="D16">
        <f t="shared" si="0"/>
        <v>967.1640000000001</v>
      </c>
      <c r="E16">
        <f t="shared" si="3"/>
        <v>31</v>
      </c>
      <c r="F16">
        <f t="shared" si="1"/>
        <v>29982.084000000003</v>
      </c>
      <c r="G16">
        <f t="shared" si="4"/>
        <v>420460.326</v>
      </c>
      <c r="H16">
        <f t="shared" si="2"/>
        <v>33019.871261</v>
      </c>
      <c r="I16">
        <f t="shared" si="5"/>
        <v>750397.91552799998</v>
      </c>
    </row>
    <row r="17" spans="1:9" x14ac:dyDescent="0.3">
      <c r="A17" s="6">
        <v>45108</v>
      </c>
      <c r="B17" s="4">
        <v>0</v>
      </c>
      <c r="D17">
        <f t="shared" si="0"/>
        <v>0</v>
      </c>
      <c r="E17">
        <f t="shared" si="3"/>
        <v>30</v>
      </c>
      <c r="F17">
        <f t="shared" si="1"/>
        <v>0</v>
      </c>
      <c r="G17">
        <f t="shared" si="4"/>
        <v>420460.326</v>
      </c>
      <c r="H17">
        <f t="shared" si="2"/>
        <v>0</v>
      </c>
      <c r="I17">
        <f t="shared" si="5"/>
        <v>750397.91552799998</v>
      </c>
    </row>
    <row r="18" spans="1:9" x14ac:dyDescent="0.3">
      <c r="A18" s="6">
        <v>45139</v>
      </c>
      <c r="B18" s="4">
        <v>3241.6469997456202</v>
      </c>
      <c r="C18">
        <v>68</v>
      </c>
      <c r="D18">
        <f t="shared" si="0"/>
        <v>967.1640000000001</v>
      </c>
      <c r="E18">
        <f t="shared" si="3"/>
        <v>31</v>
      </c>
      <c r="F18">
        <f t="shared" si="1"/>
        <v>29982.084000000003</v>
      </c>
      <c r="G18">
        <f t="shared" si="4"/>
        <v>450442.41000000003</v>
      </c>
      <c r="H18">
        <f t="shared" si="2"/>
        <v>20389.311299000001</v>
      </c>
      <c r="I18">
        <f t="shared" si="5"/>
        <v>770787.22682700003</v>
      </c>
    </row>
    <row r="19" spans="1:9" x14ac:dyDescent="0.3">
      <c r="A19" s="6">
        <v>45170</v>
      </c>
      <c r="B19" s="4">
        <v>6396.1919997456207</v>
      </c>
      <c r="C19">
        <v>73</v>
      </c>
      <c r="D19">
        <f t="shared" si="0"/>
        <v>1038.279</v>
      </c>
      <c r="E19">
        <f t="shared" si="3"/>
        <v>31</v>
      </c>
      <c r="F19">
        <f t="shared" si="1"/>
        <v>32186.649000000001</v>
      </c>
      <c r="G19">
        <f t="shared" si="4"/>
        <v>482629.05900000001</v>
      </c>
      <c r="H19">
        <f t="shared" si="2"/>
        <v>40230.76844</v>
      </c>
      <c r="I19">
        <f t="shared" si="5"/>
        <v>811017.99526700005</v>
      </c>
    </row>
    <row r="20" spans="1:9" x14ac:dyDescent="0.3">
      <c r="A20" s="6">
        <v>45200</v>
      </c>
      <c r="B20" s="4">
        <v>7635.8080004133681</v>
      </c>
      <c r="C20">
        <v>74</v>
      </c>
      <c r="D20">
        <f t="shared" si="0"/>
        <v>1052.502</v>
      </c>
      <c r="E20">
        <f t="shared" si="3"/>
        <v>30</v>
      </c>
      <c r="F20">
        <f t="shared" si="1"/>
        <v>31575.059999999998</v>
      </c>
      <c r="G20">
        <f t="shared" si="4"/>
        <v>514204.11900000001</v>
      </c>
      <c r="H20">
        <f t="shared" si="2"/>
        <v>48027.705160999998</v>
      </c>
      <c r="I20">
        <f t="shared" si="5"/>
        <v>859045.70042800007</v>
      </c>
    </row>
    <row r="21" spans="1:9" x14ac:dyDescent="0.3">
      <c r="A21" s="6">
        <v>45231</v>
      </c>
      <c r="B21" s="4">
        <v>1645.5869999046076</v>
      </c>
      <c r="C21">
        <v>74</v>
      </c>
      <c r="D21">
        <f t="shared" si="0"/>
        <v>1052.502</v>
      </c>
      <c r="E21">
        <f t="shared" si="3"/>
        <v>31</v>
      </c>
      <c r="F21">
        <f t="shared" si="1"/>
        <v>32627.561999999998</v>
      </c>
      <c r="G21">
        <f t="shared" si="4"/>
        <v>546831.68099999998</v>
      </c>
      <c r="H21">
        <f t="shared" si="2"/>
        <v>10350.413112</v>
      </c>
      <c r="I21">
        <f t="shared" si="5"/>
        <v>869396.11354000005</v>
      </c>
    </row>
    <row r="22" spans="1:9" x14ac:dyDescent="0.3">
      <c r="A22" s="6">
        <v>45261</v>
      </c>
      <c r="B22" s="4">
        <v>4533.3760001907849</v>
      </c>
      <c r="C22">
        <v>74</v>
      </c>
      <c r="D22">
        <f t="shared" si="0"/>
        <v>1052.502</v>
      </c>
      <c r="E22">
        <f t="shared" si="3"/>
        <v>30</v>
      </c>
      <c r="F22">
        <f t="shared" si="1"/>
        <v>31575.059999999998</v>
      </c>
      <c r="G22">
        <f t="shared" si="4"/>
        <v>578406.74099999992</v>
      </c>
      <c r="H22">
        <f t="shared" si="2"/>
        <v>28514.028365999999</v>
      </c>
      <c r="I22">
        <f t="shared" si="5"/>
        <v>897910.14190600009</v>
      </c>
    </row>
    <row r="23" spans="1:9" x14ac:dyDescent="0.3">
      <c r="A23" s="6">
        <v>45292</v>
      </c>
      <c r="B23" s="4">
        <v>7544.3700001589878</v>
      </c>
      <c r="C23">
        <v>74</v>
      </c>
      <c r="D23">
        <f t="shared" si="0"/>
        <v>1052.502</v>
      </c>
      <c r="E23">
        <f t="shared" si="3"/>
        <v>31</v>
      </c>
      <c r="F23">
        <f t="shared" si="1"/>
        <v>32627.561999999998</v>
      </c>
      <c r="G23">
        <f t="shared" si="4"/>
        <v>611034.30299999996</v>
      </c>
      <c r="H23">
        <f t="shared" si="2"/>
        <v>47452.578427</v>
      </c>
      <c r="I23">
        <f t="shared" si="5"/>
        <v>945362.72033300006</v>
      </c>
    </row>
    <row r="24" spans="1:9" x14ac:dyDescent="0.3">
      <c r="A24" s="6">
        <v>45323</v>
      </c>
      <c r="B24" s="4">
        <v>5318.5650000000005</v>
      </c>
      <c r="C24">
        <v>53</v>
      </c>
      <c r="D24">
        <f t="shared" si="0"/>
        <v>753.81900000000007</v>
      </c>
      <c r="E24">
        <f t="shared" si="3"/>
        <v>31</v>
      </c>
      <c r="F24">
        <f t="shared" si="1"/>
        <v>23368.389000000003</v>
      </c>
      <c r="G24">
        <f t="shared" si="4"/>
        <v>634402.69199999992</v>
      </c>
      <c r="H24">
        <f t="shared" si="2"/>
        <v>33452.710137000002</v>
      </c>
      <c r="I24">
        <f t="shared" si="5"/>
        <v>978815.43047000002</v>
      </c>
    </row>
    <row r="25" spans="1:9" x14ac:dyDescent="0.3">
      <c r="A25" s="6">
        <v>45352</v>
      </c>
      <c r="B25" s="4">
        <v>5060.9464949495859</v>
      </c>
      <c r="C25">
        <v>53</v>
      </c>
      <c r="D25">
        <f t="shared" si="0"/>
        <v>753.81900000000007</v>
      </c>
      <c r="E25">
        <f t="shared" si="3"/>
        <v>29</v>
      </c>
      <c r="F25">
        <f t="shared" si="1"/>
        <v>21860.751000000004</v>
      </c>
      <c r="G25">
        <f t="shared" si="4"/>
        <v>656263.44299999997</v>
      </c>
      <c r="H25">
        <f t="shared" si="2"/>
        <v>31832.341263933904</v>
      </c>
      <c r="I25">
        <f t="shared" si="5"/>
        <v>1010647.7717339339</v>
      </c>
    </row>
    <row r="26" spans="1:9" x14ac:dyDescent="0.3">
      <c r="A26" s="6">
        <v>45383</v>
      </c>
      <c r="B26" s="4">
        <v>4929.6727152641151</v>
      </c>
      <c r="C26">
        <v>53</v>
      </c>
      <c r="D26">
        <f t="shared" si="0"/>
        <v>753.81900000000007</v>
      </c>
      <c r="E26">
        <f t="shared" si="3"/>
        <v>31</v>
      </c>
      <c r="F26">
        <f t="shared" si="1"/>
        <v>23368.389000000003</v>
      </c>
      <c r="G26">
        <f t="shared" si="4"/>
        <v>679631.83199999994</v>
      </c>
      <c r="H26">
        <f t="shared" si="2"/>
        <v>31006.65544446823</v>
      </c>
      <c r="I26">
        <f t="shared" si="5"/>
        <v>1041654.4271784022</v>
      </c>
    </row>
    <row r="27" spans="1:9" x14ac:dyDescent="0.3">
      <c r="A27" s="6">
        <v>45413</v>
      </c>
      <c r="B27" s="4">
        <v>6087.286999745621</v>
      </c>
      <c r="C27">
        <v>53</v>
      </c>
      <c r="D27">
        <f t="shared" si="0"/>
        <v>753.81900000000007</v>
      </c>
      <c r="E27">
        <f t="shared" si="3"/>
        <v>30</v>
      </c>
      <c r="F27">
        <f t="shared" si="1"/>
        <v>22614.570000000003</v>
      </c>
      <c r="G27">
        <f t="shared" si="4"/>
        <v>702246.40199999989</v>
      </c>
      <c r="H27">
        <f t="shared" si="2"/>
        <v>38287.817771000002</v>
      </c>
      <c r="I27">
        <f t="shared" si="5"/>
        <v>1079942.2449494023</v>
      </c>
    </row>
    <row r="28" spans="1:9" x14ac:dyDescent="0.3">
      <c r="A28" s="6">
        <v>45444</v>
      </c>
      <c r="B28" s="4">
        <v>5519.1409998728095</v>
      </c>
      <c r="C28" s="7">
        <v>48.003935901040201</v>
      </c>
      <c r="D28">
        <f t="shared" si="0"/>
        <v>682.75998032049483</v>
      </c>
      <c r="E28">
        <f t="shared" si="3"/>
        <v>31</v>
      </c>
      <c r="F28">
        <f t="shared" si="1"/>
        <v>21165.559389935341</v>
      </c>
      <c r="G28">
        <f t="shared" si="4"/>
        <v>723411.96138993523</v>
      </c>
      <c r="H28">
        <f t="shared" si="2"/>
        <v>34714.293060999997</v>
      </c>
      <c r="I28">
        <f t="shared" si="5"/>
        <v>1114656.5380104023</v>
      </c>
    </row>
    <row r="29" spans="1:9" x14ac:dyDescent="0.3">
      <c r="A29" s="6">
        <v>45474</v>
      </c>
      <c r="B29" s="4">
        <v>5422.5739999682028</v>
      </c>
      <c r="C29" s="7">
        <v>48.003935901040201</v>
      </c>
      <c r="D29">
        <f t="shared" si="0"/>
        <v>682.75998032049483</v>
      </c>
      <c r="E29">
        <f t="shared" si="3"/>
        <v>30</v>
      </c>
      <c r="F29">
        <f t="shared" si="1"/>
        <v>20482.799409614847</v>
      </c>
      <c r="G29">
        <f t="shared" si="4"/>
        <v>743894.7607995501</v>
      </c>
      <c r="H29">
        <f t="shared" si="2"/>
        <v>34106.905944999999</v>
      </c>
      <c r="I29">
        <f t="shared" si="5"/>
        <v>1148763.4439554024</v>
      </c>
    </row>
    <row r="30" spans="1:9" x14ac:dyDescent="0.3">
      <c r="A30" s="6">
        <v>45505</v>
      </c>
      <c r="B30" s="4">
        <v>5321.768000572356</v>
      </c>
      <c r="C30" s="7">
        <v>50.042170368287877</v>
      </c>
      <c r="D30">
        <f t="shared" si="0"/>
        <v>711.74978914815847</v>
      </c>
      <c r="E30">
        <f t="shared" si="3"/>
        <v>31</v>
      </c>
      <c r="F30">
        <f t="shared" si="1"/>
        <v>22064.243463592913</v>
      </c>
      <c r="G30">
        <f t="shared" si="4"/>
        <v>765959.00426314306</v>
      </c>
      <c r="H30">
        <f t="shared" si="2"/>
        <v>33472.856370000001</v>
      </c>
      <c r="I30">
        <f t="shared" si="5"/>
        <v>1182236.3003254023</v>
      </c>
    </row>
    <row r="31" spans="1:9" x14ac:dyDescent="0.3">
      <c r="A31" s="6">
        <v>45536</v>
      </c>
      <c r="B31" s="4">
        <v>11660.931999904609</v>
      </c>
      <c r="C31" s="7">
        <v>49.98594321057071</v>
      </c>
      <c r="D31">
        <f t="shared" si="0"/>
        <v>710.9500702839473</v>
      </c>
      <c r="E31">
        <f t="shared" si="3"/>
        <v>31</v>
      </c>
      <c r="F31">
        <f t="shared" si="1"/>
        <v>22039.452178802367</v>
      </c>
      <c r="G31">
        <f t="shared" si="4"/>
        <v>787998.4564419454</v>
      </c>
      <c r="H31">
        <f t="shared" si="2"/>
        <v>73344.930093000003</v>
      </c>
      <c r="I31">
        <f t="shared" si="5"/>
        <v>1255581.2304184022</v>
      </c>
    </row>
    <row r="32" spans="1:9" x14ac:dyDescent="0.3">
      <c r="A32" s="6">
        <v>45566</v>
      </c>
      <c r="B32" s="4">
        <v>11762.988999491241</v>
      </c>
      <c r="C32" s="7">
        <v>50</v>
      </c>
      <c r="D32">
        <f t="shared" si="0"/>
        <v>711.15000000000009</v>
      </c>
      <c r="E32">
        <f t="shared" si="3"/>
        <v>30</v>
      </c>
      <c r="F32">
        <f t="shared" si="1"/>
        <v>21334.500000000004</v>
      </c>
      <c r="G32">
        <f t="shared" si="4"/>
        <v>809332.9564419454</v>
      </c>
      <c r="H32">
        <f t="shared" si="2"/>
        <v>73986.848209000003</v>
      </c>
      <c r="I32">
        <f t="shared" si="5"/>
        <v>1329568.0786274022</v>
      </c>
    </row>
    <row r="33" spans="1:9" x14ac:dyDescent="0.3">
      <c r="A33" s="6">
        <v>45597</v>
      </c>
      <c r="B33" s="4">
        <v>11439.369000286179</v>
      </c>
      <c r="C33" s="7">
        <v>51</v>
      </c>
      <c r="D33">
        <f t="shared" si="0"/>
        <v>725.37300000000005</v>
      </c>
      <c r="E33">
        <f t="shared" si="3"/>
        <v>31</v>
      </c>
      <c r="F33">
        <f t="shared" si="1"/>
        <v>22486.563000000002</v>
      </c>
      <c r="G33">
        <f t="shared" si="4"/>
        <v>831819.51944194536</v>
      </c>
      <c r="H33">
        <f t="shared" si="2"/>
        <v>71951.343137999997</v>
      </c>
      <c r="I33">
        <f t="shared" si="5"/>
        <v>1401519.4217654022</v>
      </c>
    </row>
    <row r="34" spans="1:9" x14ac:dyDescent="0.3">
      <c r="A34" s="6">
        <v>45627</v>
      </c>
      <c r="B34" s="4">
        <v>4453.8469999046074</v>
      </c>
      <c r="C34" s="7">
        <v>51</v>
      </c>
      <c r="D34">
        <f t="shared" si="0"/>
        <v>725.37300000000005</v>
      </c>
      <c r="E34">
        <f t="shared" si="3"/>
        <v>30</v>
      </c>
      <c r="F34">
        <f t="shared" si="1"/>
        <v>21761.190000000002</v>
      </c>
      <c r="G34">
        <f t="shared" si="4"/>
        <v>853580.70944194542</v>
      </c>
      <c r="H34">
        <f t="shared" si="2"/>
        <v>28013.806859999997</v>
      </c>
      <c r="I34">
        <f t="shared" si="5"/>
        <v>1429533.2286254021</v>
      </c>
    </row>
    <row r="35" spans="1:9" x14ac:dyDescent="0.3">
      <c r="A35" s="6">
        <v>45658</v>
      </c>
      <c r="B35" s="4">
        <v>5967.9310009857227</v>
      </c>
      <c r="C35" s="7">
        <v>50</v>
      </c>
      <c r="D35">
        <f t="shared" si="0"/>
        <v>711.15000000000009</v>
      </c>
      <c r="E35">
        <f t="shared" si="3"/>
        <v>31</v>
      </c>
      <c r="F35">
        <f t="shared" si="1"/>
        <v>22045.65</v>
      </c>
      <c r="G35">
        <f t="shared" si="4"/>
        <v>875626.35944194545</v>
      </c>
      <c r="H35">
        <f t="shared" si="2"/>
        <v>37537.092409999997</v>
      </c>
      <c r="I35">
        <f t="shared" si="5"/>
        <v>1467070.3210354021</v>
      </c>
    </row>
    <row r="36" spans="1:9" x14ac:dyDescent="0.3">
      <c r="A36" s="6">
        <v>45689</v>
      </c>
      <c r="B36" s="4">
        <v>5010.6979999364057</v>
      </c>
      <c r="C36" s="7">
        <v>50</v>
      </c>
      <c r="D36">
        <f t="shared" si="0"/>
        <v>711.15000000000009</v>
      </c>
      <c r="E36">
        <f t="shared" si="3"/>
        <v>31</v>
      </c>
      <c r="F36">
        <f t="shared" si="1"/>
        <v>22045.65</v>
      </c>
      <c r="G36">
        <f t="shared" si="4"/>
        <v>897672.00944194547</v>
      </c>
      <c r="H36">
        <f t="shared" si="2"/>
        <v>31516.288280000004</v>
      </c>
      <c r="I36">
        <f t="shared" si="5"/>
        <v>1498586.6093154021</v>
      </c>
    </row>
    <row r="37" spans="1:9" x14ac:dyDescent="0.3">
      <c r="A37" s="6">
        <v>45717</v>
      </c>
      <c r="B37" s="4">
        <v>5624.9490002861776</v>
      </c>
      <c r="C37" s="7">
        <v>50</v>
      </c>
      <c r="D37">
        <f t="shared" si="0"/>
        <v>711.15000000000009</v>
      </c>
      <c r="E37">
        <f t="shared" si="3"/>
        <v>28</v>
      </c>
      <c r="F37">
        <f t="shared" si="1"/>
        <v>19912.200000000004</v>
      </c>
      <c r="G37">
        <f t="shared" si="4"/>
        <v>917584.20944194542</v>
      </c>
      <c r="H37">
        <f t="shared" si="2"/>
        <v>35379.804221999999</v>
      </c>
      <c r="I37">
        <f t="shared" si="5"/>
        <v>1533966.4135374022</v>
      </c>
    </row>
    <row r="38" spans="1:9" x14ac:dyDescent="0.3">
      <c r="A38" s="6">
        <v>45748</v>
      </c>
      <c r="B38" s="4">
        <v>5064.7640001271902</v>
      </c>
      <c r="C38" s="7">
        <v>54</v>
      </c>
      <c r="D38">
        <f t="shared" si="0"/>
        <v>768.04200000000003</v>
      </c>
      <c r="E38">
        <f t="shared" si="3"/>
        <v>31</v>
      </c>
      <c r="F38">
        <f t="shared" si="1"/>
        <v>23809.302</v>
      </c>
      <c r="G38">
        <f t="shared" si="4"/>
        <v>941393.51144194545</v>
      </c>
      <c r="H38">
        <f t="shared" si="2"/>
        <v>31856.352607999997</v>
      </c>
      <c r="I38">
        <f t="shared" si="5"/>
        <v>1565822.7661454021</v>
      </c>
    </row>
    <row r="39" spans="1:9" x14ac:dyDescent="0.3">
      <c r="A39" s="6">
        <v>45778</v>
      </c>
      <c r="B39" s="4">
        <v>5127.3619999046077</v>
      </c>
      <c r="C39" s="7">
        <v>54</v>
      </c>
      <c r="D39">
        <f t="shared" si="0"/>
        <v>768.04200000000003</v>
      </c>
      <c r="E39">
        <f t="shared" si="3"/>
        <v>30</v>
      </c>
      <c r="F39">
        <f t="shared" si="1"/>
        <v>23041.260000000002</v>
      </c>
      <c r="G39">
        <f t="shared" si="4"/>
        <v>964434.77144194546</v>
      </c>
      <c r="H39">
        <f t="shared" si="2"/>
        <v>32250.081506999999</v>
      </c>
      <c r="I39">
        <f t="shared" si="5"/>
        <v>1598072.847652402</v>
      </c>
    </row>
    <row r="40" spans="1:9" x14ac:dyDescent="0.3">
      <c r="A40" s="6">
        <v>45809</v>
      </c>
      <c r="B40" s="4">
        <v>4839.7810000317977</v>
      </c>
      <c r="C40" s="7">
        <v>55</v>
      </c>
      <c r="D40">
        <f t="shared" si="0"/>
        <v>782.26499999999999</v>
      </c>
      <c r="E40">
        <f t="shared" si="3"/>
        <v>31</v>
      </c>
      <c r="F40">
        <f t="shared" si="1"/>
        <v>24250.215</v>
      </c>
      <c r="G40">
        <f t="shared" si="4"/>
        <v>988684.98644194542</v>
      </c>
      <c r="H40">
        <f t="shared" si="2"/>
        <v>30441.254534</v>
      </c>
      <c r="I40">
        <f t="shared" si="5"/>
        <v>1628514.1021864021</v>
      </c>
    </row>
    <row r="41" spans="1:9" x14ac:dyDescent="0.3">
      <c r="A41" s="16">
        <v>45839</v>
      </c>
      <c r="B41" s="17">
        <v>5073.9350000000004</v>
      </c>
      <c r="C41" s="7">
        <v>55</v>
      </c>
      <c r="D41">
        <f t="shared" si="0"/>
        <v>782.26499999999999</v>
      </c>
      <c r="E41">
        <f t="shared" si="3"/>
        <v>30</v>
      </c>
      <c r="F41">
        <f t="shared" si="1"/>
        <v>23467.95</v>
      </c>
      <c r="G41">
        <f t="shared" si="4"/>
        <v>1012152.9364419454</v>
      </c>
      <c r="H41">
        <f t="shared" si="2"/>
        <v>31914.036362999999</v>
      </c>
      <c r="I41">
        <f t="shared" si="5"/>
        <v>1660428.1385494021</v>
      </c>
    </row>
    <row r="42" spans="1:9" x14ac:dyDescent="0.3">
      <c r="A42" s="16">
        <v>45870</v>
      </c>
      <c r="D42">
        <f t="shared" si="0"/>
        <v>0</v>
      </c>
      <c r="E42">
        <f t="shared" si="3"/>
        <v>31</v>
      </c>
      <c r="F42">
        <f t="shared" si="1"/>
        <v>0</v>
      </c>
      <c r="G42">
        <f t="shared" si="4"/>
        <v>1012152.9364419454</v>
      </c>
      <c r="H42">
        <f t="shared" si="2"/>
        <v>0</v>
      </c>
      <c r="I42">
        <f t="shared" si="5"/>
        <v>1660428.1385494021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EBCF-C481-4628-A564-46E608835F8B}">
  <dimension ref="A1:I39"/>
  <sheetViews>
    <sheetView topLeftCell="E1" workbookViewId="0">
      <selection activeCell="N20" sqref="N20"/>
    </sheetView>
  </sheetViews>
  <sheetFormatPr defaultRowHeight="14.4" x14ac:dyDescent="0.3"/>
  <cols>
    <col min="6" max="6" width="12.88671875" customWidth="1"/>
    <col min="7" max="7" width="21.44140625" customWidth="1"/>
    <col min="8" max="8" width="19.21875" customWidth="1"/>
    <col min="9" max="9" width="30.88671875" customWidth="1"/>
  </cols>
  <sheetData>
    <row r="1" spans="1:9" ht="26.4" x14ac:dyDescent="0.3">
      <c r="A1" s="1" t="s">
        <v>0</v>
      </c>
      <c r="B1" s="2" t="s">
        <v>1</v>
      </c>
      <c r="C1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3">
      <c r="A2" s="6">
        <v>44743</v>
      </c>
      <c r="B2" s="4">
        <v>9.5949998410124344</v>
      </c>
      <c r="C2">
        <v>93</v>
      </c>
      <c r="D2">
        <f>C2*14.223</f>
        <v>1322.739</v>
      </c>
      <c r="E2">
        <f>A2 - A2</f>
        <v>0</v>
      </c>
      <c r="F2">
        <f>D2*E2</f>
        <v>0</v>
      </c>
      <c r="G2">
        <f>F2</f>
        <v>0</v>
      </c>
      <c r="H2">
        <f>6.2898*B2</f>
        <v>60.35063000000001</v>
      </c>
      <c r="I2">
        <f>H2</f>
        <v>60.35063000000001</v>
      </c>
    </row>
    <row r="3" spans="1:9" x14ac:dyDescent="0.3">
      <c r="A3" s="6">
        <v>44774</v>
      </c>
      <c r="B3" s="4">
        <v>3378.908000413368</v>
      </c>
      <c r="C3">
        <v>4</v>
      </c>
      <c r="D3">
        <f t="shared" ref="D3:D39" si="0">C3*14.223</f>
        <v>56.892000000000003</v>
      </c>
      <c r="E3">
        <f>A3-A2</f>
        <v>31</v>
      </c>
      <c r="F3">
        <f t="shared" ref="F3:F39" si="1">D3*E3</f>
        <v>1763.652</v>
      </c>
      <c r="G3">
        <f>G2+F3</f>
        <v>1763.652</v>
      </c>
      <c r="H3">
        <f t="shared" ref="H3:H39" si="2">6.2898*B3</f>
        <v>21252.655541</v>
      </c>
      <c r="I3">
        <f>I2+H3</f>
        <v>21313.006171000001</v>
      </c>
    </row>
    <row r="4" spans="1:9" x14ac:dyDescent="0.3">
      <c r="A4" s="6">
        <v>44805</v>
      </c>
      <c r="B4" s="4">
        <v>18991.327000063597</v>
      </c>
      <c r="C4">
        <v>4</v>
      </c>
      <c r="D4">
        <f t="shared" si="0"/>
        <v>56.892000000000003</v>
      </c>
      <c r="E4">
        <f t="shared" ref="E4:E39" si="3">A4-A3</f>
        <v>31</v>
      </c>
      <c r="F4">
        <f t="shared" si="1"/>
        <v>1763.652</v>
      </c>
      <c r="G4">
        <f t="shared" ref="G4:G39" si="4">G3+F4</f>
        <v>3527.3040000000001</v>
      </c>
      <c r="H4">
        <f t="shared" si="2"/>
        <v>119451.648565</v>
      </c>
      <c r="I4">
        <f t="shared" ref="I4:I39" si="5">I3+H4</f>
        <v>140764.654736</v>
      </c>
    </row>
    <row r="5" spans="1:9" x14ac:dyDescent="0.3">
      <c r="A5" s="6">
        <v>44835</v>
      </c>
      <c r="B5" s="4">
        <v>18111.086999745621</v>
      </c>
      <c r="C5">
        <v>4</v>
      </c>
      <c r="D5">
        <f t="shared" si="0"/>
        <v>56.892000000000003</v>
      </c>
      <c r="E5">
        <f t="shared" si="3"/>
        <v>30</v>
      </c>
      <c r="F5">
        <f t="shared" si="1"/>
        <v>1706.76</v>
      </c>
      <c r="G5">
        <f t="shared" si="4"/>
        <v>5234.0640000000003</v>
      </c>
      <c r="H5">
        <f t="shared" si="2"/>
        <v>113915.115011</v>
      </c>
      <c r="I5">
        <f t="shared" si="5"/>
        <v>254679.76974700001</v>
      </c>
    </row>
    <row r="6" spans="1:9" x14ac:dyDescent="0.3">
      <c r="A6" s="6">
        <v>44866</v>
      </c>
      <c r="B6" s="4">
        <v>8563.1179997774179</v>
      </c>
      <c r="C6">
        <v>4</v>
      </c>
      <c r="D6">
        <f t="shared" si="0"/>
        <v>56.892000000000003</v>
      </c>
      <c r="E6">
        <f t="shared" si="3"/>
        <v>31</v>
      </c>
      <c r="F6">
        <f t="shared" si="1"/>
        <v>1763.652</v>
      </c>
      <c r="G6">
        <f t="shared" si="4"/>
        <v>6997.7160000000003</v>
      </c>
      <c r="H6">
        <f t="shared" si="2"/>
        <v>53860.299594999997</v>
      </c>
      <c r="I6">
        <f t="shared" si="5"/>
        <v>308540.069342</v>
      </c>
    </row>
    <row r="7" spans="1:9" x14ac:dyDescent="0.3">
      <c r="A7" s="6">
        <v>44896</v>
      </c>
      <c r="B7" s="4">
        <v>11007.637000063594</v>
      </c>
      <c r="C7">
        <v>4</v>
      </c>
      <c r="D7">
        <f t="shared" si="0"/>
        <v>56.892000000000003</v>
      </c>
      <c r="E7">
        <f t="shared" si="3"/>
        <v>30</v>
      </c>
      <c r="F7">
        <f t="shared" si="1"/>
        <v>1706.76</v>
      </c>
      <c r="G7">
        <f t="shared" si="4"/>
        <v>8704.4760000000006</v>
      </c>
      <c r="H7">
        <f t="shared" si="2"/>
        <v>69235.835202999995</v>
      </c>
      <c r="I7">
        <f t="shared" si="5"/>
        <v>377775.904545</v>
      </c>
    </row>
    <row r="8" spans="1:9" x14ac:dyDescent="0.3">
      <c r="A8" s="6">
        <v>44927</v>
      </c>
      <c r="B8" s="4">
        <v>12527.599999682026</v>
      </c>
      <c r="C8">
        <v>4</v>
      </c>
      <c r="D8">
        <f t="shared" si="0"/>
        <v>56.892000000000003</v>
      </c>
      <c r="E8">
        <f t="shared" si="3"/>
        <v>31</v>
      </c>
      <c r="F8">
        <f t="shared" si="1"/>
        <v>1763.652</v>
      </c>
      <c r="G8">
        <f t="shared" si="4"/>
        <v>10468.128000000001</v>
      </c>
      <c r="H8">
        <f t="shared" si="2"/>
        <v>78796.098478</v>
      </c>
      <c r="I8">
        <f t="shared" si="5"/>
        <v>456572.00302299997</v>
      </c>
    </row>
    <row r="9" spans="1:9" x14ac:dyDescent="0.3">
      <c r="A9" s="6">
        <v>44958</v>
      </c>
      <c r="B9" s="4">
        <v>17688.528000095394</v>
      </c>
      <c r="C9">
        <v>72</v>
      </c>
      <c r="D9">
        <f t="shared" si="0"/>
        <v>1024.056</v>
      </c>
      <c r="E9">
        <f t="shared" si="3"/>
        <v>31</v>
      </c>
      <c r="F9">
        <f t="shared" si="1"/>
        <v>31745.736000000001</v>
      </c>
      <c r="G9">
        <f t="shared" si="4"/>
        <v>42213.864000000001</v>
      </c>
      <c r="H9">
        <f t="shared" si="2"/>
        <v>111257.303415</v>
      </c>
      <c r="I9">
        <f t="shared" si="5"/>
        <v>567829.30643799994</v>
      </c>
    </row>
    <row r="10" spans="1:9" x14ac:dyDescent="0.3">
      <c r="A10" s="6">
        <v>44986</v>
      </c>
      <c r="B10" s="4">
        <v>18667.80000015899</v>
      </c>
      <c r="C10">
        <v>72</v>
      </c>
      <c r="D10">
        <f t="shared" si="0"/>
        <v>1024.056</v>
      </c>
      <c r="E10">
        <f t="shared" si="3"/>
        <v>28</v>
      </c>
      <c r="F10">
        <f t="shared" si="1"/>
        <v>28673.567999999999</v>
      </c>
      <c r="G10">
        <f t="shared" si="4"/>
        <v>70887.432000000001</v>
      </c>
      <c r="H10">
        <f t="shared" si="2"/>
        <v>117416.72844100001</v>
      </c>
      <c r="I10">
        <f t="shared" si="5"/>
        <v>685246.03487899993</v>
      </c>
    </row>
    <row r="11" spans="1:9" x14ac:dyDescent="0.3">
      <c r="A11" s="6">
        <v>45017</v>
      </c>
      <c r="B11" s="4">
        <v>17495.125000158991</v>
      </c>
      <c r="C11">
        <v>72</v>
      </c>
      <c r="D11">
        <f t="shared" si="0"/>
        <v>1024.056</v>
      </c>
      <c r="E11">
        <f t="shared" si="3"/>
        <v>31</v>
      </c>
      <c r="F11">
        <f t="shared" si="1"/>
        <v>31745.736000000001</v>
      </c>
      <c r="G11">
        <f t="shared" si="4"/>
        <v>102633.16800000001</v>
      </c>
      <c r="H11">
        <f t="shared" si="2"/>
        <v>110040.83722600002</v>
      </c>
      <c r="I11">
        <f t="shared" si="5"/>
        <v>795286.87210499996</v>
      </c>
    </row>
    <row r="12" spans="1:9" x14ac:dyDescent="0.3">
      <c r="A12" s="6">
        <v>45047</v>
      </c>
      <c r="B12" s="4">
        <v>18647.441000508759</v>
      </c>
      <c r="C12">
        <v>72</v>
      </c>
      <c r="D12">
        <f t="shared" si="0"/>
        <v>1024.056</v>
      </c>
      <c r="E12">
        <f t="shared" si="3"/>
        <v>30</v>
      </c>
      <c r="F12">
        <f t="shared" si="1"/>
        <v>30721.68</v>
      </c>
      <c r="G12">
        <f t="shared" si="4"/>
        <v>133354.848</v>
      </c>
      <c r="H12">
        <f t="shared" si="2"/>
        <v>117288.67440499998</v>
      </c>
      <c r="I12">
        <f t="shared" si="5"/>
        <v>912575.5465099999</v>
      </c>
    </row>
    <row r="13" spans="1:9" x14ac:dyDescent="0.3">
      <c r="A13" s="6">
        <v>45078</v>
      </c>
      <c r="B13" s="4">
        <v>19282.146000190787</v>
      </c>
      <c r="C13">
        <v>72</v>
      </c>
      <c r="D13">
        <f t="shared" si="0"/>
        <v>1024.056</v>
      </c>
      <c r="E13">
        <f t="shared" si="3"/>
        <v>31</v>
      </c>
      <c r="F13">
        <f t="shared" si="1"/>
        <v>31745.736000000001</v>
      </c>
      <c r="G13">
        <f t="shared" si="4"/>
        <v>165100.584</v>
      </c>
      <c r="H13">
        <f t="shared" si="2"/>
        <v>121280.841912</v>
      </c>
      <c r="I13">
        <f t="shared" si="5"/>
        <v>1033856.3884219999</v>
      </c>
    </row>
    <row r="14" spans="1:9" x14ac:dyDescent="0.3">
      <c r="A14" s="6">
        <v>45108</v>
      </c>
      <c r="B14" s="4">
        <v>17836.943999968204</v>
      </c>
      <c r="C14">
        <v>72</v>
      </c>
      <c r="D14">
        <f t="shared" si="0"/>
        <v>1024.056</v>
      </c>
      <c r="E14">
        <f t="shared" si="3"/>
        <v>30</v>
      </c>
      <c r="F14">
        <f t="shared" si="1"/>
        <v>30721.68</v>
      </c>
      <c r="G14">
        <f t="shared" si="4"/>
        <v>195822.264</v>
      </c>
      <c r="H14">
        <f t="shared" si="2"/>
        <v>112190.810371</v>
      </c>
      <c r="I14">
        <f t="shared" si="5"/>
        <v>1146047.1987929998</v>
      </c>
    </row>
    <row r="15" spans="1:9" x14ac:dyDescent="0.3">
      <c r="A15" s="6">
        <v>45139</v>
      </c>
      <c r="B15" s="4">
        <v>13763.296000031798</v>
      </c>
      <c r="C15">
        <v>35</v>
      </c>
      <c r="D15">
        <f t="shared" si="0"/>
        <v>497.80500000000001</v>
      </c>
      <c r="E15">
        <f t="shared" si="3"/>
        <v>31</v>
      </c>
      <c r="F15">
        <f t="shared" si="1"/>
        <v>15431.955</v>
      </c>
      <c r="G15">
        <f t="shared" si="4"/>
        <v>211254.21899999998</v>
      </c>
      <c r="H15">
        <f t="shared" si="2"/>
        <v>86568.379180999997</v>
      </c>
      <c r="I15">
        <f t="shared" si="5"/>
        <v>1232615.5779739998</v>
      </c>
    </row>
    <row r="16" spans="1:9" x14ac:dyDescent="0.3">
      <c r="A16" s="6">
        <v>45170</v>
      </c>
      <c r="B16" s="4">
        <v>8166.0540001271902</v>
      </c>
      <c r="C16">
        <v>35</v>
      </c>
      <c r="D16">
        <f t="shared" si="0"/>
        <v>497.80500000000001</v>
      </c>
      <c r="E16">
        <f t="shared" si="3"/>
        <v>31</v>
      </c>
      <c r="F16">
        <f t="shared" si="1"/>
        <v>15431.955</v>
      </c>
      <c r="G16">
        <f t="shared" si="4"/>
        <v>226686.17399999997</v>
      </c>
      <c r="H16">
        <f t="shared" si="2"/>
        <v>51362.846449999997</v>
      </c>
      <c r="I16">
        <f t="shared" si="5"/>
        <v>1283978.4244239999</v>
      </c>
    </row>
    <row r="17" spans="1:9" x14ac:dyDescent="0.3">
      <c r="A17" s="6">
        <v>45200</v>
      </c>
      <c r="B17" s="4">
        <v>8489.6510003497733</v>
      </c>
      <c r="C17">
        <v>35</v>
      </c>
      <c r="D17">
        <f t="shared" si="0"/>
        <v>497.80500000000001</v>
      </c>
      <c r="E17">
        <f t="shared" si="3"/>
        <v>30</v>
      </c>
      <c r="F17">
        <f t="shared" si="1"/>
        <v>14934.15</v>
      </c>
      <c r="G17">
        <f t="shared" si="4"/>
        <v>241620.32399999996</v>
      </c>
      <c r="H17">
        <f t="shared" si="2"/>
        <v>53398.206861999999</v>
      </c>
      <c r="I17">
        <f t="shared" si="5"/>
        <v>1337376.6312859999</v>
      </c>
    </row>
    <row r="18" spans="1:9" x14ac:dyDescent="0.3">
      <c r="A18" s="6">
        <v>45231</v>
      </c>
      <c r="B18" s="4">
        <v>2078.1289998092152</v>
      </c>
      <c r="C18">
        <v>35</v>
      </c>
      <c r="D18">
        <f t="shared" si="0"/>
        <v>497.80500000000001</v>
      </c>
      <c r="E18">
        <f t="shared" si="3"/>
        <v>31</v>
      </c>
      <c r="F18">
        <f t="shared" si="1"/>
        <v>15431.955</v>
      </c>
      <c r="G18">
        <f t="shared" si="4"/>
        <v>257052.27899999995</v>
      </c>
      <c r="H18">
        <f t="shared" si="2"/>
        <v>13071.015783000001</v>
      </c>
      <c r="I18">
        <f t="shared" si="5"/>
        <v>1350447.6470689999</v>
      </c>
    </row>
    <row r="19" spans="1:9" x14ac:dyDescent="0.3">
      <c r="A19" s="6">
        <v>45261</v>
      </c>
      <c r="B19" s="4">
        <v>477.86600003179757</v>
      </c>
      <c r="C19">
        <v>35</v>
      </c>
      <c r="D19">
        <f t="shared" si="0"/>
        <v>497.80500000000001</v>
      </c>
      <c r="E19">
        <f t="shared" si="3"/>
        <v>30</v>
      </c>
      <c r="F19">
        <f t="shared" si="1"/>
        <v>14934.15</v>
      </c>
      <c r="G19">
        <f t="shared" si="4"/>
        <v>271986.42899999995</v>
      </c>
      <c r="H19">
        <f t="shared" si="2"/>
        <v>3005.6815670000001</v>
      </c>
      <c r="I19">
        <f t="shared" si="5"/>
        <v>1353453.3286359999</v>
      </c>
    </row>
    <row r="20" spans="1:9" x14ac:dyDescent="0.3">
      <c r="A20" s="6">
        <v>45292</v>
      </c>
      <c r="B20" s="4">
        <v>9053.2489998092151</v>
      </c>
      <c r="C20">
        <v>35</v>
      </c>
      <c r="D20">
        <f t="shared" si="0"/>
        <v>497.80500000000001</v>
      </c>
      <c r="E20">
        <f t="shared" si="3"/>
        <v>31</v>
      </c>
      <c r="F20">
        <f t="shared" si="1"/>
        <v>15431.955</v>
      </c>
      <c r="G20">
        <f t="shared" si="4"/>
        <v>287418.38399999996</v>
      </c>
      <c r="H20">
        <f t="shared" si="2"/>
        <v>56943.125559</v>
      </c>
      <c r="I20">
        <f t="shared" si="5"/>
        <v>1410396.454195</v>
      </c>
    </row>
    <row r="21" spans="1:9" x14ac:dyDescent="0.3">
      <c r="A21" s="6">
        <v>45323</v>
      </c>
      <c r="B21" s="4">
        <v>9113.1470000635964</v>
      </c>
      <c r="C21">
        <v>35</v>
      </c>
      <c r="D21">
        <f t="shared" si="0"/>
        <v>497.80500000000001</v>
      </c>
      <c r="E21">
        <f t="shared" si="3"/>
        <v>31</v>
      </c>
      <c r="F21">
        <f t="shared" si="1"/>
        <v>15431.955</v>
      </c>
      <c r="G21">
        <f t="shared" si="4"/>
        <v>302850.33899999998</v>
      </c>
      <c r="H21">
        <f t="shared" si="2"/>
        <v>57319.872001000003</v>
      </c>
      <c r="I21">
        <f t="shared" si="5"/>
        <v>1467716.326196</v>
      </c>
    </row>
    <row r="22" spans="1:9" x14ac:dyDescent="0.3">
      <c r="A22" s="6">
        <v>45352</v>
      </c>
      <c r="B22" s="4">
        <v>9199.0125418147745</v>
      </c>
      <c r="C22">
        <v>28</v>
      </c>
      <c r="D22">
        <f t="shared" si="0"/>
        <v>398.24400000000003</v>
      </c>
      <c r="E22">
        <f t="shared" si="3"/>
        <v>29</v>
      </c>
      <c r="F22">
        <f t="shared" si="1"/>
        <v>11549.076000000001</v>
      </c>
      <c r="G22">
        <f t="shared" si="4"/>
        <v>314399.41499999998</v>
      </c>
      <c r="H22">
        <f t="shared" si="2"/>
        <v>57859.949085506567</v>
      </c>
      <c r="I22">
        <f t="shared" si="5"/>
        <v>1525576.2752815066</v>
      </c>
    </row>
    <row r="23" spans="1:9" x14ac:dyDescent="0.3">
      <c r="A23" s="6">
        <v>45383</v>
      </c>
      <c r="B23" s="4">
        <v>4001.6162761639553</v>
      </c>
      <c r="D23">
        <f t="shared" si="0"/>
        <v>0</v>
      </c>
      <c r="E23">
        <f t="shared" si="3"/>
        <v>31</v>
      </c>
      <c r="F23">
        <f t="shared" si="1"/>
        <v>0</v>
      </c>
      <c r="G23">
        <f t="shared" si="4"/>
        <v>314399.41499999998</v>
      </c>
      <c r="H23">
        <f t="shared" si="2"/>
        <v>25169.366053816044</v>
      </c>
      <c r="I23">
        <f t="shared" si="5"/>
        <v>1550745.6413353225</v>
      </c>
    </row>
    <row r="24" spans="1:9" x14ac:dyDescent="0.3">
      <c r="A24" s="6">
        <v>45413</v>
      </c>
      <c r="B24" s="4">
        <v>2328.0879996184299</v>
      </c>
      <c r="D24">
        <f t="shared" si="0"/>
        <v>0</v>
      </c>
      <c r="E24">
        <f t="shared" si="3"/>
        <v>30</v>
      </c>
      <c r="F24">
        <f t="shared" si="1"/>
        <v>0</v>
      </c>
      <c r="G24">
        <f t="shared" si="4"/>
        <v>314399.41499999998</v>
      </c>
      <c r="H24">
        <f t="shared" si="2"/>
        <v>14643.207899999999</v>
      </c>
      <c r="I24">
        <f t="shared" si="5"/>
        <v>1565388.8492353226</v>
      </c>
    </row>
    <row r="25" spans="1:9" x14ac:dyDescent="0.3">
      <c r="A25" s="6">
        <v>45444</v>
      </c>
      <c r="B25" s="4">
        <v>3334.1830000953928</v>
      </c>
      <c r="C25">
        <v>21</v>
      </c>
      <c r="D25">
        <f t="shared" si="0"/>
        <v>298.68299999999999</v>
      </c>
      <c r="E25">
        <f t="shared" si="3"/>
        <v>31</v>
      </c>
      <c r="F25">
        <f t="shared" si="1"/>
        <v>9259.1729999999989</v>
      </c>
      <c r="G25">
        <f t="shared" si="4"/>
        <v>323658.58799999999</v>
      </c>
      <c r="H25">
        <f t="shared" si="2"/>
        <v>20971.344234</v>
      </c>
      <c r="I25">
        <f t="shared" si="5"/>
        <v>1586360.1934693225</v>
      </c>
    </row>
    <row r="26" spans="1:9" x14ac:dyDescent="0.3">
      <c r="A26" s="6">
        <v>45474</v>
      </c>
      <c r="B26" s="4">
        <v>2990.916999904608</v>
      </c>
      <c r="C26">
        <v>56</v>
      </c>
      <c r="D26">
        <f t="shared" si="0"/>
        <v>796.48800000000006</v>
      </c>
      <c r="E26">
        <f t="shared" si="3"/>
        <v>30</v>
      </c>
      <c r="F26">
        <f t="shared" si="1"/>
        <v>23894.640000000003</v>
      </c>
      <c r="G26">
        <f t="shared" si="4"/>
        <v>347553.228</v>
      </c>
      <c r="H26">
        <f t="shared" si="2"/>
        <v>18812.269746000002</v>
      </c>
      <c r="I26">
        <f t="shared" si="5"/>
        <v>1605172.4632153225</v>
      </c>
    </row>
    <row r="27" spans="1:9" x14ac:dyDescent="0.3">
      <c r="A27" s="6">
        <v>45505</v>
      </c>
      <c r="B27" s="4">
        <v>6810.732999459442</v>
      </c>
      <c r="C27">
        <v>22</v>
      </c>
      <c r="D27">
        <f t="shared" si="0"/>
        <v>312.90600000000001</v>
      </c>
      <c r="E27">
        <f t="shared" si="3"/>
        <v>31</v>
      </c>
      <c r="F27">
        <f t="shared" si="1"/>
        <v>9700.0859999999993</v>
      </c>
      <c r="G27">
        <f t="shared" si="4"/>
        <v>357253.31400000001</v>
      </c>
      <c r="H27">
        <f t="shared" si="2"/>
        <v>42838.148419999998</v>
      </c>
      <c r="I27">
        <f t="shared" si="5"/>
        <v>1648010.6116353224</v>
      </c>
    </row>
    <row r="28" spans="1:9" x14ac:dyDescent="0.3">
      <c r="A28" s="6">
        <v>45536</v>
      </c>
      <c r="B28" s="4">
        <v>15131.790000158988</v>
      </c>
      <c r="C28">
        <v>22</v>
      </c>
      <c r="D28">
        <f t="shared" si="0"/>
        <v>312.90600000000001</v>
      </c>
      <c r="E28">
        <f t="shared" si="3"/>
        <v>31</v>
      </c>
      <c r="F28">
        <f t="shared" si="1"/>
        <v>9700.0859999999993</v>
      </c>
      <c r="G28">
        <f t="shared" si="4"/>
        <v>366953.4</v>
      </c>
      <c r="H28">
        <f t="shared" si="2"/>
        <v>95175.932742999998</v>
      </c>
      <c r="I28">
        <f t="shared" si="5"/>
        <v>1743186.5443783225</v>
      </c>
    </row>
    <row r="29" spans="1:9" x14ac:dyDescent="0.3">
      <c r="A29" s="6">
        <v>45566</v>
      </c>
      <c r="B29" s="4">
        <v>14183.860000158988</v>
      </c>
      <c r="C29">
        <v>94</v>
      </c>
      <c r="D29">
        <f t="shared" si="0"/>
        <v>1336.962</v>
      </c>
      <c r="E29">
        <f t="shared" si="3"/>
        <v>30</v>
      </c>
      <c r="F29">
        <f t="shared" si="1"/>
        <v>40108.86</v>
      </c>
      <c r="G29">
        <f t="shared" si="4"/>
        <v>407062.26</v>
      </c>
      <c r="H29">
        <f t="shared" si="2"/>
        <v>89213.642628999994</v>
      </c>
      <c r="I29">
        <f t="shared" si="5"/>
        <v>1832400.1870073224</v>
      </c>
    </row>
    <row r="30" spans="1:9" x14ac:dyDescent="0.3">
      <c r="A30" s="6">
        <v>45597</v>
      </c>
      <c r="B30" s="4">
        <v>13931.258999650227</v>
      </c>
      <c r="C30">
        <v>85</v>
      </c>
      <c r="D30">
        <f t="shared" si="0"/>
        <v>1208.9550000000002</v>
      </c>
      <c r="E30">
        <f t="shared" si="3"/>
        <v>31</v>
      </c>
      <c r="F30">
        <f t="shared" si="1"/>
        <v>37477.605000000003</v>
      </c>
      <c r="G30">
        <f t="shared" si="4"/>
        <v>444539.86499999999</v>
      </c>
      <c r="H30">
        <f t="shared" si="2"/>
        <v>87624.832855999994</v>
      </c>
      <c r="I30">
        <f t="shared" si="5"/>
        <v>1920025.0198633224</v>
      </c>
    </row>
    <row r="31" spans="1:9" x14ac:dyDescent="0.3">
      <c r="A31" s="6">
        <v>45627</v>
      </c>
      <c r="B31" s="4">
        <v>13977.472000222584</v>
      </c>
      <c r="C31">
        <v>85</v>
      </c>
      <c r="D31">
        <f t="shared" si="0"/>
        <v>1208.9550000000002</v>
      </c>
      <c r="E31">
        <f t="shared" si="3"/>
        <v>30</v>
      </c>
      <c r="F31">
        <f t="shared" si="1"/>
        <v>36268.65</v>
      </c>
      <c r="G31">
        <f t="shared" si="4"/>
        <v>480808.51500000001</v>
      </c>
      <c r="H31">
        <f t="shared" si="2"/>
        <v>87915.503387000004</v>
      </c>
      <c r="I31">
        <f t="shared" si="5"/>
        <v>2007940.5232503223</v>
      </c>
    </row>
    <row r="32" spans="1:9" x14ac:dyDescent="0.3">
      <c r="A32" s="6">
        <v>45658</v>
      </c>
      <c r="B32" s="4">
        <v>0</v>
      </c>
      <c r="D32">
        <f t="shared" si="0"/>
        <v>0</v>
      </c>
      <c r="E32">
        <f t="shared" si="3"/>
        <v>31</v>
      </c>
      <c r="F32">
        <f t="shared" si="1"/>
        <v>0</v>
      </c>
      <c r="G32">
        <f t="shared" si="4"/>
        <v>480808.51500000001</v>
      </c>
      <c r="H32">
        <f t="shared" si="2"/>
        <v>0</v>
      </c>
      <c r="I32">
        <f t="shared" si="5"/>
        <v>2007940.5232503223</v>
      </c>
    </row>
    <row r="33" spans="1:9" x14ac:dyDescent="0.3">
      <c r="A33" s="6">
        <v>45689</v>
      </c>
      <c r="B33" s="4">
        <v>12164.67199974562</v>
      </c>
      <c r="C33">
        <v>85</v>
      </c>
      <c r="D33">
        <f t="shared" si="0"/>
        <v>1208.9550000000002</v>
      </c>
      <c r="E33">
        <f t="shared" si="3"/>
        <v>31</v>
      </c>
      <c r="F33">
        <f t="shared" si="1"/>
        <v>37477.605000000003</v>
      </c>
      <c r="G33">
        <f t="shared" si="4"/>
        <v>518286.12</v>
      </c>
      <c r="H33">
        <f t="shared" si="2"/>
        <v>76513.353944000002</v>
      </c>
      <c r="I33">
        <f t="shared" si="5"/>
        <v>2084453.8771943224</v>
      </c>
    </row>
    <row r="34" spans="1:9" x14ac:dyDescent="0.3">
      <c r="A34" s="6">
        <v>45717</v>
      </c>
      <c r="B34" s="4">
        <v>226.4</v>
      </c>
      <c r="C34">
        <v>85</v>
      </c>
      <c r="D34">
        <f t="shared" si="0"/>
        <v>1208.9550000000002</v>
      </c>
      <c r="E34">
        <f t="shared" si="3"/>
        <v>28</v>
      </c>
      <c r="F34">
        <f t="shared" si="1"/>
        <v>33850.740000000005</v>
      </c>
      <c r="G34">
        <f t="shared" si="4"/>
        <v>552136.86</v>
      </c>
      <c r="H34">
        <f t="shared" si="2"/>
        <v>1424.01072</v>
      </c>
      <c r="I34">
        <f t="shared" si="5"/>
        <v>2085877.8879143223</v>
      </c>
    </row>
    <row r="35" spans="1:9" x14ac:dyDescent="0.3">
      <c r="A35" s="6">
        <v>45748</v>
      </c>
      <c r="B35" s="4">
        <v>11963.116999745622</v>
      </c>
      <c r="C35">
        <v>85</v>
      </c>
      <c r="D35">
        <f t="shared" si="0"/>
        <v>1208.9550000000002</v>
      </c>
      <c r="E35">
        <f t="shared" si="3"/>
        <v>31</v>
      </c>
      <c r="F35">
        <f t="shared" si="1"/>
        <v>37477.605000000003</v>
      </c>
      <c r="G35">
        <f t="shared" si="4"/>
        <v>589614.46499999997</v>
      </c>
      <c r="H35">
        <f t="shared" si="2"/>
        <v>75245.613305000006</v>
      </c>
      <c r="I35">
        <f t="shared" si="5"/>
        <v>2161123.5012193224</v>
      </c>
    </row>
    <row r="36" spans="1:9" x14ac:dyDescent="0.3">
      <c r="A36" s="6">
        <v>45778</v>
      </c>
      <c r="B36" s="4">
        <v>120.4789999682025</v>
      </c>
      <c r="C36">
        <v>85</v>
      </c>
      <c r="D36">
        <f t="shared" si="0"/>
        <v>1208.9550000000002</v>
      </c>
      <c r="E36">
        <f t="shared" si="3"/>
        <v>30</v>
      </c>
      <c r="F36">
        <f t="shared" si="1"/>
        <v>36268.65</v>
      </c>
      <c r="G36">
        <f t="shared" si="4"/>
        <v>625883.11499999999</v>
      </c>
      <c r="H36">
        <f t="shared" si="2"/>
        <v>757.788814</v>
      </c>
      <c r="I36">
        <f t="shared" si="5"/>
        <v>2161881.2900333223</v>
      </c>
    </row>
    <row r="37" spans="1:9" x14ac:dyDescent="0.3">
      <c r="A37" s="6">
        <v>45809</v>
      </c>
      <c r="B37" s="4">
        <v>126.83</v>
      </c>
      <c r="C37">
        <v>91</v>
      </c>
      <c r="D37">
        <f t="shared" si="0"/>
        <v>1294.2930000000001</v>
      </c>
      <c r="E37">
        <f t="shared" si="3"/>
        <v>31</v>
      </c>
      <c r="F37">
        <f t="shared" si="1"/>
        <v>40123.083000000006</v>
      </c>
      <c r="G37">
        <f t="shared" si="4"/>
        <v>666006.19799999997</v>
      </c>
      <c r="H37">
        <f t="shared" si="2"/>
        <v>797.73533399999997</v>
      </c>
      <c r="I37">
        <f t="shared" si="5"/>
        <v>2162679.0253673224</v>
      </c>
    </row>
    <row r="38" spans="1:9" x14ac:dyDescent="0.3">
      <c r="A38" s="16">
        <v>45839</v>
      </c>
      <c r="B38" s="17">
        <v>0</v>
      </c>
      <c r="D38">
        <f t="shared" si="0"/>
        <v>0</v>
      </c>
      <c r="E38">
        <f t="shared" si="3"/>
        <v>30</v>
      </c>
      <c r="F38">
        <f t="shared" si="1"/>
        <v>0</v>
      </c>
      <c r="G38">
        <f t="shared" si="4"/>
        <v>666006.19799999997</v>
      </c>
      <c r="H38">
        <f t="shared" si="2"/>
        <v>0</v>
      </c>
      <c r="I38">
        <f t="shared" si="5"/>
        <v>2162679.0253673224</v>
      </c>
    </row>
    <row r="39" spans="1:9" x14ac:dyDescent="0.3">
      <c r="A39" s="16">
        <v>45870</v>
      </c>
      <c r="D39">
        <f t="shared" si="0"/>
        <v>0</v>
      </c>
      <c r="E39">
        <f t="shared" si="3"/>
        <v>31</v>
      </c>
      <c r="F39">
        <f t="shared" si="1"/>
        <v>0</v>
      </c>
      <c r="G39">
        <f t="shared" si="4"/>
        <v>666006.19799999997</v>
      </c>
      <c r="H39">
        <f t="shared" si="2"/>
        <v>0</v>
      </c>
      <c r="I39">
        <f t="shared" si="5"/>
        <v>2162679.0253673224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H-1</vt:lpstr>
      <vt:lpstr>H-1z SS</vt:lpstr>
      <vt:lpstr>H-2</vt:lpstr>
      <vt:lpstr>H-3</vt:lpstr>
      <vt:lpstr>H-4</vt:lpstr>
      <vt:lpstr>H-5</vt:lpstr>
      <vt:lpstr>H-6</vt:lpstr>
      <vt:lpstr>H-7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Dhanshreshthi</dc:creator>
  <cp:lastModifiedBy>abhilash guttikonda</cp:lastModifiedBy>
  <dcterms:created xsi:type="dcterms:W3CDTF">2015-06-05T18:17:20Z</dcterms:created>
  <dcterms:modified xsi:type="dcterms:W3CDTF">2026-01-02T07:25:07Z</dcterms:modified>
</cp:coreProperties>
</file>